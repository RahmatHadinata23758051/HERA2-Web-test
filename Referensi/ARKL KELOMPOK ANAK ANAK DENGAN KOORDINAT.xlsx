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RQ Chromium" sheetId="1" state="visible" r:id="rId1"/>
    <sheet xmlns:r="http://schemas.openxmlformats.org/officeDocument/2006/relationships" name="RQ Timbal" sheetId="2" state="visible" r:id="rId2"/>
    <sheet xmlns:r="http://schemas.openxmlformats.org/officeDocument/2006/relationships" name=" RQ Nikel" sheetId="3" state="visible" r:id="rId3"/>
    <sheet xmlns:r="http://schemas.openxmlformats.org/officeDocument/2006/relationships" name="RQ Arsen" sheetId="4" state="visible" r:id="rId4"/>
    <sheet xmlns:r="http://schemas.openxmlformats.org/officeDocument/2006/relationships" name=" RQ Cadmium" sheetId="5" state="visible" r:id="rId5"/>
    <sheet xmlns:r="http://schemas.openxmlformats.org/officeDocument/2006/relationships" name="keterangan" sheetId="6" state="visible" r:id="rId6"/>
    <sheet xmlns:r="http://schemas.openxmlformats.org/officeDocument/2006/relationships" name="Sheet1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8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sz val="8"/>
    </font>
    <font>
      <name val="Times New Roman"/>
      <family val="1"/>
      <i val="1"/>
      <color theme="1"/>
      <sz val="11"/>
    </font>
    <font>
      <name val="Calibri"/>
      <family val="2"/>
      <sz val="8"/>
      <scheme val="minor"/>
    </font>
    <font>
      <name val="Times New Roman"/>
      <family val="1"/>
      <i val="1"/>
      <color theme="1"/>
      <sz val="10"/>
    </font>
    <font>
      <name val="Times New Roman"/>
      <family val="1"/>
      <i val="1"/>
      <sz val="10"/>
    </font>
    <font>
      <name val="Calibri"/>
      <family val="2"/>
      <color rgb="FF00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5" fillId="2" borderId="0" pivotButton="0" quotePrefix="0" xfId="0"/>
    <xf numFmtId="1" fontId="0" fillId="0" borderId="1" applyAlignment="1" pivotButton="0" quotePrefix="0" xfId="0">
      <alignment horizontal="center"/>
    </xf>
    <xf numFmtId="0" fontId="5" fillId="0" borderId="0" pivotButton="0" quotePrefix="0" xfId="0"/>
    <xf numFmtId="11" fontId="1" fillId="0" borderId="1" applyAlignment="1" pivotButton="0" quotePrefix="0" xfId="0">
      <alignment horizontal="center" vertical="center"/>
    </xf>
    <xf numFmtId="11" fontId="1" fillId="0" borderId="1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ZJ107"/>
  <sheetViews>
    <sheetView tabSelected="1" topLeftCell="P1" workbookViewId="0">
      <selection activeCell="AD5" sqref="AD5"/>
    </sheetView>
  </sheetViews>
  <sheetFormatPr baseColWidth="8" defaultColWidth="9.109375" defaultRowHeight="13.8"/>
  <cols>
    <col width="5.33203125" customWidth="1" style="3" min="1" max="1"/>
    <col width="15.6640625" customWidth="1" style="3" min="2" max="2"/>
    <col width="8.33203125" customWidth="1" style="3" min="3" max="4"/>
    <col width="5" customWidth="1" style="6" min="5" max="5"/>
    <col width="10.6640625" customWidth="1" style="3" min="6" max="6"/>
    <col width="9.109375" customWidth="1" style="3" min="7" max="10"/>
    <col width="10" bestFit="1" customWidth="1" style="3" min="11" max="11"/>
    <col width="10.88671875" customWidth="1" style="3" min="12" max="25"/>
    <col width="9.5546875" bestFit="1" customWidth="1" style="3" min="26" max="26"/>
    <col width="9.109375" customWidth="1" style="3" min="27" max="16384"/>
  </cols>
  <sheetData>
    <row r="1" ht="15" customHeight="1">
      <c r="A1" s="25" t="inlineStr">
        <is>
          <t>No</t>
        </is>
      </c>
      <c r="B1" s="26" t="inlineStr">
        <is>
          <t>Responden</t>
        </is>
      </c>
      <c r="C1" s="26" t="inlineStr">
        <is>
          <t>Umur</t>
        </is>
      </c>
      <c r="D1" s="26" t="inlineStr">
        <is>
          <t>Wb</t>
        </is>
      </c>
      <c r="E1" s="26" t="inlineStr">
        <is>
          <t>f</t>
        </is>
      </c>
      <c r="F1" s="23" t="inlineStr">
        <is>
          <t>C</t>
        </is>
      </c>
      <c r="G1" s="23" t="inlineStr">
        <is>
          <t>R</t>
        </is>
      </c>
      <c r="H1" s="23" t="inlineStr">
        <is>
          <t>RfD</t>
        </is>
      </c>
      <c r="I1" s="26" t="inlineStr">
        <is>
          <t>tavg</t>
        </is>
      </c>
      <c r="J1" s="23" t="inlineStr">
        <is>
          <t>Dt (realtime)</t>
        </is>
      </c>
      <c r="K1" s="23" t="inlineStr">
        <is>
          <t>Intake (Dt= realtime)</t>
        </is>
      </c>
      <c r="L1" s="23" t="inlineStr">
        <is>
          <t>Intake (Dt=5th)</t>
        </is>
      </c>
      <c r="M1" s="23" t="inlineStr">
        <is>
          <t>Intake (Dt=10th)</t>
        </is>
      </c>
      <c r="N1" s="23" t="inlineStr">
        <is>
          <t>Intake (Dt=15th)</t>
        </is>
      </c>
      <c r="O1" s="23" t="inlineStr">
        <is>
          <t>Intake (Dt=20th)</t>
        </is>
      </c>
      <c r="P1" s="23" t="inlineStr">
        <is>
          <t>Intake (Dt=25th)</t>
        </is>
      </c>
      <c r="Q1" s="23" t="inlineStr">
        <is>
          <t>Intake (Dt=30th)</t>
        </is>
      </c>
      <c r="R1" s="23" t="inlineStr">
        <is>
          <t>RQ (Dt=realtime)</t>
        </is>
      </c>
      <c r="S1" s="23" t="inlineStr">
        <is>
          <t>RQ (Dt=5th)</t>
        </is>
      </c>
      <c r="T1" s="23" t="inlineStr">
        <is>
          <t>RQ (Dt=10th)</t>
        </is>
      </c>
      <c r="U1" s="23" t="inlineStr">
        <is>
          <t>RQ (Dt=15th)</t>
        </is>
      </c>
      <c r="V1" s="23" t="inlineStr">
        <is>
          <t>RQ (Dt=20th)</t>
        </is>
      </c>
      <c r="W1" s="23" t="inlineStr">
        <is>
          <t>RQ (Dt=25th)</t>
        </is>
      </c>
      <c r="X1" s="23" t="inlineStr">
        <is>
          <t>RQ (Dt=30th)</t>
        </is>
      </c>
      <c r="Y1" s="23" t="inlineStr">
        <is>
          <t>Interpretasi RQ (realtime)</t>
        </is>
      </c>
      <c r="Z1" s="23" t="inlineStr">
        <is>
          <t>Interpretasi RQ (5 tahun)</t>
        </is>
      </c>
      <c r="AA1" s="23" t="inlineStr">
        <is>
          <t>Interpretasi RQ (10 tahun)</t>
        </is>
      </c>
      <c r="AB1" s="23" t="inlineStr">
        <is>
          <t>Interpretasi RQ (15 tahun)</t>
        </is>
      </c>
      <c r="AC1" s="23" t="inlineStr">
        <is>
          <t>Interpretasi RQ (20 tahun)</t>
        </is>
      </c>
      <c r="AD1" s="23" t="inlineStr">
        <is>
          <t>Interpretasi RQ (25 tahun)</t>
        </is>
      </c>
      <c r="AE1" s="23" t="inlineStr">
        <is>
          <t>Interpretasi RQ (30 tahun)</t>
        </is>
      </c>
      <c r="AF1" t="inlineStr">
        <is>
          <t>Latitude</t>
        </is>
      </c>
      <c r="AG1" t="inlineStr">
        <is>
          <t>Longitude</t>
        </is>
      </c>
    </row>
    <row r="2" ht="30.75" customHeight="1">
      <c r="A2" s="29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</row>
    <row r="3" ht="13.2" customFormat="1" customHeight="1" s="9">
      <c r="A3" s="7" t="n">
        <v>1</v>
      </c>
      <c r="B3" s="8" t="n">
        <v>2</v>
      </c>
      <c r="C3" s="7" t="n">
        <v>3</v>
      </c>
      <c r="D3" s="8" t="n">
        <v>4</v>
      </c>
      <c r="E3" s="7" t="n">
        <v>5</v>
      </c>
      <c r="F3" s="8" t="n">
        <v>6</v>
      </c>
      <c r="G3" s="7" t="n">
        <v>7</v>
      </c>
      <c r="H3" s="8" t="n">
        <v>8</v>
      </c>
      <c r="I3" s="7" t="n">
        <v>9</v>
      </c>
      <c r="J3" s="8" t="n">
        <v>10</v>
      </c>
      <c r="K3" s="7" t="n">
        <v>11</v>
      </c>
      <c r="L3" s="8" t="n">
        <v>12</v>
      </c>
      <c r="M3" s="7" t="n">
        <v>13</v>
      </c>
      <c r="N3" s="8" t="n">
        <v>14</v>
      </c>
      <c r="O3" s="7" t="n">
        <v>15</v>
      </c>
      <c r="P3" s="8" t="n">
        <v>16</v>
      </c>
      <c r="Q3" s="7" t="n">
        <v>17</v>
      </c>
      <c r="R3" s="8" t="n">
        <v>18</v>
      </c>
      <c r="S3" s="7" t="n">
        <v>19</v>
      </c>
      <c r="T3" s="8" t="n">
        <v>20</v>
      </c>
      <c r="U3" s="7" t="n">
        <v>21</v>
      </c>
      <c r="V3" s="8" t="n">
        <v>22</v>
      </c>
      <c r="W3" s="7" t="n">
        <v>23</v>
      </c>
      <c r="X3" s="8" t="n">
        <v>24</v>
      </c>
      <c r="Y3" s="7" t="n">
        <v>25</v>
      </c>
      <c r="Z3" s="8" t="n">
        <v>26</v>
      </c>
      <c r="AA3" s="7" t="n">
        <v>27</v>
      </c>
      <c r="AB3" s="8" t="n">
        <v>28</v>
      </c>
      <c r="AC3" s="7" t="n">
        <v>29</v>
      </c>
      <c r="AD3" s="8" t="n">
        <v>30</v>
      </c>
      <c r="AE3" s="7" t="n">
        <v>31</v>
      </c>
      <c r="AF3" s="11" t="n">
        <v>-5.150481</v>
      </c>
      <c r="AG3" s="11" t="n">
        <v>119.427211</v>
      </c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n"/>
      <c r="CD3" s="11" t="n"/>
      <c r="CE3" s="11" t="n"/>
      <c r="CF3" s="11" t="n"/>
      <c r="CG3" s="11" t="n"/>
      <c r="CH3" s="11" t="n"/>
      <c r="CI3" s="11" t="n"/>
      <c r="CJ3" s="11" t="n"/>
      <c r="CK3" s="11" t="n"/>
      <c r="CL3" s="11" t="n"/>
      <c r="CM3" s="11" t="n"/>
      <c r="CN3" s="11" t="n"/>
      <c r="CO3" s="11" t="n"/>
      <c r="CP3" s="11" t="n"/>
      <c r="CQ3" s="11" t="n"/>
      <c r="CR3" s="11" t="n"/>
      <c r="CS3" s="11" t="n"/>
      <c r="CT3" s="11" t="n"/>
      <c r="CU3" s="11" t="n"/>
      <c r="CV3" s="11" t="n"/>
      <c r="CW3" s="11" t="n"/>
      <c r="CX3" s="11" t="n"/>
      <c r="CY3" s="11" t="n"/>
      <c r="CZ3" s="11" t="n"/>
      <c r="DA3" s="11" t="n"/>
      <c r="DB3" s="11" t="n"/>
      <c r="DC3" s="11" t="n"/>
      <c r="DD3" s="11" t="n"/>
      <c r="DE3" s="11" t="n"/>
      <c r="DF3" s="11" t="n"/>
      <c r="DG3" s="11" t="n"/>
      <c r="DH3" s="11" t="n"/>
      <c r="DI3" s="11" t="n"/>
      <c r="DJ3" s="11" t="n"/>
      <c r="DK3" s="11" t="n"/>
      <c r="DL3" s="11" t="n"/>
      <c r="DM3" s="11" t="n"/>
      <c r="DN3" s="11" t="n"/>
      <c r="DO3" s="11" t="n"/>
      <c r="DP3" s="11" t="n"/>
      <c r="DQ3" s="11" t="n"/>
      <c r="DR3" s="11" t="n"/>
      <c r="DS3" s="11" t="n"/>
      <c r="DT3" s="11" t="n"/>
      <c r="DU3" s="11" t="n"/>
      <c r="DV3" s="11" t="n"/>
      <c r="DW3" s="11" t="n"/>
      <c r="DX3" s="11" t="n"/>
      <c r="DY3" s="11" t="n"/>
      <c r="DZ3" s="11" t="n"/>
      <c r="EA3" s="11" t="n"/>
      <c r="EB3" s="11" t="n"/>
      <c r="EC3" s="11" t="n"/>
      <c r="ED3" s="11" t="n"/>
      <c r="EE3" s="11" t="n"/>
      <c r="EF3" s="11" t="n"/>
      <c r="EG3" s="11" t="n"/>
      <c r="EH3" s="11" t="n"/>
      <c r="EI3" s="11" t="n"/>
      <c r="EJ3" s="11" t="n"/>
      <c r="EK3" s="11" t="n"/>
      <c r="EL3" s="11" t="n"/>
      <c r="EM3" s="11" t="n"/>
      <c r="EN3" s="11" t="n"/>
      <c r="EO3" s="11" t="n"/>
      <c r="EP3" s="11" t="n"/>
      <c r="EQ3" s="11" t="n"/>
      <c r="ER3" s="11" t="n"/>
      <c r="ES3" s="11" t="n"/>
      <c r="ET3" s="11" t="n"/>
      <c r="EU3" s="11" t="n"/>
      <c r="EV3" s="11" t="n"/>
      <c r="EW3" s="11" t="n"/>
      <c r="EX3" s="11" t="n"/>
      <c r="EY3" s="11" t="n"/>
      <c r="EZ3" s="11" t="n"/>
      <c r="FA3" s="11" t="n"/>
      <c r="FB3" s="11" t="n"/>
      <c r="FC3" s="11" t="n"/>
      <c r="FD3" s="11" t="n"/>
      <c r="FE3" s="11" t="n"/>
      <c r="FF3" s="11" t="n"/>
      <c r="FG3" s="11" t="n"/>
      <c r="FH3" s="11" t="n"/>
      <c r="FI3" s="11" t="n"/>
      <c r="FJ3" s="11" t="n"/>
      <c r="FK3" s="11" t="n"/>
      <c r="FL3" s="11" t="n"/>
      <c r="FM3" s="11" t="n"/>
      <c r="FN3" s="11" t="n"/>
      <c r="FO3" s="11" t="n"/>
      <c r="FP3" s="11" t="n"/>
      <c r="FQ3" s="11" t="n"/>
      <c r="FR3" s="11" t="n"/>
      <c r="FS3" s="11" t="n"/>
      <c r="FT3" s="11" t="n"/>
      <c r="FU3" s="11" t="n"/>
      <c r="FV3" s="11" t="n"/>
      <c r="FW3" s="11" t="n"/>
      <c r="FX3" s="11" t="n"/>
      <c r="FY3" s="11" t="n"/>
      <c r="FZ3" s="11" t="n"/>
      <c r="GA3" s="11" t="n"/>
      <c r="GB3" s="11" t="n"/>
      <c r="GC3" s="11" t="n"/>
      <c r="GD3" s="11" t="n"/>
      <c r="GE3" s="11" t="n"/>
      <c r="GF3" s="11" t="n"/>
      <c r="GG3" s="11" t="n"/>
      <c r="GH3" s="11" t="n"/>
      <c r="GI3" s="11" t="n"/>
      <c r="GJ3" s="11" t="n"/>
      <c r="GK3" s="11" t="n"/>
      <c r="GL3" s="11" t="n"/>
      <c r="GM3" s="11" t="n"/>
      <c r="GN3" s="11" t="n"/>
      <c r="GO3" s="11" t="n"/>
      <c r="GP3" s="11" t="n"/>
      <c r="GQ3" s="11" t="n"/>
      <c r="GR3" s="11" t="n"/>
      <c r="GS3" s="11" t="n"/>
      <c r="GT3" s="11" t="n"/>
      <c r="GU3" s="11" t="n"/>
      <c r="GV3" s="11" t="n"/>
      <c r="GW3" s="11" t="n"/>
      <c r="GX3" s="11" t="n"/>
      <c r="GY3" s="11" t="n"/>
      <c r="GZ3" s="11" t="n"/>
      <c r="HA3" s="11" t="n"/>
      <c r="HB3" s="11" t="n"/>
      <c r="HC3" s="11" t="n"/>
      <c r="HD3" s="11" t="n"/>
      <c r="HE3" s="11" t="n"/>
      <c r="HF3" s="11" t="n"/>
      <c r="HG3" s="11" t="n"/>
      <c r="HH3" s="11" t="n"/>
      <c r="HI3" s="11" t="n"/>
      <c r="HJ3" s="11" t="n"/>
      <c r="HK3" s="11" t="n"/>
      <c r="HL3" s="11" t="n"/>
      <c r="HM3" s="11" t="n"/>
      <c r="HN3" s="11" t="n"/>
      <c r="HO3" s="11" t="n"/>
      <c r="HP3" s="11" t="n"/>
      <c r="HQ3" s="11" t="n"/>
      <c r="HR3" s="11" t="n"/>
      <c r="HS3" s="11" t="n"/>
      <c r="HT3" s="11" t="n"/>
      <c r="HU3" s="11" t="n"/>
      <c r="HV3" s="11" t="n"/>
      <c r="HW3" s="11" t="n"/>
      <c r="HX3" s="11" t="n"/>
      <c r="HY3" s="11" t="n"/>
      <c r="HZ3" s="11" t="n"/>
      <c r="IA3" s="11" t="n"/>
      <c r="IB3" s="11" t="n"/>
      <c r="IC3" s="11" t="n"/>
      <c r="ID3" s="11" t="n"/>
      <c r="IE3" s="11" t="n"/>
      <c r="IF3" s="11" t="n"/>
      <c r="IG3" s="11" t="n"/>
      <c r="IH3" s="11" t="n"/>
      <c r="II3" s="11" t="n"/>
      <c r="IJ3" s="11" t="n"/>
      <c r="IK3" s="11" t="n"/>
      <c r="IL3" s="11" t="n"/>
      <c r="IM3" s="11" t="n"/>
      <c r="IN3" s="11" t="n"/>
      <c r="IO3" s="11" t="n"/>
      <c r="IP3" s="11" t="n"/>
      <c r="IQ3" s="11" t="n"/>
      <c r="IR3" s="11" t="n"/>
      <c r="IS3" s="11" t="n"/>
      <c r="IT3" s="11" t="n"/>
      <c r="IU3" s="11" t="n"/>
      <c r="IV3" s="11" t="n"/>
      <c r="IW3" s="11" t="n"/>
      <c r="IX3" s="11" t="n"/>
      <c r="IY3" s="11" t="n"/>
      <c r="IZ3" s="11" t="n"/>
      <c r="JA3" s="11" t="n"/>
      <c r="JB3" s="11" t="n"/>
      <c r="JC3" s="11" t="n"/>
      <c r="JD3" s="11" t="n"/>
      <c r="JE3" s="11" t="n"/>
      <c r="JF3" s="11" t="n"/>
      <c r="JG3" s="11" t="n"/>
      <c r="JH3" s="11" t="n"/>
      <c r="JI3" s="11" t="n"/>
      <c r="JJ3" s="11" t="n"/>
      <c r="JK3" s="11" t="n"/>
      <c r="JL3" s="11" t="n"/>
      <c r="JM3" s="11" t="n"/>
      <c r="JN3" s="11" t="n"/>
      <c r="JO3" s="11" t="n"/>
      <c r="JP3" s="11" t="n"/>
      <c r="JQ3" s="11" t="n"/>
      <c r="JR3" s="11" t="n"/>
      <c r="JS3" s="11" t="n"/>
      <c r="JT3" s="11" t="n"/>
      <c r="JU3" s="11" t="n"/>
      <c r="JV3" s="11" t="n"/>
      <c r="JW3" s="11" t="n"/>
      <c r="JX3" s="11" t="n"/>
      <c r="JY3" s="11" t="n"/>
      <c r="JZ3" s="11" t="n"/>
      <c r="KA3" s="11" t="n"/>
      <c r="KB3" s="11" t="n"/>
      <c r="KC3" s="11" t="n"/>
      <c r="KD3" s="11" t="n"/>
      <c r="KE3" s="11" t="n"/>
      <c r="KF3" s="11" t="n"/>
      <c r="KG3" s="11" t="n"/>
      <c r="KH3" s="11" t="n"/>
      <c r="KI3" s="11" t="n"/>
      <c r="KJ3" s="11" t="n"/>
      <c r="KK3" s="11" t="n"/>
      <c r="KL3" s="11" t="n"/>
      <c r="KM3" s="11" t="n"/>
      <c r="KN3" s="11" t="n"/>
      <c r="KO3" s="11" t="n"/>
      <c r="KP3" s="11" t="n"/>
      <c r="KQ3" s="11" t="n"/>
      <c r="KR3" s="11" t="n"/>
      <c r="KS3" s="11" t="n"/>
      <c r="KT3" s="11" t="n"/>
      <c r="KU3" s="11" t="n"/>
      <c r="KV3" s="11" t="n"/>
      <c r="KW3" s="11" t="n"/>
      <c r="KX3" s="11" t="n"/>
      <c r="KY3" s="11" t="n"/>
      <c r="KZ3" s="11" t="n"/>
      <c r="LA3" s="11" t="n"/>
      <c r="LB3" s="11" t="n"/>
      <c r="LC3" s="11" t="n"/>
      <c r="LD3" s="11" t="n"/>
      <c r="LE3" s="11" t="n"/>
      <c r="LF3" s="11" t="n"/>
      <c r="LG3" s="11" t="n"/>
      <c r="LH3" s="11" t="n"/>
      <c r="LI3" s="11" t="n"/>
      <c r="LJ3" s="11" t="n"/>
      <c r="LK3" s="11" t="n"/>
      <c r="LL3" s="11" t="n"/>
      <c r="LM3" s="11" t="n"/>
      <c r="LN3" s="11" t="n"/>
      <c r="LO3" s="11" t="n"/>
      <c r="LP3" s="11" t="n"/>
      <c r="LQ3" s="11" t="n"/>
      <c r="LR3" s="11" t="n"/>
      <c r="LS3" s="11" t="n"/>
      <c r="LT3" s="11" t="n"/>
      <c r="LU3" s="11" t="n"/>
      <c r="LV3" s="11" t="n"/>
      <c r="LW3" s="11" t="n"/>
      <c r="LX3" s="11" t="n"/>
      <c r="LY3" s="11" t="n"/>
      <c r="LZ3" s="11" t="n"/>
      <c r="MA3" s="11" t="n"/>
      <c r="MB3" s="11" t="n"/>
      <c r="MC3" s="11" t="n"/>
      <c r="MD3" s="11" t="n"/>
      <c r="ME3" s="11" t="n"/>
      <c r="MF3" s="11" t="n"/>
      <c r="MG3" s="11" t="n"/>
      <c r="MH3" s="11" t="n"/>
      <c r="MI3" s="11" t="n"/>
      <c r="MJ3" s="11" t="n"/>
      <c r="MK3" s="11" t="n"/>
      <c r="ML3" s="11" t="n"/>
      <c r="MM3" s="11" t="n"/>
      <c r="MN3" s="11" t="n"/>
      <c r="MO3" s="11" t="n"/>
      <c r="MP3" s="11" t="n"/>
      <c r="MQ3" s="11" t="n"/>
      <c r="MR3" s="11" t="n"/>
      <c r="MS3" s="11" t="n"/>
      <c r="MT3" s="11" t="n"/>
      <c r="MU3" s="11" t="n"/>
      <c r="MV3" s="11" t="n"/>
      <c r="MW3" s="11" t="n"/>
      <c r="MX3" s="11" t="n"/>
      <c r="MY3" s="11" t="n"/>
      <c r="MZ3" s="11" t="n"/>
      <c r="NA3" s="11" t="n"/>
      <c r="NB3" s="11" t="n"/>
      <c r="NC3" s="11" t="n"/>
      <c r="ND3" s="11" t="n"/>
      <c r="NE3" s="11" t="n"/>
      <c r="NF3" s="11" t="n"/>
      <c r="NG3" s="11" t="n"/>
      <c r="NH3" s="11" t="n"/>
      <c r="NI3" s="11" t="n"/>
      <c r="NJ3" s="11" t="n"/>
      <c r="NK3" s="11" t="n"/>
      <c r="NL3" s="11" t="n"/>
      <c r="NM3" s="11" t="n"/>
      <c r="NN3" s="11" t="n"/>
      <c r="NO3" s="11" t="n"/>
      <c r="NP3" s="11" t="n"/>
      <c r="NQ3" s="11" t="n"/>
      <c r="NR3" s="11" t="n"/>
      <c r="NS3" s="11" t="n"/>
      <c r="NT3" s="11" t="n"/>
      <c r="NU3" s="11" t="n"/>
      <c r="NV3" s="11" t="n"/>
      <c r="NW3" s="11" t="n"/>
      <c r="NX3" s="11" t="n"/>
      <c r="NY3" s="11" t="n"/>
      <c r="NZ3" s="11" t="n"/>
      <c r="OA3" s="11" t="n"/>
      <c r="OB3" s="11" t="n"/>
      <c r="OC3" s="11" t="n"/>
      <c r="OD3" s="11" t="n"/>
      <c r="OE3" s="11" t="n"/>
      <c r="OF3" s="11" t="n"/>
      <c r="OG3" s="11" t="n"/>
      <c r="OH3" s="11" t="n"/>
      <c r="OI3" s="11" t="n"/>
      <c r="OJ3" s="11" t="n"/>
      <c r="OK3" s="11" t="n"/>
      <c r="OL3" s="11" t="n"/>
      <c r="OM3" s="11" t="n"/>
      <c r="ON3" s="11" t="n"/>
      <c r="OO3" s="11" t="n"/>
      <c r="OP3" s="11" t="n"/>
      <c r="OQ3" s="11" t="n"/>
      <c r="OR3" s="11" t="n"/>
      <c r="OS3" s="11" t="n"/>
      <c r="OT3" s="11" t="n"/>
      <c r="OU3" s="11" t="n"/>
      <c r="OV3" s="11" t="n"/>
      <c r="OW3" s="11" t="n"/>
      <c r="OX3" s="11" t="n"/>
      <c r="OY3" s="11" t="n"/>
      <c r="OZ3" s="11" t="n"/>
      <c r="PA3" s="11" t="n"/>
      <c r="PB3" s="11" t="n"/>
      <c r="PC3" s="11" t="n"/>
      <c r="PD3" s="11" t="n"/>
      <c r="PE3" s="11" t="n"/>
      <c r="PF3" s="11" t="n"/>
      <c r="PG3" s="11" t="n"/>
      <c r="PH3" s="11" t="n"/>
      <c r="PI3" s="11" t="n"/>
      <c r="PJ3" s="11" t="n"/>
      <c r="PK3" s="11" t="n"/>
      <c r="PL3" s="11" t="n"/>
      <c r="PM3" s="11" t="n"/>
      <c r="PN3" s="11" t="n"/>
      <c r="PO3" s="11" t="n"/>
      <c r="PP3" s="11" t="n"/>
      <c r="PQ3" s="11" t="n"/>
      <c r="PR3" s="11" t="n"/>
      <c r="PS3" s="11" t="n"/>
      <c r="PT3" s="11" t="n"/>
      <c r="PU3" s="11" t="n"/>
      <c r="PV3" s="11" t="n"/>
      <c r="PW3" s="11" t="n"/>
      <c r="PX3" s="11" t="n"/>
      <c r="PY3" s="11" t="n"/>
      <c r="PZ3" s="11" t="n"/>
      <c r="QA3" s="11" t="n"/>
      <c r="QB3" s="11" t="n"/>
      <c r="QC3" s="11" t="n"/>
      <c r="QD3" s="11" t="n"/>
      <c r="QE3" s="11" t="n"/>
      <c r="QF3" s="11" t="n"/>
      <c r="QG3" s="11" t="n"/>
      <c r="QH3" s="11" t="n"/>
      <c r="QI3" s="11" t="n"/>
      <c r="QJ3" s="11" t="n"/>
      <c r="QK3" s="11" t="n"/>
      <c r="QL3" s="11" t="n"/>
      <c r="QM3" s="11" t="n"/>
      <c r="QN3" s="11" t="n"/>
      <c r="QO3" s="11" t="n"/>
      <c r="QP3" s="11" t="n"/>
      <c r="QQ3" s="11" t="n"/>
      <c r="QR3" s="11" t="n"/>
      <c r="QS3" s="11" t="n"/>
      <c r="QT3" s="11" t="n"/>
      <c r="QU3" s="11" t="n"/>
      <c r="QV3" s="11" t="n"/>
      <c r="QW3" s="11" t="n"/>
      <c r="QX3" s="11" t="n"/>
      <c r="QY3" s="11" t="n"/>
      <c r="QZ3" s="11" t="n"/>
      <c r="RA3" s="11" t="n"/>
      <c r="RB3" s="11" t="n"/>
      <c r="RC3" s="11" t="n"/>
      <c r="RD3" s="11" t="n"/>
      <c r="RE3" s="11" t="n"/>
      <c r="RF3" s="11" t="n"/>
      <c r="RG3" s="11" t="n"/>
      <c r="RH3" s="11" t="n"/>
      <c r="RI3" s="11" t="n"/>
      <c r="RJ3" s="11" t="n"/>
      <c r="RK3" s="11" t="n"/>
      <c r="RL3" s="11" t="n"/>
      <c r="RM3" s="11" t="n"/>
      <c r="RN3" s="11" t="n"/>
      <c r="RO3" s="11" t="n"/>
      <c r="RP3" s="11" t="n"/>
      <c r="RQ3" s="11" t="n"/>
      <c r="RR3" s="11" t="n"/>
      <c r="RS3" s="11" t="n"/>
      <c r="RT3" s="11" t="n"/>
      <c r="RU3" s="11" t="n"/>
      <c r="RV3" s="11" t="n"/>
      <c r="RW3" s="11" t="n"/>
      <c r="RX3" s="11" t="n"/>
      <c r="RY3" s="11" t="n"/>
      <c r="RZ3" s="11" t="n"/>
      <c r="SA3" s="11" t="n"/>
      <c r="SB3" s="11" t="n"/>
      <c r="SC3" s="11" t="n"/>
      <c r="SD3" s="11" t="n"/>
      <c r="SE3" s="11" t="n"/>
      <c r="SF3" s="11" t="n"/>
      <c r="SG3" s="11" t="n"/>
      <c r="SH3" s="11" t="n"/>
      <c r="SI3" s="11" t="n"/>
      <c r="SJ3" s="11" t="n"/>
      <c r="SK3" s="11" t="n"/>
      <c r="SL3" s="11" t="n"/>
      <c r="SM3" s="11" t="n"/>
      <c r="SN3" s="11" t="n"/>
      <c r="SO3" s="11" t="n"/>
      <c r="SP3" s="11" t="n"/>
      <c r="SQ3" s="11" t="n"/>
      <c r="SR3" s="11" t="n"/>
      <c r="SS3" s="11" t="n"/>
      <c r="ST3" s="11" t="n"/>
      <c r="SU3" s="11" t="n"/>
      <c r="SV3" s="11" t="n"/>
      <c r="SW3" s="11" t="n"/>
      <c r="SX3" s="11" t="n"/>
      <c r="SY3" s="11" t="n"/>
      <c r="SZ3" s="11" t="n"/>
      <c r="TA3" s="11" t="n"/>
      <c r="TB3" s="11" t="n"/>
      <c r="TC3" s="11" t="n"/>
      <c r="TD3" s="11" t="n"/>
      <c r="TE3" s="11" t="n"/>
      <c r="TF3" s="11" t="n"/>
      <c r="TG3" s="11" t="n"/>
      <c r="TH3" s="11" t="n"/>
      <c r="TI3" s="11" t="n"/>
      <c r="TJ3" s="11" t="n"/>
      <c r="TK3" s="11" t="n"/>
      <c r="TL3" s="11" t="n"/>
      <c r="TM3" s="11" t="n"/>
      <c r="TN3" s="11" t="n"/>
      <c r="TO3" s="11" t="n"/>
      <c r="TP3" s="11" t="n"/>
      <c r="TQ3" s="11" t="n"/>
      <c r="TR3" s="11" t="n"/>
      <c r="TS3" s="11" t="n"/>
      <c r="TT3" s="11" t="n"/>
      <c r="TU3" s="11" t="n"/>
      <c r="TV3" s="11" t="n"/>
      <c r="TW3" s="11" t="n"/>
      <c r="TX3" s="11" t="n"/>
      <c r="TY3" s="11" t="n"/>
      <c r="TZ3" s="11" t="n"/>
      <c r="UA3" s="11" t="n"/>
      <c r="UB3" s="11" t="n"/>
      <c r="UC3" s="11" t="n"/>
      <c r="UD3" s="11" t="n"/>
      <c r="UE3" s="11" t="n"/>
      <c r="UF3" s="11" t="n"/>
      <c r="UG3" s="11" t="n"/>
      <c r="UH3" s="11" t="n"/>
      <c r="UI3" s="11" t="n"/>
      <c r="UJ3" s="11" t="n"/>
      <c r="UK3" s="11" t="n"/>
      <c r="UL3" s="11" t="n"/>
      <c r="UM3" s="11" t="n"/>
      <c r="UN3" s="11" t="n"/>
      <c r="UO3" s="11" t="n"/>
      <c r="UP3" s="11" t="n"/>
      <c r="UQ3" s="11" t="n"/>
      <c r="UR3" s="11" t="n"/>
      <c r="US3" s="11" t="n"/>
      <c r="UT3" s="11" t="n"/>
      <c r="UU3" s="11" t="n"/>
      <c r="UV3" s="11" t="n"/>
      <c r="UW3" s="11" t="n"/>
      <c r="UX3" s="11" t="n"/>
      <c r="UY3" s="11" t="n"/>
      <c r="UZ3" s="11" t="n"/>
      <c r="VA3" s="11" t="n"/>
      <c r="VB3" s="11" t="n"/>
      <c r="VC3" s="11" t="n"/>
      <c r="VD3" s="11" t="n"/>
      <c r="VE3" s="11" t="n"/>
      <c r="VF3" s="11" t="n"/>
      <c r="VG3" s="11" t="n"/>
      <c r="VH3" s="11" t="n"/>
      <c r="VI3" s="11" t="n"/>
      <c r="VJ3" s="11" t="n"/>
      <c r="VK3" s="11" t="n"/>
      <c r="VL3" s="11" t="n"/>
      <c r="VM3" s="11" t="n"/>
      <c r="VN3" s="11" t="n"/>
      <c r="VO3" s="11" t="n"/>
      <c r="VP3" s="11" t="n"/>
      <c r="VQ3" s="11" t="n"/>
      <c r="VR3" s="11" t="n"/>
      <c r="VS3" s="11" t="n"/>
      <c r="VT3" s="11" t="n"/>
      <c r="VU3" s="11" t="n"/>
      <c r="VV3" s="11" t="n"/>
      <c r="VW3" s="11" t="n"/>
      <c r="VX3" s="11" t="n"/>
      <c r="VY3" s="11" t="n"/>
      <c r="VZ3" s="11" t="n"/>
      <c r="WA3" s="11" t="n"/>
      <c r="WB3" s="11" t="n"/>
      <c r="WC3" s="11" t="n"/>
      <c r="WD3" s="11" t="n"/>
      <c r="WE3" s="11" t="n"/>
      <c r="WF3" s="11" t="n"/>
      <c r="WG3" s="11" t="n"/>
      <c r="WH3" s="11" t="n"/>
      <c r="WI3" s="11" t="n"/>
      <c r="WJ3" s="11" t="n"/>
      <c r="WK3" s="11" t="n"/>
      <c r="WL3" s="11" t="n"/>
      <c r="WM3" s="11" t="n"/>
      <c r="WN3" s="11" t="n"/>
      <c r="WO3" s="11" t="n"/>
      <c r="WP3" s="11" t="n"/>
      <c r="WQ3" s="11" t="n"/>
      <c r="WR3" s="11" t="n"/>
      <c r="WS3" s="11" t="n"/>
      <c r="WT3" s="11" t="n"/>
      <c r="WU3" s="11" t="n"/>
      <c r="WV3" s="11" t="n"/>
      <c r="WW3" s="11" t="n"/>
      <c r="WX3" s="11" t="n"/>
      <c r="WY3" s="11" t="n"/>
      <c r="WZ3" s="11" t="n"/>
      <c r="XA3" s="11" t="n"/>
      <c r="XB3" s="11" t="n"/>
      <c r="XC3" s="11" t="n"/>
      <c r="XD3" s="11" t="n"/>
      <c r="XE3" s="11" t="n"/>
      <c r="XF3" s="11" t="n"/>
      <c r="XG3" s="11" t="n"/>
      <c r="XH3" s="11" t="n"/>
      <c r="XI3" s="11" t="n"/>
      <c r="XJ3" s="11" t="n"/>
      <c r="XK3" s="11" t="n"/>
      <c r="XL3" s="11" t="n"/>
      <c r="XM3" s="11" t="n"/>
      <c r="XN3" s="11" t="n"/>
      <c r="XO3" s="11" t="n"/>
      <c r="XP3" s="11" t="n"/>
      <c r="XQ3" s="11" t="n"/>
      <c r="XR3" s="11" t="n"/>
      <c r="XS3" s="11" t="n"/>
      <c r="XT3" s="11" t="n"/>
      <c r="XU3" s="11" t="n"/>
      <c r="XV3" s="11" t="n"/>
      <c r="XW3" s="11" t="n"/>
      <c r="XX3" s="11" t="n"/>
      <c r="XY3" s="11" t="n"/>
      <c r="XZ3" s="11" t="n"/>
      <c r="YA3" s="11" t="n"/>
      <c r="YB3" s="11" t="n"/>
      <c r="YC3" s="11" t="n"/>
      <c r="YD3" s="11" t="n"/>
      <c r="YE3" s="11" t="n"/>
      <c r="YF3" s="11" t="n"/>
      <c r="YG3" s="11" t="n"/>
      <c r="YH3" s="11" t="n"/>
      <c r="YI3" s="11" t="n"/>
      <c r="YJ3" s="11" t="n"/>
      <c r="YK3" s="11" t="n"/>
      <c r="YL3" s="11" t="n"/>
      <c r="YM3" s="11" t="n"/>
      <c r="YN3" s="11" t="n"/>
      <c r="YO3" s="11" t="n"/>
      <c r="YP3" s="11" t="n"/>
      <c r="YQ3" s="11" t="n"/>
      <c r="YR3" s="11" t="n"/>
      <c r="YS3" s="11" t="n"/>
      <c r="YT3" s="11" t="n"/>
      <c r="YU3" s="11" t="n"/>
      <c r="YV3" s="11" t="n"/>
      <c r="YW3" s="11" t="n"/>
      <c r="YX3" s="11" t="n"/>
      <c r="YY3" s="11" t="n"/>
      <c r="YZ3" s="11" t="n"/>
      <c r="ZA3" s="11" t="n"/>
      <c r="ZB3" s="11" t="n"/>
      <c r="ZC3" s="11" t="n"/>
      <c r="ZD3" s="11" t="n"/>
      <c r="ZE3" s="11" t="n"/>
      <c r="ZF3" s="11" t="n"/>
      <c r="ZG3" s="11" t="n"/>
      <c r="ZH3" s="11" t="n"/>
      <c r="ZI3" s="11" t="n"/>
      <c r="ZJ3" s="11" t="n"/>
      <c r="ZK3" s="11" t="n"/>
      <c r="ZL3" s="11" t="n"/>
      <c r="ZM3" s="11" t="n"/>
      <c r="ZN3" s="11" t="n"/>
      <c r="ZO3" s="11" t="n"/>
      <c r="ZP3" s="11" t="n"/>
      <c r="ZQ3" s="11" t="n"/>
      <c r="ZR3" s="11" t="n"/>
      <c r="ZS3" s="11" t="n"/>
      <c r="ZT3" s="11" t="n"/>
      <c r="ZU3" s="11" t="n"/>
      <c r="ZV3" s="11" t="n"/>
      <c r="ZW3" s="11" t="n"/>
      <c r="ZX3" s="11" t="n"/>
      <c r="ZY3" s="11" t="n"/>
      <c r="ZZ3" s="11" t="n"/>
      <c r="AAA3" s="11" t="n"/>
      <c r="AAB3" s="11" t="n"/>
      <c r="AAC3" s="11" t="n"/>
      <c r="AAD3" s="11" t="n"/>
      <c r="AAE3" s="11" t="n"/>
      <c r="AAF3" s="11" t="n"/>
      <c r="AAG3" s="11" t="n"/>
      <c r="AAH3" s="11" t="n"/>
      <c r="AAI3" s="11" t="n"/>
      <c r="AAJ3" s="11" t="n"/>
      <c r="AAK3" s="11" t="n"/>
      <c r="AAL3" s="11" t="n"/>
      <c r="AAM3" s="11" t="n"/>
      <c r="AAN3" s="11" t="n"/>
      <c r="AAO3" s="11" t="n"/>
      <c r="AAP3" s="11" t="n"/>
      <c r="AAQ3" s="11" t="n"/>
      <c r="AAR3" s="11" t="n"/>
      <c r="AAS3" s="11" t="n"/>
      <c r="AAT3" s="11" t="n"/>
      <c r="AAU3" s="11" t="n"/>
      <c r="AAV3" s="11" t="n"/>
      <c r="AAW3" s="11" t="n"/>
      <c r="AAX3" s="11" t="n"/>
      <c r="AAY3" s="11" t="n"/>
      <c r="AAZ3" s="11" t="n"/>
      <c r="ABA3" s="11" t="n"/>
      <c r="ABB3" s="11" t="n"/>
      <c r="ABC3" s="11" t="n"/>
      <c r="ABD3" s="11" t="n"/>
      <c r="ABE3" s="11" t="n"/>
      <c r="ABF3" s="11" t="n"/>
      <c r="ABG3" s="11" t="n"/>
      <c r="ABH3" s="11" t="n"/>
      <c r="ABI3" s="11" t="n"/>
      <c r="ABJ3" s="11" t="n"/>
      <c r="ABK3" s="11" t="n"/>
      <c r="ABL3" s="11" t="n"/>
      <c r="ABM3" s="11" t="n"/>
      <c r="ABN3" s="11" t="n"/>
      <c r="ABO3" s="11" t="n"/>
      <c r="ABP3" s="11" t="n"/>
      <c r="ABQ3" s="11" t="n"/>
      <c r="ABR3" s="11" t="n"/>
      <c r="ABS3" s="11" t="n"/>
      <c r="ABT3" s="11" t="n"/>
      <c r="ABU3" s="11" t="n"/>
      <c r="ABV3" s="11" t="n"/>
      <c r="ABW3" s="11" t="n"/>
      <c r="ABX3" s="11" t="n"/>
      <c r="ABY3" s="11" t="n"/>
      <c r="ABZ3" s="11" t="n"/>
      <c r="ACA3" s="11" t="n"/>
      <c r="ACB3" s="11" t="n"/>
      <c r="ACC3" s="11" t="n"/>
      <c r="ACD3" s="11" t="n"/>
      <c r="ACE3" s="11" t="n"/>
      <c r="ACF3" s="11" t="n"/>
      <c r="ACG3" s="11" t="n"/>
      <c r="ACH3" s="11" t="n"/>
      <c r="ACI3" s="11" t="n"/>
      <c r="ACJ3" s="11" t="n"/>
      <c r="ACK3" s="11" t="n"/>
      <c r="ACL3" s="11" t="n"/>
      <c r="ACM3" s="11" t="n"/>
      <c r="ACN3" s="11" t="n"/>
      <c r="ACO3" s="11" t="n"/>
      <c r="ACP3" s="11" t="n"/>
      <c r="ACQ3" s="11" t="n"/>
      <c r="ACR3" s="11" t="n"/>
      <c r="ACS3" s="11" t="n"/>
      <c r="ACT3" s="11" t="n"/>
      <c r="ACU3" s="11" t="n"/>
      <c r="ACV3" s="11" t="n"/>
      <c r="ACW3" s="11" t="n"/>
      <c r="ACX3" s="11" t="n"/>
      <c r="ACY3" s="11" t="n"/>
      <c r="ACZ3" s="11" t="n"/>
      <c r="ADA3" s="11" t="n"/>
      <c r="ADB3" s="11" t="n"/>
      <c r="ADC3" s="11" t="n"/>
      <c r="ADD3" s="11" t="n"/>
      <c r="ADE3" s="11" t="n"/>
      <c r="ADF3" s="11" t="n"/>
      <c r="ADG3" s="11" t="n"/>
      <c r="ADH3" s="11" t="n"/>
      <c r="ADI3" s="11" t="n"/>
      <c r="ADJ3" s="11" t="n"/>
      <c r="ADK3" s="11" t="n"/>
      <c r="ADL3" s="11" t="n"/>
      <c r="ADM3" s="11" t="n"/>
      <c r="ADN3" s="11" t="n"/>
      <c r="ADO3" s="11" t="n"/>
      <c r="ADP3" s="11" t="n"/>
      <c r="ADQ3" s="11" t="n"/>
      <c r="ADR3" s="11" t="n"/>
      <c r="ADS3" s="11" t="n"/>
      <c r="ADT3" s="11" t="n"/>
      <c r="ADU3" s="11" t="n"/>
      <c r="ADV3" s="11" t="n"/>
      <c r="ADW3" s="11" t="n"/>
      <c r="ADX3" s="11" t="n"/>
      <c r="ADY3" s="11" t="n"/>
      <c r="ADZ3" s="11" t="n"/>
      <c r="AEA3" s="11" t="n"/>
      <c r="AEB3" s="11" t="n"/>
      <c r="AEC3" s="11" t="n"/>
      <c r="AED3" s="11" t="n"/>
      <c r="AEE3" s="11" t="n"/>
      <c r="AEF3" s="11" t="n"/>
      <c r="AEG3" s="11" t="n"/>
      <c r="AEH3" s="11" t="n"/>
      <c r="AEI3" s="11" t="n"/>
      <c r="AEJ3" s="11" t="n"/>
      <c r="AEK3" s="11" t="n"/>
      <c r="AEL3" s="11" t="n"/>
      <c r="AEM3" s="11" t="n"/>
      <c r="AEN3" s="11" t="n"/>
      <c r="AEO3" s="11" t="n"/>
      <c r="AEP3" s="11" t="n"/>
      <c r="AEQ3" s="11" t="n"/>
      <c r="AER3" s="11" t="n"/>
      <c r="AES3" s="11" t="n"/>
      <c r="AET3" s="11" t="n"/>
      <c r="AEU3" s="11" t="n"/>
      <c r="AEV3" s="11" t="n"/>
      <c r="AEW3" s="11" t="n"/>
      <c r="AEX3" s="11" t="n"/>
      <c r="AEY3" s="11" t="n"/>
      <c r="AEZ3" s="11" t="n"/>
      <c r="AFA3" s="11" t="n"/>
      <c r="AFB3" s="11" t="n"/>
      <c r="AFC3" s="11" t="n"/>
      <c r="AFD3" s="11" t="n"/>
      <c r="AFE3" s="11" t="n"/>
      <c r="AFF3" s="11" t="n"/>
      <c r="AFG3" s="11" t="n"/>
      <c r="AFH3" s="11" t="n"/>
      <c r="AFI3" s="11" t="n"/>
      <c r="AFJ3" s="11" t="n"/>
      <c r="AFK3" s="11" t="n"/>
      <c r="AFL3" s="11" t="n"/>
      <c r="AFM3" s="11" t="n"/>
      <c r="AFN3" s="11" t="n"/>
      <c r="AFO3" s="11" t="n"/>
      <c r="AFP3" s="11" t="n"/>
      <c r="AFQ3" s="11" t="n"/>
      <c r="AFR3" s="11" t="n"/>
      <c r="AFS3" s="11" t="n"/>
      <c r="AFT3" s="11" t="n"/>
      <c r="AFU3" s="11" t="n"/>
      <c r="AFV3" s="11" t="n"/>
      <c r="AFW3" s="11" t="n"/>
      <c r="AFX3" s="11" t="n"/>
      <c r="AFY3" s="11" t="n"/>
      <c r="AFZ3" s="11" t="n"/>
      <c r="AGA3" s="11" t="n"/>
      <c r="AGB3" s="11" t="n"/>
      <c r="AGC3" s="11" t="n"/>
      <c r="AGD3" s="11" t="n"/>
      <c r="AGE3" s="11" t="n"/>
      <c r="AGF3" s="11" t="n"/>
      <c r="AGG3" s="11" t="n"/>
      <c r="AGH3" s="11" t="n"/>
      <c r="AGI3" s="11" t="n"/>
      <c r="AGJ3" s="11" t="n"/>
      <c r="AGK3" s="11" t="n"/>
      <c r="AGL3" s="11" t="n"/>
      <c r="AGM3" s="11" t="n"/>
      <c r="AGN3" s="11" t="n"/>
      <c r="AGO3" s="11" t="n"/>
      <c r="AGP3" s="11" t="n"/>
      <c r="AGQ3" s="11" t="n"/>
      <c r="AGR3" s="11" t="n"/>
      <c r="AGS3" s="11" t="n"/>
      <c r="AGT3" s="11" t="n"/>
      <c r="AGU3" s="11" t="n"/>
      <c r="AGV3" s="11" t="n"/>
      <c r="AGW3" s="11" t="n"/>
      <c r="AGX3" s="11" t="n"/>
      <c r="AGY3" s="11" t="n"/>
      <c r="AGZ3" s="11" t="n"/>
      <c r="AHA3" s="11" t="n"/>
      <c r="AHB3" s="11" t="n"/>
      <c r="AHC3" s="11" t="n"/>
      <c r="AHD3" s="11" t="n"/>
      <c r="AHE3" s="11" t="n"/>
      <c r="AHF3" s="11" t="n"/>
      <c r="AHG3" s="11" t="n"/>
      <c r="AHH3" s="11" t="n"/>
      <c r="AHI3" s="11" t="n"/>
      <c r="AHJ3" s="11" t="n"/>
      <c r="AHK3" s="11" t="n"/>
      <c r="AHL3" s="11" t="n"/>
      <c r="AHM3" s="11" t="n"/>
      <c r="AHN3" s="11" t="n"/>
      <c r="AHO3" s="11" t="n"/>
      <c r="AHP3" s="11" t="n"/>
      <c r="AHQ3" s="11" t="n"/>
      <c r="AHR3" s="11" t="n"/>
      <c r="AHS3" s="11" t="n"/>
      <c r="AHT3" s="11" t="n"/>
      <c r="AHU3" s="11" t="n"/>
      <c r="AHV3" s="11" t="n"/>
      <c r="AHW3" s="11" t="n"/>
      <c r="AHX3" s="11" t="n"/>
      <c r="AHY3" s="11" t="n"/>
      <c r="AHZ3" s="11" t="n"/>
      <c r="AIA3" s="11" t="n"/>
      <c r="AIB3" s="11" t="n"/>
      <c r="AIC3" s="11" t="n"/>
      <c r="AID3" s="11" t="n"/>
      <c r="AIE3" s="11" t="n"/>
      <c r="AIF3" s="11" t="n"/>
      <c r="AIG3" s="11" t="n"/>
      <c r="AIH3" s="11" t="n"/>
      <c r="AII3" s="11" t="n"/>
      <c r="AIJ3" s="11" t="n"/>
      <c r="AIK3" s="11" t="n"/>
      <c r="AIL3" s="11" t="n"/>
      <c r="AIM3" s="11" t="n"/>
      <c r="AIN3" s="11" t="n"/>
      <c r="AIO3" s="11" t="n"/>
      <c r="AIP3" s="11" t="n"/>
      <c r="AIQ3" s="11" t="n"/>
      <c r="AIR3" s="11" t="n"/>
      <c r="AIS3" s="11" t="n"/>
      <c r="AIT3" s="11" t="n"/>
      <c r="AIU3" s="11" t="n"/>
      <c r="AIV3" s="11" t="n"/>
      <c r="AIW3" s="11" t="n"/>
      <c r="AIX3" s="11" t="n"/>
      <c r="AIY3" s="11" t="n"/>
      <c r="AIZ3" s="11" t="n"/>
      <c r="AJA3" s="11" t="n"/>
      <c r="AJB3" s="11" t="n"/>
      <c r="AJC3" s="11" t="n"/>
      <c r="AJD3" s="11" t="n"/>
      <c r="AJE3" s="11" t="n"/>
      <c r="AJF3" s="11" t="n"/>
      <c r="AJG3" s="11" t="n"/>
      <c r="AJH3" s="11" t="n"/>
      <c r="AJI3" s="11" t="n"/>
      <c r="AJJ3" s="11" t="n"/>
      <c r="AJK3" s="11" t="n"/>
      <c r="AJL3" s="11" t="n"/>
      <c r="AJM3" s="11" t="n"/>
      <c r="AJN3" s="11" t="n"/>
      <c r="AJO3" s="11" t="n"/>
      <c r="AJP3" s="11" t="n"/>
      <c r="AJQ3" s="11" t="n"/>
      <c r="AJR3" s="11" t="n"/>
      <c r="AJS3" s="11" t="n"/>
      <c r="AJT3" s="11" t="n"/>
      <c r="AJU3" s="11" t="n"/>
      <c r="AJV3" s="11" t="n"/>
      <c r="AJW3" s="11" t="n"/>
      <c r="AJX3" s="11" t="n"/>
      <c r="AJY3" s="11" t="n"/>
      <c r="AJZ3" s="11" t="n"/>
      <c r="AKA3" s="11" t="n"/>
      <c r="AKB3" s="11" t="n"/>
      <c r="AKC3" s="11" t="n"/>
      <c r="AKD3" s="11" t="n"/>
      <c r="AKE3" s="11" t="n"/>
      <c r="AKF3" s="11" t="n"/>
      <c r="AKG3" s="11" t="n"/>
      <c r="AKH3" s="11" t="n"/>
      <c r="AKI3" s="11" t="n"/>
      <c r="AKJ3" s="11" t="n"/>
      <c r="AKK3" s="11" t="n"/>
      <c r="AKL3" s="11" t="n"/>
      <c r="AKM3" s="11" t="n"/>
      <c r="AKN3" s="11" t="n"/>
      <c r="AKO3" s="11" t="n"/>
      <c r="AKP3" s="11" t="n"/>
      <c r="AKQ3" s="11" t="n"/>
      <c r="AKR3" s="11" t="n"/>
      <c r="AKS3" s="11" t="n"/>
      <c r="AKT3" s="11" t="n"/>
      <c r="AKU3" s="11" t="n"/>
      <c r="AKV3" s="11" t="n"/>
      <c r="AKW3" s="11" t="n"/>
      <c r="AKX3" s="11" t="n"/>
      <c r="AKY3" s="11" t="n"/>
      <c r="AKZ3" s="11" t="n"/>
      <c r="ALA3" s="11" t="n"/>
      <c r="ALB3" s="11" t="n"/>
      <c r="ALC3" s="11" t="n"/>
      <c r="ALD3" s="11" t="n"/>
      <c r="ALE3" s="11" t="n"/>
      <c r="ALF3" s="11" t="n"/>
      <c r="ALG3" s="11" t="n"/>
      <c r="ALH3" s="11" t="n"/>
      <c r="ALI3" s="11" t="n"/>
      <c r="ALJ3" s="11" t="n"/>
      <c r="ALK3" s="11" t="n"/>
      <c r="ALL3" s="11" t="n"/>
      <c r="ALM3" s="11" t="n"/>
      <c r="ALN3" s="11" t="n"/>
      <c r="ALO3" s="11" t="n"/>
      <c r="ALP3" s="11" t="n"/>
      <c r="ALQ3" s="11" t="n"/>
      <c r="ALR3" s="11" t="n"/>
      <c r="ALS3" s="11" t="n"/>
      <c r="ALT3" s="11" t="n"/>
      <c r="ALU3" s="11" t="n"/>
      <c r="ALV3" s="11" t="n"/>
      <c r="ALW3" s="11" t="n"/>
      <c r="ALX3" s="11" t="n"/>
      <c r="ALY3" s="11" t="n"/>
      <c r="ALZ3" s="11" t="n"/>
      <c r="AMA3" s="11" t="n"/>
      <c r="AMB3" s="11" t="n"/>
      <c r="AMC3" s="11" t="n"/>
      <c r="AMD3" s="11" t="n"/>
      <c r="AME3" s="11" t="n"/>
      <c r="AMF3" s="11" t="n"/>
      <c r="AMG3" s="11" t="n"/>
      <c r="AMH3" s="11" t="n"/>
      <c r="AMI3" s="11" t="n"/>
      <c r="AMJ3" s="11" t="n"/>
      <c r="AMK3" s="11" t="n"/>
      <c r="AML3" s="11" t="n"/>
      <c r="AMM3" s="11" t="n"/>
      <c r="AMN3" s="11" t="n"/>
      <c r="AMO3" s="11" t="n"/>
      <c r="AMP3" s="11" t="n"/>
      <c r="AMQ3" s="11" t="n"/>
      <c r="AMR3" s="11" t="n"/>
      <c r="AMS3" s="11" t="n"/>
      <c r="AMT3" s="11" t="n"/>
      <c r="AMU3" s="11" t="n"/>
      <c r="AMV3" s="11" t="n"/>
      <c r="AMW3" s="11" t="n"/>
      <c r="AMX3" s="11" t="n"/>
      <c r="AMY3" s="11" t="n"/>
      <c r="AMZ3" s="11" t="n"/>
      <c r="ANA3" s="11" t="n"/>
      <c r="ANB3" s="11" t="n"/>
      <c r="ANC3" s="11" t="n"/>
      <c r="AND3" s="11" t="n"/>
      <c r="ANE3" s="11" t="n"/>
      <c r="ANF3" s="11" t="n"/>
      <c r="ANG3" s="11" t="n"/>
      <c r="ANH3" s="11" t="n"/>
      <c r="ANI3" s="11" t="n"/>
      <c r="ANJ3" s="11" t="n"/>
      <c r="ANK3" s="11" t="n"/>
      <c r="ANL3" s="11" t="n"/>
      <c r="ANM3" s="11" t="n"/>
      <c r="ANN3" s="11" t="n"/>
      <c r="ANO3" s="11" t="n"/>
      <c r="ANP3" s="11" t="n"/>
      <c r="ANQ3" s="11" t="n"/>
      <c r="ANR3" s="11" t="n"/>
      <c r="ANS3" s="11" t="n"/>
      <c r="ANT3" s="11" t="n"/>
      <c r="ANU3" s="11" t="n"/>
      <c r="ANV3" s="11" t="n"/>
      <c r="ANW3" s="11" t="n"/>
      <c r="ANX3" s="11" t="n"/>
      <c r="ANY3" s="11" t="n"/>
      <c r="ANZ3" s="11" t="n"/>
      <c r="AOA3" s="11" t="n"/>
      <c r="AOB3" s="11" t="n"/>
      <c r="AOC3" s="11" t="n"/>
      <c r="AOD3" s="11" t="n"/>
      <c r="AOE3" s="11" t="n"/>
      <c r="AOF3" s="11" t="n"/>
      <c r="AOG3" s="11" t="n"/>
      <c r="AOH3" s="11" t="n"/>
      <c r="AOI3" s="11" t="n"/>
      <c r="AOJ3" s="11" t="n"/>
      <c r="AOK3" s="11" t="n"/>
      <c r="AOL3" s="11" t="n"/>
      <c r="AOM3" s="11" t="n"/>
      <c r="AON3" s="11" t="n"/>
      <c r="AOO3" s="11" t="n"/>
      <c r="AOP3" s="11" t="n"/>
      <c r="AOQ3" s="11" t="n"/>
      <c r="AOR3" s="11" t="n"/>
      <c r="AOS3" s="11" t="n"/>
      <c r="AOT3" s="11" t="n"/>
      <c r="AOU3" s="11" t="n"/>
      <c r="AOV3" s="11" t="n"/>
      <c r="AOW3" s="11" t="n"/>
      <c r="AOX3" s="11" t="n"/>
      <c r="AOY3" s="11" t="n"/>
      <c r="AOZ3" s="11" t="n"/>
      <c r="APA3" s="11" t="n"/>
      <c r="APB3" s="11" t="n"/>
      <c r="APC3" s="11" t="n"/>
      <c r="APD3" s="11" t="n"/>
      <c r="APE3" s="11" t="n"/>
      <c r="APF3" s="11" t="n"/>
      <c r="APG3" s="11" t="n"/>
      <c r="APH3" s="11" t="n"/>
      <c r="API3" s="11" t="n"/>
      <c r="APJ3" s="11" t="n"/>
      <c r="APK3" s="11" t="n"/>
      <c r="APL3" s="11" t="n"/>
      <c r="APM3" s="11" t="n"/>
      <c r="APN3" s="11" t="n"/>
      <c r="APO3" s="11" t="n"/>
      <c r="APP3" s="11" t="n"/>
      <c r="APQ3" s="11" t="n"/>
      <c r="APR3" s="11" t="n"/>
      <c r="APS3" s="11" t="n"/>
      <c r="APT3" s="11" t="n"/>
      <c r="APU3" s="11" t="n"/>
      <c r="APV3" s="11" t="n"/>
      <c r="APW3" s="11" t="n"/>
      <c r="APX3" s="11" t="n"/>
      <c r="APY3" s="11" t="n"/>
      <c r="APZ3" s="11" t="n"/>
      <c r="AQA3" s="11" t="n"/>
      <c r="AQB3" s="11" t="n"/>
      <c r="AQC3" s="11" t="n"/>
      <c r="AQD3" s="11" t="n"/>
      <c r="AQE3" s="11" t="n"/>
      <c r="AQF3" s="11" t="n"/>
      <c r="AQG3" s="11" t="n"/>
      <c r="AQH3" s="11" t="n"/>
      <c r="AQI3" s="11" t="n"/>
      <c r="AQJ3" s="11" t="n"/>
      <c r="AQK3" s="11" t="n"/>
      <c r="AQL3" s="11" t="n"/>
      <c r="AQM3" s="11" t="n"/>
      <c r="AQN3" s="11" t="n"/>
      <c r="AQO3" s="11" t="n"/>
      <c r="AQP3" s="11" t="n"/>
      <c r="AQQ3" s="11" t="n"/>
      <c r="AQR3" s="11" t="n"/>
      <c r="AQS3" s="11" t="n"/>
      <c r="AQT3" s="11" t="n"/>
      <c r="AQU3" s="11" t="n"/>
      <c r="AQV3" s="11" t="n"/>
      <c r="AQW3" s="11" t="n"/>
      <c r="AQX3" s="11" t="n"/>
      <c r="AQY3" s="11" t="n"/>
      <c r="AQZ3" s="11" t="n"/>
      <c r="ARA3" s="11" t="n"/>
      <c r="ARB3" s="11" t="n"/>
      <c r="ARC3" s="11" t="n"/>
      <c r="ARD3" s="11" t="n"/>
      <c r="ARE3" s="11" t="n"/>
      <c r="ARF3" s="11" t="n"/>
      <c r="ARG3" s="11" t="n"/>
      <c r="ARH3" s="11" t="n"/>
      <c r="ARI3" s="11" t="n"/>
      <c r="ARJ3" s="11" t="n"/>
      <c r="ARK3" s="11" t="n"/>
      <c r="ARL3" s="11" t="n"/>
      <c r="ARM3" s="11" t="n"/>
      <c r="ARN3" s="11" t="n"/>
      <c r="ARO3" s="11" t="n"/>
      <c r="ARP3" s="11" t="n"/>
      <c r="ARQ3" s="11" t="n"/>
      <c r="ARR3" s="11" t="n"/>
      <c r="ARS3" s="11" t="n"/>
      <c r="ART3" s="11" t="n"/>
      <c r="ARU3" s="11" t="n"/>
      <c r="ARV3" s="11" t="n"/>
      <c r="ARW3" s="11" t="n"/>
      <c r="ARX3" s="11" t="n"/>
      <c r="ARY3" s="11" t="n"/>
      <c r="ARZ3" s="11" t="n"/>
      <c r="ASA3" s="11" t="n"/>
      <c r="ASB3" s="11" t="n"/>
      <c r="ASC3" s="11" t="n"/>
      <c r="ASD3" s="11" t="n"/>
      <c r="ASE3" s="11" t="n"/>
      <c r="ASF3" s="11" t="n"/>
      <c r="ASG3" s="11" t="n"/>
      <c r="ASH3" s="11" t="n"/>
      <c r="ASI3" s="11" t="n"/>
      <c r="ASJ3" s="11" t="n"/>
      <c r="ASK3" s="11" t="n"/>
      <c r="ASL3" s="11" t="n"/>
      <c r="ASM3" s="11" t="n"/>
      <c r="ASN3" s="11" t="n"/>
      <c r="ASO3" s="11" t="n"/>
      <c r="ASP3" s="11" t="n"/>
      <c r="ASQ3" s="11" t="n"/>
      <c r="ASR3" s="11" t="n"/>
      <c r="ASS3" s="11" t="n"/>
      <c r="AST3" s="11" t="n"/>
      <c r="ASU3" s="11" t="n"/>
      <c r="ASV3" s="11" t="n"/>
      <c r="ASW3" s="11" t="n"/>
      <c r="ASX3" s="11" t="n"/>
      <c r="ASY3" s="11" t="n"/>
      <c r="ASZ3" s="11" t="n"/>
      <c r="ATA3" s="11" t="n"/>
      <c r="ATB3" s="11" t="n"/>
      <c r="ATC3" s="11" t="n"/>
      <c r="ATD3" s="11" t="n"/>
      <c r="ATE3" s="11" t="n"/>
      <c r="ATF3" s="11" t="n"/>
      <c r="ATG3" s="11" t="n"/>
      <c r="ATH3" s="11" t="n"/>
      <c r="ATI3" s="11" t="n"/>
      <c r="ATJ3" s="11" t="n"/>
      <c r="ATK3" s="11" t="n"/>
      <c r="ATL3" s="11" t="n"/>
      <c r="ATM3" s="11" t="n"/>
      <c r="ATN3" s="11" t="n"/>
      <c r="ATO3" s="11" t="n"/>
      <c r="ATP3" s="11" t="n"/>
      <c r="ATQ3" s="11" t="n"/>
      <c r="ATR3" s="11" t="n"/>
      <c r="ATS3" s="11" t="n"/>
      <c r="ATT3" s="11" t="n"/>
      <c r="ATU3" s="11" t="n"/>
      <c r="ATV3" s="11" t="n"/>
      <c r="ATW3" s="11" t="n"/>
      <c r="ATX3" s="11" t="n"/>
      <c r="ATY3" s="11" t="n"/>
      <c r="ATZ3" s="11" t="n"/>
      <c r="AUA3" s="11" t="n"/>
      <c r="AUB3" s="11" t="n"/>
      <c r="AUC3" s="11" t="n"/>
      <c r="AUD3" s="11" t="n"/>
      <c r="AUE3" s="11" t="n"/>
      <c r="AUF3" s="11" t="n"/>
      <c r="AUG3" s="11" t="n"/>
      <c r="AUH3" s="11" t="n"/>
      <c r="AUI3" s="11" t="n"/>
      <c r="AUJ3" s="11" t="n"/>
      <c r="AUK3" s="11" t="n"/>
      <c r="AUL3" s="11" t="n"/>
      <c r="AUM3" s="11" t="n"/>
      <c r="AUN3" s="11" t="n"/>
      <c r="AUO3" s="11" t="n"/>
      <c r="AUP3" s="11" t="n"/>
      <c r="AUQ3" s="11" t="n"/>
      <c r="AUR3" s="11" t="n"/>
      <c r="AUS3" s="11" t="n"/>
      <c r="AUT3" s="11" t="n"/>
      <c r="AUU3" s="11" t="n"/>
      <c r="AUV3" s="11" t="n"/>
      <c r="AUW3" s="11" t="n"/>
      <c r="AUX3" s="11" t="n"/>
      <c r="AUY3" s="11" t="n"/>
      <c r="AUZ3" s="11" t="n"/>
      <c r="AVA3" s="11" t="n"/>
      <c r="AVB3" s="11" t="n"/>
      <c r="AVC3" s="11" t="n"/>
      <c r="AVD3" s="11" t="n"/>
      <c r="AVE3" s="11" t="n"/>
      <c r="AVF3" s="11" t="n"/>
      <c r="AVG3" s="11" t="n"/>
      <c r="AVH3" s="11" t="n"/>
      <c r="AVI3" s="11" t="n"/>
      <c r="AVJ3" s="11" t="n"/>
      <c r="AVK3" s="11" t="n"/>
      <c r="AVL3" s="11" t="n"/>
      <c r="AVM3" s="11" t="n"/>
      <c r="AVN3" s="11" t="n"/>
      <c r="AVO3" s="11" t="n"/>
      <c r="AVP3" s="11" t="n"/>
      <c r="AVQ3" s="11" t="n"/>
      <c r="AVR3" s="11" t="n"/>
      <c r="AVS3" s="11" t="n"/>
      <c r="AVT3" s="11" t="n"/>
      <c r="AVU3" s="11" t="n"/>
      <c r="AVV3" s="11" t="n"/>
      <c r="AVW3" s="11" t="n"/>
      <c r="AVX3" s="11" t="n"/>
      <c r="AVY3" s="11" t="n"/>
      <c r="AVZ3" s="11" t="n"/>
      <c r="AWA3" s="11" t="n"/>
      <c r="AWB3" s="11" t="n"/>
      <c r="AWC3" s="11" t="n"/>
      <c r="AWD3" s="11" t="n"/>
      <c r="AWE3" s="11" t="n"/>
      <c r="AWF3" s="11" t="n"/>
      <c r="AWG3" s="11" t="n"/>
      <c r="AWH3" s="11" t="n"/>
      <c r="AWI3" s="11" t="n"/>
      <c r="AWJ3" s="11" t="n"/>
      <c r="AWK3" s="11" t="n"/>
      <c r="AWL3" s="11" t="n"/>
      <c r="AWM3" s="11" t="n"/>
      <c r="AWN3" s="11" t="n"/>
      <c r="AWO3" s="11" t="n"/>
      <c r="AWP3" s="11" t="n"/>
      <c r="AWQ3" s="11" t="n"/>
      <c r="AWR3" s="11" t="n"/>
      <c r="AWS3" s="11" t="n"/>
      <c r="AWT3" s="11" t="n"/>
      <c r="AWU3" s="11" t="n"/>
      <c r="AWV3" s="11" t="n"/>
      <c r="AWW3" s="11" t="n"/>
      <c r="AWX3" s="11" t="n"/>
      <c r="AWY3" s="11" t="n"/>
      <c r="AWZ3" s="11" t="n"/>
      <c r="AXA3" s="11" t="n"/>
      <c r="AXB3" s="11" t="n"/>
      <c r="AXC3" s="11" t="n"/>
      <c r="AXD3" s="11" t="n"/>
      <c r="AXE3" s="11" t="n"/>
      <c r="AXF3" s="11" t="n"/>
      <c r="AXG3" s="11" t="n"/>
      <c r="AXH3" s="11" t="n"/>
      <c r="AXI3" s="11" t="n"/>
      <c r="AXJ3" s="11" t="n"/>
      <c r="AXK3" s="11" t="n"/>
      <c r="AXL3" s="11" t="n"/>
      <c r="AXM3" s="11" t="n"/>
      <c r="AXN3" s="11" t="n"/>
      <c r="AXO3" s="11" t="n"/>
      <c r="AXP3" s="11" t="n"/>
      <c r="AXQ3" s="11" t="n"/>
      <c r="AXR3" s="11" t="n"/>
      <c r="AXS3" s="11" t="n"/>
      <c r="AXT3" s="11" t="n"/>
      <c r="AXU3" s="11" t="n"/>
      <c r="AXV3" s="11" t="n"/>
      <c r="AXW3" s="11" t="n"/>
      <c r="AXX3" s="11" t="n"/>
      <c r="AXY3" s="11" t="n"/>
      <c r="AXZ3" s="11" t="n"/>
      <c r="AYA3" s="11" t="n"/>
      <c r="AYB3" s="11" t="n"/>
      <c r="AYC3" s="11" t="n"/>
      <c r="AYD3" s="11" t="n"/>
      <c r="AYE3" s="11" t="n"/>
      <c r="AYF3" s="11" t="n"/>
      <c r="AYG3" s="11" t="n"/>
      <c r="AYH3" s="11" t="n"/>
      <c r="AYI3" s="11" t="n"/>
      <c r="AYJ3" s="11" t="n"/>
      <c r="AYK3" s="11" t="n"/>
      <c r="AYL3" s="11" t="n"/>
      <c r="AYM3" s="11" t="n"/>
      <c r="AYN3" s="11" t="n"/>
      <c r="AYO3" s="11" t="n"/>
      <c r="AYP3" s="11" t="n"/>
      <c r="AYQ3" s="11" t="n"/>
      <c r="AYR3" s="11" t="n"/>
      <c r="AYS3" s="11" t="n"/>
      <c r="AYT3" s="11" t="n"/>
      <c r="AYU3" s="11" t="n"/>
      <c r="AYV3" s="11" t="n"/>
      <c r="AYW3" s="11" t="n"/>
      <c r="AYX3" s="11" t="n"/>
      <c r="AYY3" s="11" t="n"/>
      <c r="AYZ3" s="11" t="n"/>
      <c r="AZA3" s="11" t="n"/>
      <c r="AZB3" s="11" t="n"/>
      <c r="AZC3" s="11" t="n"/>
      <c r="AZD3" s="11" t="n"/>
      <c r="AZE3" s="11" t="n"/>
      <c r="AZF3" s="11" t="n"/>
    </row>
    <row r="4" ht="14.4" customHeight="1">
      <c r="A4" s="14" t="n">
        <v>1</v>
      </c>
      <c r="B4" s="15" t="inlineStr">
        <is>
          <t>Sp</t>
        </is>
      </c>
      <c r="C4" s="10" t="n">
        <v>9</v>
      </c>
      <c r="D4" s="10" t="n">
        <v>25</v>
      </c>
      <c r="E4" s="16" t="n">
        <v>365</v>
      </c>
      <c r="F4" s="21" t="n">
        <v>0.0044</v>
      </c>
      <c r="G4" s="10" t="n">
        <v>1500</v>
      </c>
      <c r="H4" s="13" t="n">
        <v>0.003</v>
      </c>
      <c r="I4" s="18" t="n">
        <v>10950</v>
      </c>
      <c r="J4" s="20" t="n">
        <v>9</v>
      </c>
      <c r="K4" s="19">
        <f>(F4*G4*E4*J4)/(D4*I4)</f>
        <v/>
      </c>
      <c r="L4" s="2">
        <f>(F4*G4*E4*5)/(D4*I4)</f>
        <v/>
      </c>
      <c r="M4" s="2">
        <f>(F4*G4*E4*10)/(D4*I4)</f>
        <v/>
      </c>
      <c r="N4" s="2">
        <f>(F4*G4*E4*15)/(D4*I4)</f>
        <v/>
      </c>
      <c r="O4" s="2">
        <f>(F4*G4*E4*20)/(D4*I4)</f>
        <v/>
      </c>
      <c r="P4" s="2">
        <f>(F4*G4*E4*25)/(D4*I4)</f>
        <v/>
      </c>
      <c r="Q4" s="2">
        <f>(F4*G4*E4*30)/(D4*I4)</f>
        <v/>
      </c>
      <c r="R4" s="2">
        <f>K4/H4</f>
        <v/>
      </c>
      <c r="S4" s="2">
        <f>L4/H4</f>
        <v/>
      </c>
      <c r="T4" s="2">
        <f>M4/H4</f>
        <v/>
      </c>
      <c r="U4" s="2">
        <f>N4/H4</f>
        <v/>
      </c>
      <c r="V4" s="2">
        <f>O4/H4</f>
        <v/>
      </c>
      <c r="W4" s="2">
        <f>P4/H4</f>
        <v/>
      </c>
      <c r="X4" s="2">
        <f>Q4/H4</f>
        <v/>
      </c>
      <c r="Y4" s="5">
        <f>IF(R4&gt;1,"1","2")</f>
        <v/>
      </c>
      <c r="Z4" s="5">
        <f>IF(S4&gt;1,"1","2")</f>
        <v/>
      </c>
      <c r="AA4" s="5">
        <f>IF(T4&gt;1,"1","2")</f>
        <v/>
      </c>
      <c r="AB4" s="5">
        <f>IF(U4&gt;1,"1","2")</f>
        <v/>
      </c>
      <c r="AC4" s="5">
        <f>IF(V4&gt;1,"1","2")</f>
        <v/>
      </c>
      <c r="AD4" s="5">
        <f>IF(W4&gt;1,"1","2")</f>
        <v/>
      </c>
      <c r="AE4" s="5">
        <f>IF(X4&gt;1,"1","2")</f>
        <v/>
      </c>
      <c r="AF4" t="n">
        <v>-5.150558</v>
      </c>
      <c r="AG4" t="n">
        <v>119.405158</v>
      </c>
    </row>
    <row r="5" ht="14.4" customHeight="1">
      <c r="A5" s="14" t="n">
        <v>2</v>
      </c>
      <c r="B5" s="15" t="inlineStr">
        <is>
          <t>Gi</t>
        </is>
      </c>
      <c r="C5" s="10" t="n">
        <v>9</v>
      </c>
      <c r="D5" s="10" t="n">
        <v>25</v>
      </c>
      <c r="E5" s="16" t="n">
        <v>365</v>
      </c>
      <c r="F5" s="21" t="n">
        <v>0.0009</v>
      </c>
      <c r="G5" s="10" t="n">
        <v>900</v>
      </c>
      <c r="H5" s="13" t="n">
        <v>0.003</v>
      </c>
      <c r="I5" s="18" t="n">
        <v>10950</v>
      </c>
      <c r="J5" s="20" t="n">
        <v>9</v>
      </c>
      <c r="K5" s="19">
        <f>(F5*G5*E5*J5)/(D5*I5)</f>
        <v/>
      </c>
      <c r="L5" s="2">
        <f>(F5*G5*E5*5)/(D5*I5)</f>
        <v/>
      </c>
      <c r="M5" s="2">
        <f>(F5*G5*E5*10)/(D5*I5)</f>
        <v/>
      </c>
      <c r="N5" s="2">
        <f>(F5*G5*E5*15)/(D5*I5)</f>
        <v/>
      </c>
      <c r="O5" s="2">
        <f>(F5*G5*E5*20)/(D5*I5)</f>
        <v/>
      </c>
      <c r="P5" s="2">
        <f>(F5*G5*E5*25)/(D5*I5)</f>
        <v/>
      </c>
      <c r="Q5" s="2">
        <f>(F5*G5*E5*30)/(D5*I5)</f>
        <v/>
      </c>
      <c r="R5" s="2">
        <f>K5/H5</f>
        <v/>
      </c>
      <c r="S5" s="2">
        <f>L5/H5</f>
        <v/>
      </c>
      <c r="T5" s="2">
        <f>M5/H5</f>
        <v/>
      </c>
      <c r="U5" s="2">
        <f>N5/H5</f>
        <v/>
      </c>
      <c r="V5" s="2">
        <f>O5/H5</f>
        <v/>
      </c>
      <c r="W5" s="2">
        <f>P5/H5</f>
        <v/>
      </c>
      <c r="X5" s="2">
        <f>Q5/H5</f>
        <v/>
      </c>
      <c r="Y5" s="5">
        <f>IF(R5&gt;1,"1","2")</f>
        <v/>
      </c>
      <c r="Z5" s="5">
        <f>IF(S5&gt;1,"1","2")</f>
        <v/>
      </c>
      <c r="AA5" s="5">
        <f>IF(T5&gt;1,"1","2")</f>
        <v/>
      </c>
      <c r="AB5" s="5">
        <f>IF(U5&gt;1,"1","2")</f>
        <v/>
      </c>
      <c r="AC5" s="5">
        <f>IF(V5&gt;1,"1","2")</f>
        <v/>
      </c>
      <c r="AD5" s="5">
        <f>IF(W5&gt;1,"1","2")</f>
        <v/>
      </c>
      <c r="AE5" s="5">
        <f>IF(X5&gt;1,"1","2")</f>
        <v/>
      </c>
      <c r="AF5" t="n">
        <v>-5.135084</v>
      </c>
      <c r="AG5" t="n">
        <v>119.437089</v>
      </c>
    </row>
    <row r="6" ht="14.4" customHeight="1">
      <c r="A6" s="14" t="n">
        <v>3</v>
      </c>
      <c r="B6" s="15" t="inlineStr">
        <is>
          <t>Gia</t>
        </is>
      </c>
      <c r="C6" s="10" t="n">
        <v>9</v>
      </c>
      <c r="D6" s="10" t="n">
        <v>25</v>
      </c>
      <c r="E6" s="16" t="n">
        <v>365</v>
      </c>
      <c r="F6" s="21" t="n">
        <v>0.0002</v>
      </c>
      <c r="G6" s="10" t="n">
        <v>900</v>
      </c>
      <c r="H6" s="13" t="n">
        <v>0.003</v>
      </c>
      <c r="I6" s="18" t="n">
        <v>10950</v>
      </c>
      <c r="J6" s="20" t="n">
        <v>9</v>
      </c>
      <c r="K6" s="19">
        <f>(F6*G6*E6*J6)/(D6*I6)</f>
        <v/>
      </c>
      <c r="L6" s="2">
        <f>(F6*G6*E6*5)/(D6*I6)</f>
        <v/>
      </c>
      <c r="M6" s="2">
        <f>(F6*G6*E6*10)/(D6*I6)</f>
        <v/>
      </c>
      <c r="N6" s="2">
        <f>(F6*G6*E6*15)/(D6*I6)</f>
        <v/>
      </c>
      <c r="O6" s="2">
        <f>(F6*G6*E6*20)/(D6*I6)</f>
        <v/>
      </c>
      <c r="P6" s="2">
        <f>(F6*G6*E6*25)/(D6*I6)</f>
        <v/>
      </c>
      <c r="Q6" s="2">
        <f>(F6*G6*E6*30)/(D6*I6)</f>
        <v/>
      </c>
      <c r="R6" s="2">
        <f>K6/H6</f>
        <v/>
      </c>
      <c r="S6" s="2">
        <f>L6/H6</f>
        <v/>
      </c>
      <c r="T6" s="2">
        <f>M6/H6</f>
        <v/>
      </c>
      <c r="U6" s="2">
        <f>N6/H6</f>
        <v/>
      </c>
      <c r="V6" s="2">
        <f>O6/H6</f>
        <v/>
      </c>
      <c r="W6" s="2">
        <f>P6/H6</f>
        <v/>
      </c>
      <c r="X6" s="2">
        <f>Q6/H6</f>
        <v/>
      </c>
      <c r="Y6" s="5">
        <f>IF(R6&gt;1,"1","2")</f>
        <v/>
      </c>
      <c r="Z6" s="5">
        <f>IF(S6&gt;1,"1","2")</f>
        <v/>
      </c>
      <c r="AA6" s="5">
        <f>IF(T6&gt;1,"1","2")</f>
        <v/>
      </c>
      <c r="AB6" s="5">
        <f>IF(U6&gt;1,"1","2")</f>
        <v/>
      </c>
      <c r="AC6" s="5">
        <f>IF(V6&gt;1,"1","2")</f>
        <v/>
      </c>
      <c r="AD6" s="5">
        <f>IF(W6&gt;1,"1","2")</f>
        <v/>
      </c>
      <c r="AE6" s="5">
        <f>IF(X6&gt;1,"1","2")</f>
        <v/>
      </c>
      <c r="AF6" t="n">
        <v>-5.128266</v>
      </c>
      <c r="AG6" t="n">
        <v>119.441098</v>
      </c>
    </row>
    <row r="7" ht="14.4" customHeight="1">
      <c r="A7" s="14" t="n">
        <v>4</v>
      </c>
      <c r="B7" s="15" t="inlineStr">
        <is>
          <t>Rsp</t>
        </is>
      </c>
      <c r="C7" s="10" t="n">
        <v>9</v>
      </c>
      <c r="D7" s="10" t="n">
        <v>23</v>
      </c>
      <c r="E7" s="16" t="n">
        <v>365</v>
      </c>
      <c r="F7" s="21" t="n">
        <v>0.0003</v>
      </c>
      <c r="G7" s="10" t="n">
        <v>1500</v>
      </c>
      <c r="H7" s="13" t="n">
        <v>0.003</v>
      </c>
      <c r="I7" s="18" t="n">
        <v>10950</v>
      </c>
      <c r="J7" s="20" t="n">
        <v>9</v>
      </c>
      <c r="K7" s="19">
        <f>(F7*G7*E7*J7)/(D7*I7)</f>
        <v/>
      </c>
      <c r="L7" s="2">
        <f>(F7*G7*E7*5)/(D7*I7)</f>
        <v/>
      </c>
      <c r="M7" s="2">
        <f>(F7*G7*E7*10)/(D7*I7)</f>
        <v/>
      </c>
      <c r="N7" s="2">
        <f>(F7*G7*E7*15)/(D7*I7)</f>
        <v/>
      </c>
      <c r="O7" s="2">
        <f>(F7*G7*E7*20)/(D7*I7)</f>
        <v/>
      </c>
      <c r="P7" s="2">
        <f>(F7*G7*E7*25)/(D7*I7)</f>
        <v/>
      </c>
      <c r="Q7" s="2">
        <f>(F7*G7*E7*30)/(D7*I7)</f>
        <v/>
      </c>
      <c r="R7" s="2">
        <f>K7/H7</f>
        <v/>
      </c>
      <c r="S7" s="2">
        <f>L7/H7</f>
        <v/>
      </c>
      <c r="T7" s="2">
        <f>M7/H7</f>
        <v/>
      </c>
      <c r="U7" s="2">
        <f>N7/H7</f>
        <v/>
      </c>
      <c r="V7" s="2">
        <f>O7/H7</f>
        <v/>
      </c>
      <c r="W7" s="2">
        <f>P7/H7</f>
        <v/>
      </c>
      <c r="X7" s="2">
        <f>Q7/H7</f>
        <v/>
      </c>
      <c r="Y7" s="5">
        <f>IF(R7&gt;1,"1","2")</f>
        <v/>
      </c>
      <c r="Z7" s="5">
        <f>IF(S7&gt;1,"1","2")</f>
        <v/>
      </c>
      <c r="AA7" s="5">
        <f>IF(T7&gt;1,"1","2")</f>
        <v/>
      </c>
      <c r="AB7" s="5">
        <f>IF(U7&gt;1,"1","2")</f>
        <v/>
      </c>
      <c r="AC7" s="5">
        <f>IF(V7&gt;1,"1","2")</f>
        <v/>
      </c>
      <c r="AD7" s="5">
        <f>IF(W7&gt;1,"1","2")</f>
        <v/>
      </c>
      <c r="AE7" s="5">
        <f>IF(X7&gt;1,"1","2")</f>
        <v/>
      </c>
      <c r="AF7" t="n">
        <v>-5.147047</v>
      </c>
      <c r="AG7" t="n">
        <v>119.407542</v>
      </c>
    </row>
    <row r="8" ht="14.4" customHeight="1">
      <c r="A8" s="14" t="n">
        <v>5</v>
      </c>
      <c r="B8" s="15" t="inlineStr">
        <is>
          <t>Nk</t>
        </is>
      </c>
      <c r="C8" s="10" t="n">
        <v>9</v>
      </c>
      <c r="D8" s="10" t="n">
        <v>20</v>
      </c>
      <c r="E8" s="16" t="n">
        <v>365</v>
      </c>
      <c r="F8" s="21" t="n">
        <v>0.0003</v>
      </c>
      <c r="G8" s="10" t="n">
        <v>2100</v>
      </c>
      <c r="H8" s="13" t="n">
        <v>0.003</v>
      </c>
      <c r="I8" s="18" t="n">
        <v>10950</v>
      </c>
      <c r="J8" s="20" t="n">
        <v>9</v>
      </c>
      <c r="K8" s="19">
        <f>(F8*G8*E8*J8)/(D8*I8)</f>
        <v/>
      </c>
      <c r="L8" s="2">
        <f>(F8*G8*E8*5)/(D8*I8)</f>
        <v/>
      </c>
      <c r="M8" s="2">
        <f>(F8*G8*E8*10)/(D8*I8)</f>
        <v/>
      </c>
      <c r="N8" s="2">
        <f>(F8*G8*E8*15)/(D8*I8)</f>
        <v/>
      </c>
      <c r="O8" s="2">
        <f>(F8*G8*E8*20)/(D8*I8)</f>
        <v/>
      </c>
      <c r="P8" s="2">
        <f>(F8*G8*E8*25)/(D8*I8)</f>
        <v/>
      </c>
      <c r="Q8" s="2">
        <f>(F8*G8*E8*30)/(D8*I8)</f>
        <v/>
      </c>
      <c r="R8" s="2">
        <f>K8/H8</f>
        <v/>
      </c>
      <c r="S8" s="2">
        <f>L8/H8</f>
        <v/>
      </c>
      <c r="T8" s="2">
        <f>M8/H8</f>
        <v/>
      </c>
      <c r="U8" s="2">
        <f>N8/H8</f>
        <v/>
      </c>
      <c r="V8" s="2">
        <f>O8/H8</f>
        <v/>
      </c>
      <c r="W8" s="2">
        <f>P8/H8</f>
        <v/>
      </c>
      <c r="X8" s="2">
        <f>Q8/H8</f>
        <v/>
      </c>
      <c r="Y8" s="5">
        <f>IF(R8&gt;1,"1","2")</f>
        <v/>
      </c>
      <c r="Z8" s="5">
        <f>IF(S8&gt;1,"1","2")</f>
        <v/>
      </c>
      <c r="AA8" s="5">
        <f>IF(T8&gt;1,"1","2")</f>
        <v/>
      </c>
      <c r="AB8" s="5">
        <f>IF(U8&gt;1,"1","2")</f>
        <v/>
      </c>
      <c r="AC8" s="5">
        <f>IF(V8&gt;1,"1","2")</f>
        <v/>
      </c>
      <c r="AD8" s="5">
        <f>IF(W8&gt;1,"1","2")</f>
        <v/>
      </c>
      <c r="AE8" s="5">
        <f>IF(X8&gt;1,"1","2")</f>
        <v/>
      </c>
      <c r="AF8" t="n">
        <v>-5.150932</v>
      </c>
      <c r="AG8" t="n">
        <v>119.448115</v>
      </c>
    </row>
    <row r="9" ht="14.4" customHeight="1">
      <c r="A9" s="14" t="n">
        <v>6</v>
      </c>
      <c r="B9" s="15" t="inlineStr">
        <is>
          <t>Tsy</t>
        </is>
      </c>
      <c r="C9" s="10" t="n">
        <v>9</v>
      </c>
      <c r="D9" s="10" t="n">
        <v>40</v>
      </c>
      <c r="E9" s="16" t="n">
        <v>365</v>
      </c>
      <c r="F9" s="21" t="n">
        <v>0.0098</v>
      </c>
      <c r="G9" s="10" t="n">
        <v>900</v>
      </c>
      <c r="H9" s="13" t="n">
        <v>0.003</v>
      </c>
      <c r="I9" s="18" t="n">
        <v>10950</v>
      </c>
      <c r="J9" s="20" t="n">
        <v>5</v>
      </c>
      <c r="K9" s="19">
        <f>(F9*G9*E9*J9)/(D9*I9)</f>
        <v/>
      </c>
      <c r="L9" s="2">
        <f>(F9*G9*E9*5)/(D9*I9)</f>
        <v/>
      </c>
      <c r="M9" s="2">
        <f>(F9*G9*E9*10)/(D9*I9)</f>
        <v/>
      </c>
      <c r="N9" s="2">
        <f>(F9*G9*E9*15)/(D9*I9)</f>
        <v/>
      </c>
      <c r="O9" s="2">
        <f>(F9*G9*E9*20)/(D9*I9)</f>
        <v/>
      </c>
      <c r="P9" s="2">
        <f>(F9*G9*E9*25)/(D9*I9)</f>
        <v/>
      </c>
      <c r="Q9" s="2">
        <f>(F9*G9*E9*30)/(D9*I9)</f>
        <v/>
      </c>
      <c r="R9" s="2">
        <f>K9/H9</f>
        <v/>
      </c>
      <c r="S9" s="2">
        <f>L9/H9</f>
        <v/>
      </c>
      <c r="T9" s="2">
        <f>M9/H9</f>
        <v/>
      </c>
      <c r="U9" s="2">
        <f>N9/H9</f>
        <v/>
      </c>
      <c r="V9" s="2">
        <f>O9/H9</f>
        <v/>
      </c>
      <c r="W9" s="2">
        <f>P9/H9</f>
        <v/>
      </c>
      <c r="X9" s="2">
        <f>Q9/H9</f>
        <v/>
      </c>
      <c r="Y9" s="5">
        <f>IF(R9&gt;1,"1","2")</f>
        <v/>
      </c>
      <c r="Z9" s="5">
        <f>IF(S9&gt;1,"1","2")</f>
        <v/>
      </c>
      <c r="AA9" s="5">
        <f>IF(T9&gt;1,"1","2")</f>
        <v/>
      </c>
      <c r="AB9" s="5">
        <f>IF(U9&gt;1,"1","2")</f>
        <v/>
      </c>
      <c r="AC9" s="5">
        <f>IF(V9&gt;1,"1","2")</f>
        <v/>
      </c>
      <c r="AD9" s="5">
        <f>IF(W9&gt;1,"1","2")</f>
        <v/>
      </c>
      <c r="AE9" s="5">
        <f>IF(X9&gt;1,"1","2")</f>
        <v/>
      </c>
      <c r="AF9" t="n">
        <v>-5.14148</v>
      </c>
      <c r="AG9" t="n">
        <v>119.418666</v>
      </c>
    </row>
    <row r="10" ht="14.4" customHeight="1">
      <c r="A10" s="14" t="n">
        <v>7</v>
      </c>
      <c r="B10" s="15" t="inlineStr">
        <is>
          <t>Alf</t>
        </is>
      </c>
      <c r="C10" s="10" t="n">
        <v>9</v>
      </c>
      <c r="D10" s="10" t="n">
        <v>22</v>
      </c>
      <c r="E10" s="16" t="n">
        <v>365</v>
      </c>
      <c r="F10" s="21" t="n">
        <v>0.0199</v>
      </c>
      <c r="G10" s="10" t="n">
        <v>900</v>
      </c>
      <c r="H10" s="13" t="n">
        <v>0.003</v>
      </c>
      <c r="I10" s="18" t="n">
        <v>10950</v>
      </c>
      <c r="J10" s="20" t="n">
        <v>9</v>
      </c>
      <c r="K10" s="19">
        <f>(F10*G10*E10*J10)/(D10*I10)</f>
        <v/>
      </c>
      <c r="L10" s="2">
        <f>(F10*G10*E10*5)/(D10*I10)</f>
        <v/>
      </c>
      <c r="M10" s="2">
        <f>(F10*G10*E10*10)/(D10*I10)</f>
        <v/>
      </c>
      <c r="N10" s="2">
        <f>(F10*G10*E10*15)/(D10*I10)</f>
        <v/>
      </c>
      <c r="O10" s="2">
        <f>(F10*G10*E10*20)/(D10*I10)</f>
        <v/>
      </c>
      <c r="P10" s="2">
        <f>(F10*G10*E10*25)/(D10*I10)</f>
        <v/>
      </c>
      <c r="Q10" s="2">
        <f>(F10*G10*E10*30)/(D10*I10)</f>
        <v/>
      </c>
      <c r="R10" s="2">
        <f>K10/H10</f>
        <v/>
      </c>
      <c r="S10" s="2">
        <f>L10/H10</f>
        <v/>
      </c>
      <c r="T10" s="2">
        <f>M10/H10</f>
        <v/>
      </c>
      <c r="U10" s="2">
        <f>N10/H10</f>
        <v/>
      </c>
      <c r="V10" s="2">
        <f>O10/H10</f>
        <v/>
      </c>
      <c r="W10" s="2">
        <f>P10/H10</f>
        <v/>
      </c>
      <c r="X10" s="2">
        <f>Q10/H10</f>
        <v/>
      </c>
      <c r="Y10" s="5">
        <f>IF(R10&gt;1,"1","2")</f>
        <v/>
      </c>
      <c r="Z10" s="5">
        <f>IF(S10&gt;1,"1","2")</f>
        <v/>
      </c>
      <c r="AA10" s="5">
        <f>IF(T10&gt;1,"1","2")</f>
        <v/>
      </c>
      <c r="AB10" s="5">
        <f>IF(U10&gt;1,"1","2")</f>
        <v/>
      </c>
      <c r="AC10" s="5">
        <f>IF(V10&gt;1,"1","2")</f>
        <v/>
      </c>
      <c r="AD10" s="5">
        <f>IF(W10&gt;1,"1","2")</f>
        <v/>
      </c>
      <c r="AE10" s="5">
        <f>IF(X10&gt;1,"1","2")</f>
        <v/>
      </c>
      <c r="AF10" t="n">
        <v>-5.137144</v>
      </c>
      <c r="AG10" t="n">
        <v>119.421444</v>
      </c>
    </row>
    <row r="11" ht="14.4" customHeight="1">
      <c r="A11" s="14" t="n">
        <v>8</v>
      </c>
      <c r="B11" s="15" t="inlineStr">
        <is>
          <t>Sab</t>
        </is>
      </c>
      <c r="C11" s="10" t="n">
        <v>9</v>
      </c>
      <c r="D11" s="10" t="n">
        <v>20</v>
      </c>
      <c r="E11" s="16" t="n">
        <v>365</v>
      </c>
      <c r="F11" s="21" t="n">
        <v>0.0199</v>
      </c>
      <c r="G11" s="10" t="n">
        <v>900</v>
      </c>
      <c r="H11" s="13" t="n">
        <v>0.003</v>
      </c>
      <c r="I11" s="18" t="n">
        <v>10950</v>
      </c>
      <c r="J11" s="20" t="n">
        <v>6</v>
      </c>
      <c r="K11" s="19">
        <f>(F11*G11*E11*J11)/(D11*I11)</f>
        <v/>
      </c>
      <c r="L11" s="2">
        <f>(F11*G11*E11*5)/(D11*I11)</f>
        <v/>
      </c>
      <c r="M11" s="2">
        <f>(F11*G11*E11*10)/(D11*I11)</f>
        <v/>
      </c>
      <c r="N11" s="2">
        <f>(F11*G11*E11*15)/(D11*I11)</f>
        <v/>
      </c>
      <c r="O11" s="2">
        <f>(F11*G11*E11*20)/(D11*I11)</f>
        <v/>
      </c>
      <c r="P11" s="2">
        <f>(F11*G11*E11*25)/(D11*I11)</f>
        <v/>
      </c>
      <c r="Q11" s="2">
        <f>(F11*G11*E11*30)/(D11*I11)</f>
        <v/>
      </c>
      <c r="R11" s="2">
        <f>K11/H11</f>
        <v/>
      </c>
      <c r="S11" s="2">
        <f>L11/H11</f>
        <v/>
      </c>
      <c r="T11" s="2">
        <f>M11/H11</f>
        <v/>
      </c>
      <c r="U11" s="2">
        <f>N11/H11</f>
        <v/>
      </c>
      <c r="V11" s="2">
        <f>O11/H11</f>
        <v/>
      </c>
      <c r="W11" s="2">
        <f>P11/H11</f>
        <v/>
      </c>
      <c r="X11" s="2">
        <f>Q11/H11</f>
        <v/>
      </c>
      <c r="Y11" s="5">
        <f>IF(R11&gt;1,"1","2")</f>
        <v/>
      </c>
      <c r="Z11" s="5">
        <f>IF(S11&gt;1,"1","2")</f>
        <v/>
      </c>
      <c r="AA11" s="5">
        <f>IF(T11&gt;1,"1","2")</f>
        <v/>
      </c>
      <c r="AB11" s="5">
        <f>IF(U11&gt;1,"1","2")</f>
        <v/>
      </c>
      <c r="AC11" s="5">
        <f>IF(V11&gt;1,"1","2")</f>
        <v/>
      </c>
      <c r="AD11" s="5">
        <f>IF(W11&gt;1,"1","2")</f>
        <v/>
      </c>
      <c r="AE11" s="5">
        <f>IF(X11&gt;1,"1","2")</f>
        <v/>
      </c>
      <c r="AF11" t="n">
        <v>-5.141905</v>
      </c>
      <c r="AG11" t="n">
        <v>119.427989</v>
      </c>
    </row>
    <row r="12" ht="14.4" customHeight="1">
      <c r="A12" s="14" t="n">
        <v>9</v>
      </c>
      <c r="B12" s="15" t="inlineStr">
        <is>
          <t>Dea</t>
        </is>
      </c>
      <c r="C12" s="10" t="n">
        <v>9</v>
      </c>
      <c r="D12" s="10" t="n">
        <v>39</v>
      </c>
      <c r="E12" s="16" t="n">
        <v>365</v>
      </c>
      <c r="F12" s="21" t="n">
        <v>0.0199</v>
      </c>
      <c r="G12" s="10" t="n">
        <v>900</v>
      </c>
      <c r="H12" s="13" t="n">
        <v>0.003</v>
      </c>
      <c r="I12" s="18" t="n">
        <v>10950</v>
      </c>
      <c r="J12" s="20" t="n">
        <v>1</v>
      </c>
      <c r="K12" s="19">
        <f>(F12*G12*E12*J12)/(D12*I12)</f>
        <v/>
      </c>
      <c r="L12" s="2">
        <f>(F12*G12*E12*5)/(D12*I12)</f>
        <v/>
      </c>
      <c r="M12" s="2">
        <f>(F12*G12*E12*10)/(D12*I12)</f>
        <v/>
      </c>
      <c r="N12" s="2">
        <f>(F12*G12*E12*15)/(D12*I12)</f>
        <v/>
      </c>
      <c r="O12" s="2">
        <f>(F12*G12*E12*20)/(D12*I12)</f>
        <v/>
      </c>
      <c r="P12" s="2">
        <f>(F12*G12*E12*25)/(D12*I12)</f>
        <v/>
      </c>
      <c r="Q12" s="2">
        <f>(F12*G12*E12*30)/(D12*I12)</f>
        <v/>
      </c>
      <c r="R12" s="2">
        <f>K12/H12</f>
        <v/>
      </c>
      <c r="S12" s="2">
        <f>L12/H12</f>
        <v/>
      </c>
      <c r="T12" s="2">
        <f>M12/H12</f>
        <v/>
      </c>
      <c r="U12" s="2">
        <f>N12/H12</f>
        <v/>
      </c>
      <c r="V12" s="2">
        <f>O12/H12</f>
        <v/>
      </c>
      <c r="W12" s="2">
        <f>P12/H12</f>
        <v/>
      </c>
      <c r="X12" s="2">
        <f>Q12/H12</f>
        <v/>
      </c>
      <c r="Y12" s="5">
        <f>IF(R12&gt;1,"1","2")</f>
        <v/>
      </c>
      <c r="Z12" s="5">
        <f>IF(S12&gt;1,"1","2")</f>
        <v/>
      </c>
      <c r="AA12" s="5">
        <f>IF(T12&gt;1,"1","2")</f>
        <v/>
      </c>
      <c r="AB12" s="5">
        <f>IF(U12&gt;1,"1","2")</f>
        <v/>
      </c>
      <c r="AC12" s="5">
        <f>IF(V12&gt;1,"1","2")</f>
        <v/>
      </c>
      <c r="AD12" s="5">
        <f>IF(W12&gt;1,"1","2")</f>
        <v/>
      </c>
      <c r="AE12" s="5">
        <f>IF(X12&gt;1,"1","2")</f>
        <v/>
      </c>
      <c r="AF12" t="n">
        <v>-5.141017</v>
      </c>
      <c r="AG12" t="n">
        <v>119.432874</v>
      </c>
    </row>
    <row r="13" ht="14.4" customHeight="1">
      <c r="A13" s="14" t="n">
        <v>10</v>
      </c>
      <c r="B13" s="15" t="inlineStr">
        <is>
          <t>Muh</t>
        </is>
      </c>
      <c r="C13" s="10" t="n">
        <v>9</v>
      </c>
      <c r="D13" s="10" t="n">
        <v>26</v>
      </c>
      <c r="E13" s="16" t="n">
        <v>365</v>
      </c>
      <c r="F13" s="21" t="n">
        <v>0.0199</v>
      </c>
      <c r="G13" s="10" t="n">
        <v>900</v>
      </c>
      <c r="H13" s="13" t="n">
        <v>0.003</v>
      </c>
      <c r="I13" s="18" t="n">
        <v>10950</v>
      </c>
      <c r="J13" s="20" t="n">
        <v>9</v>
      </c>
      <c r="K13" s="19">
        <f>(F13*G13*E13*J13)/(D13*I13)</f>
        <v/>
      </c>
      <c r="L13" s="2">
        <f>(F13*G13*E13*5)/(D13*I13)</f>
        <v/>
      </c>
      <c r="M13" s="2">
        <f>(F13*G13*E13*10)/(D13*I13)</f>
        <v/>
      </c>
      <c r="N13" s="2">
        <f>(F13*G13*E13*15)/(D13*I13)</f>
        <v/>
      </c>
      <c r="O13" s="2">
        <f>(F13*G13*E13*20)/(D13*I13)</f>
        <v/>
      </c>
      <c r="P13" s="2">
        <f>(F13*G13*E13*25)/(D13*I13)</f>
        <v/>
      </c>
      <c r="Q13" s="2">
        <f>(F13*G13*E13*30)/(D13*I13)</f>
        <v/>
      </c>
      <c r="R13" s="2">
        <f>K13/H13</f>
        <v/>
      </c>
      <c r="S13" s="2">
        <f>L13/H13</f>
        <v/>
      </c>
      <c r="T13" s="2">
        <f>M13/H13</f>
        <v/>
      </c>
      <c r="U13" s="2">
        <f>N13/H13</f>
        <v/>
      </c>
      <c r="V13" s="2">
        <f>O13/H13</f>
        <v/>
      </c>
      <c r="W13" s="2">
        <f>P13/H13</f>
        <v/>
      </c>
      <c r="X13" s="2">
        <f>Q13/H13</f>
        <v/>
      </c>
      <c r="Y13" s="5">
        <f>IF(R13&gt;1,"1","2")</f>
        <v/>
      </c>
      <c r="Z13" s="5">
        <f>IF(S13&gt;1,"1","2")</f>
        <v/>
      </c>
      <c r="AA13" s="5">
        <f>IF(T13&gt;1,"1","2")</f>
        <v/>
      </c>
      <c r="AB13" s="5">
        <f>IF(U13&gt;1,"1","2")</f>
        <v/>
      </c>
      <c r="AC13" s="5">
        <f>IF(V13&gt;1,"1","2")</f>
        <v/>
      </c>
      <c r="AD13" s="5">
        <f>IF(W13&gt;1,"1","2")</f>
        <v/>
      </c>
      <c r="AE13" s="5">
        <f>IF(X13&gt;1,"1","2")</f>
        <v/>
      </c>
      <c r="AF13" t="n">
        <v>-5.14964</v>
      </c>
      <c r="AG13" t="n">
        <v>119.434263</v>
      </c>
    </row>
    <row r="14" ht="14.4" customHeight="1">
      <c r="A14" s="14" t="n">
        <v>11</v>
      </c>
      <c r="B14" s="15" t="inlineStr">
        <is>
          <t>Aks</t>
        </is>
      </c>
      <c r="C14" s="10" t="n">
        <v>9</v>
      </c>
      <c r="D14" s="10" t="n">
        <v>25</v>
      </c>
      <c r="E14" s="16" t="n">
        <v>365</v>
      </c>
      <c r="F14" s="21" t="n">
        <v>0.0199</v>
      </c>
      <c r="G14" s="10" t="n">
        <v>900</v>
      </c>
      <c r="H14" s="13" t="n">
        <v>0.003</v>
      </c>
      <c r="I14" s="18" t="n">
        <v>10950</v>
      </c>
      <c r="J14" s="20" t="n">
        <v>1</v>
      </c>
      <c r="K14" s="19">
        <f>(F14*G14*E14*J14)/(D14*I14)</f>
        <v/>
      </c>
      <c r="L14" s="2">
        <f>(F14*G14*E14*5)/(D14*I14)</f>
        <v/>
      </c>
      <c r="M14" s="2">
        <f>(F14*G14*E14*10)/(D14*I14)</f>
        <v/>
      </c>
      <c r="N14" s="2">
        <f>(F14*G14*E14*15)/(D14*I14)</f>
        <v/>
      </c>
      <c r="O14" s="2">
        <f>(F14*G14*E14*20)/(D14*I14)</f>
        <v/>
      </c>
      <c r="P14" s="2">
        <f>(F14*G14*E14*25)/(D14*I14)</f>
        <v/>
      </c>
      <c r="Q14" s="2">
        <f>(F14*G14*E14*30)/(D14*I14)</f>
        <v/>
      </c>
      <c r="R14" s="2">
        <f>K14/H14</f>
        <v/>
      </c>
      <c r="S14" s="2">
        <f>L14/H14</f>
        <v/>
      </c>
      <c r="T14" s="2">
        <f>M14/H14</f>
        <v/>
      </c>
      <c r="U14" s="2">
        <f>N14/H14</f>
        <v/>
      </c>
      <c r="V14" s="2">
        <f>O14/H14</f>
        <v/>
      </c>
      <c r="W14" s="2">
        <f>P14/H14</f>
        <v/>
      </c>
      <c r="X14" s="2">
        <f>Q14/H14</f>
        <v/>
      </c>
      <c r="Y14" s="5">
        <f>IF(R14&gt;1,"1","2")</f>
        <v/>
      </c>
      <c r="Z14" s="5">
        <f>IF(S14&gt;1,"1","2")</f>
        <v/>
      </c>
      <c r="AA14" s="5">
        <f>IF(T14&gt;1,"1","2")</f>
        <v/>
      </c>
      <c r="AB14" s="5">
        <f>IF(U14&gt;1,"1","2")</f>
        <v/>
      </c>
      <c r="AC14" s="5">
        <f>IF(V14&gt;1,"1","2")</f>
        <v/>
      </c>
      <c r="AD14" s="5">
        <f>IF(W14&gt;1,"1","2")</f>
        <v/>
      </c>
      <c r="AE14" s="5">
        <f>IF(X14&gt;1,"1","2")</f>
        <v/>
      </c>
      <c r="AF14" t="n">
        <v>-5.155727</v>
      </c>
      <c r="AG14" t="n">
        <v>119.435129</v>
      </c>
    </row>
    <row r="15" ht="14.4" customHeight="1">
      <c r="A15" s="14" t="n">
        <v>12</v>
      </c>
      <c r="B15" s="15" t="inlineStr">
        <is>
          <t>Bil</t>
        </is>
      </c>
      <c r="C15" s="10" t="n">
        <v>9</v>
      </c>
      <c r="D15" s="10" t="n">
        <v>32</v>
      </c>
      <c r="E15" s="16" t="n">
        <v>365</v>
      </c>
      <c r="F15" s="21" t="n">
        <v>0.0032</v>
      </c>
      <c r="G15" s="10" t="n">
        <v>900</v>
      </c>
      <c r="H15" s="13" t="n">
        <v>0.003</v>
      </c>
      <c r="I15" s="18" t="n">
        <v>10950</v>
      </c>
      <c r="J15" s="20" t="n">
        <v>9</v>
      </c>
      <c r="K15" s="19">
        <f>(F15*G15*E15*J15)/(D15*I15)</f>
        <v/>
      </c>
      <c r="L15" s="2">
        <f>(F15*G15*E15*5)/(D15*I15)</f>
        <v/>
      </c>
      <c r="M15" s="2">
        <f>(F15*G15*E15*10)/(D15*I15)</f>
        <v/>
      </c>
      <c r="N15" s="2">
        <f>(F15*G15*E15*15)/(D15*I15)</f>
        <v/>
      </c>
      <c r="O15" s="2">
        <f>(F15*G15*E15*20)/(D15*I15)</f>
        <v/>
      </c>
      <c r="P15" s="2">
        <f>(F15*G15*E15*25)/(D15*I15)</f>
        <v/>
      </c>
      <c r="Q15" s="2">
        <f>(F15*G15*E15*30)/(D15*I15)</f>
        <v/>
      </c>
      <c r="R15" s="2">
        <f>K15/H15</f>
        <v/>
      </c>
      <c r="S15" s="2">
        <f>L15/H15</f>
        <v/>
      </c>
      <c r="T15" s="2">
        <f>M15/H15</f>
        <v/>
      </c>
      <c r="U15" s="2">
        <f>N15/H15</f>
        <v/>
      </c>
      <c r="V15" s="2">
        <f>O15/H15</f>
        <v/>
      </c>
      <c r="W15" s="2">
        <f>P15/H15</f>
        <v/>
      </c>
      <c r="X15" s="2">
        <f>Q15/H15</f>
        <v/>
      </c>
      <c r="Y15" s="5">
        <f>IF(R15&gt;1,"1","2")</f>
        <v/>
      </c>
      <c r="Z15" s="5">
        <f>IF(S15&gt;1,"1","2")</f>
        <v/>
      </c>
      <c r="AA15" s="5">
        <f>IF(T15&gt;1,"1","2")</f>
        <v/>
      </c>
      <c r="AB15" s="5">
        <f>IF(U15&gt;1,"1","2")</f>
        <v/>
      </c>
      <c r="AC15" s="5">
        <f>IF(V15&gt;1,"1","2")</f>
        <v/>
      </c>
      <c r="AD15" s="5">
        <f>IF(W15&gt;1,"1","2")</f>
        <v/>
      </c>
      <c r="AE15" s="5">
        <f>IF(X15&gt;1,"1","2")</f>
        <v/>
      </c>
      <c r="AF15" t="n">
        <v>-5.12139</v>
      </c>
      <c r="AG15" t="n">
        <v>119.400583</v>
      </c>
    </row>
    <row r="16" ht="14.4" customHeight="1">
      <c r="A16" s="14" t="n">
        <v>13</v>
      </c>
      <c r="B16" s="15" t="inlineStr">
        <is>
          <t>Abd</t>
        </is>
      </c>
      <c r="C16" s="10" t="n">
        <v>9</v>
      </c>
      <c r="D16" s="10" t="n">
        <v>24</v>
      </c>
      <c r="E16" s="16" t="n">
        <v>365</v>
      </c>
      <c r="F16" s="21" t="n">
        <v>0.0018</v>
      </c>
      <c r="G16" s="10" t="n">
        <v>900</v>
      </c>
      <c r="H16" s="13" t="n">
        <v>0.003</v>
      </c>
      <c r="I16" s="18" t="n">
        <v>10950</v>
      </c>
      <c r="J16" s="20" t="n">
        <v>9</v>
      </c>
      <c r="K16" s="19">
        <f>(F16*G16*E16*J16)/(D16*I16)</f>
        <v/>
      </c>
      <c r="L16" s="2">
        <f>(F16*G16*E16*5)/(D16*I16)</f>
        <v/>
      </c>
      <c r="M16" s="2">
        <f>(F16*G16*E16*10)/(D16*I16)</f>
        <v/>
      </c>
      <c r="N16" s="2">
        <f>(F16*G16*E16*15)/(D16*I16)</f>
        <v/>
      </c>
      <c r="O16" s="2">
        <f>(F16*G16*E16*20)/(D16*I16)</f>
        <v/>
      </c>
      <c r="P16" s="2">
        <f>(F16*G16*E16*25)/(D16*I16)</f>
        <v/>
      </c>
      <c r="Q16" s="2">
        <f>(F16*G16*E16*30)/(D16*I16)</f>
        <v/>
      </c>
      <c r="R16" s="2">
        <f>K16/H16</f>
        <v/>
      </c>
      <c r="S16" s="2">
        <f>L16/H16</f>
        <v/>
      </c>
      <c r="T16" s="2">
        <f>M16/H16</f>
        <v/>
      </c>
      <c r="U16" s="2">
        <f>N16/H16</f>
        <v/>
      </c>
      <c r="V16" s="2">
        <f>O16/H16</f>
        <v/>
      </c>
      <c r="W16" s="2">
        <f>P16/H16</f>
        <v/>
      </c>
      <c r="X16" s="2">
        <f>Q16/H16</f>
        <v/>
      </c>
      <c r="Y16" s="5">
        <f>IF(R16&gt;1,"1","2")</f>
        <v/>
      </c>
      <c r="Z16" s="5">
        <f>IF(S16&gt;1,"1","2")</f>
        <v/>
      </c>
      <c r="AA16" s="5">
        <f>IF(T16&gt;1,"1","2")</f>
        <v/>
      </c>
      <c r="AB16" s="5">
        <f>IF(U16&gt;1,"1","2")</f>
        <v/>
      </c>
      <c r="AC16" s="5">
        <f>IF(V16&gt;1,"1","2")</f>
        <v/>
      </c>
      <c r="AD16" s="5">
        <f>IF(W16&gt;1,"1","2")</f>
        <v/>
      </c>
      <c r="AE16" s="5">
        <f>IF(X16&gt;1,"1","2")</f>
        <v/>
      </c>
      <c r="AF16" t="n">
        <v>-5.145539</v>
      </c>
      <c r="AG16" t="n">
        <v>119.424024</v>
      </c>
    </row>
    <row r="17" ht="14.4" customHeight="1">
      <c r="A17" s="14" t="n">
        <v>14</v>
      </c>
      <c r="B17" s="15" t="inlineStr">
        <is>
          <t>Way</t>
        </is>
      </c>
      <c r="C17" s="10" t="n">
        <v>9</v>
      </c>
      <c r="D17" s="10" t="n">
        <v>28</v>
      </c>
      <c r="E17" s="16" t="n">
        <v>365</v>
      </c>
      <c r="F17" s="21" t="n">
        <v>0.0018</v>
      </c>
      <c r="G17" s="10" t="n">
        <v>900</v>
      </c>
      <c r="H17" s="13" t="n">
        <v>0.003</v>
      </c>
      <c r="I17" s="18" t="n">
        <v>10950</v>
      </c>
      <c r="J17" s="20" t="n">
        <v>4</v>
      </c>
      <c r="K17" s="19">
        <f>(F17*G17*E17*J17)/(D17*I17)</f>
        <v/>
      </c>
      <c r="L17" s="2">
        <f>(F17*G17*E17*5)/(D17*I17)</f>
        <v/>
      </c>
      <c r="M17" s="2">
        <f>(F17*G17*E17*10)/(D17*I17)</f>
        <v/>
      </c>
      <c r="N17" s="2">
        <f>(F17*G17*E17*15)/(D17*I17)</f>
        <v/>
      </c>
      <c r="O17" s="2">
        <f>(F17*G17*E17*20)/(D17*I17)</f>
        <v/>
      </c>
      <c r="P17" s="2">
        <f>(F17*G17*E17*25)/(D17*I17)</f>
        <v/>
      </c>
      <c r="Q17" s="2">
        <f>(F17*G17*E17*30)/(D17*I17)</f>
        <v/>
      </c>
      <c r="R17" s="2">
        <f>K17/H17</f>
        <v/>
      </c>
      <c r="S17" s="2">
        <f>L17/H17</f>
        <v/>
      </c>
      <c r="T17" s="2">
        <f>M17/H17</f>
        <v/>
      </c>
      <c r="U17" s="2">
        <f>N17/H17</f>
        <v/>
      </c>
      <c r="V17" s="2">
        <f>O17/H17</f>
        <v/>
      </c>
      <c r="W17" s="2">
        <f>P17/H17</f>
        <v/>
      </c>
      <c r="X17" s="2">
        <f>Q17/H17</f>
        <v/>
      </c>
      <c r="Y17" s="5">
        <f>IF(R17&gt;1,"1","2")</f>
        <v/>
      </c>
      <c r="Z17" s="5">
        <f>IF(S17&gt;1,"1","2")</f>
        <v/>
      </c>
      <c r="AA17" s="5">
        <f>IF(T17&gt;1,"1","2")</f>
        <v/>
      </c>
      <c r="AB17" s="5">
        <f>IF(U17&gt;1,"1","2")</f>
        <v/>
      </c>
      <c r="AC17" s="5">
        <f>IF(V17&gt;1,"1","2")</f>
        <v/>
      </c>
      <c r="AD17" s="5">
        <f>IF(W17&gt;1,"1","2")</f>
        <v/>
      </c>
      <c r="AE17" s="5">
        <f>IF(X17&gt;1,"1","2")</f>
        <v/>
      </c>
      <c r="AF17" t="n">
        <v>-5.139121</v>
      </c>
      <c r="AG17" t="n">
        <v>119.440335</v>
      </c>
    </row>
    <row r="18" ht="14.4" customHeight="1">
      <c r="A18" s="14" t="n">
        <v>15</v>
      </c>
      <c r="B18" s="15" t="inlineStr">
        <is>
          <t>Ngh</t>
        </is>
      </c>
      <c r="C18" s="10" t="n">
        <v>9</v>
      </c>
      <c r="D18" s="10" t="n">
        <v>29</v>
      </c>
      <c r="E18" s="16" t="n">
        <v>365</v>
      </c>
      <c r="F18" s="21" t="n">
        <v>0.0014</v>
      </c>
      <c r="G18" s="10" t="n">
        <v>900</v>
      </c>
      <c r="H18" s="13" t="n">
        <v>0.003</v>
      </c>
      <c r="I18" s="18" t="n">
        <v>10950</v>
      </c>
      <c r="J18" s="20" t="n">
        <v>9</v>
      </c>
      <c r="K18" s="19">
        <f>(F18*G18*E18*J18)/(D18*I18)</f>
        <v/>
      </c>
      <c r="L18" s="2">
        <f>(F18*G18*E18*5)/(D18*I18)</f>
        <v/>
      </c>
      <c r="M18" s="2">
        <f>(F18*G18*E18*10)/(D18*I18)</f>
        <v/>
      </c>
      <c r="N18" s="2">
        <f>(F18*G18*E18*15)/(D18*I18)</f>
        <v/>
      </c>
      <c r="O18" s="2">
        <f>(F18*G18*E18*20)/(D18*I18)</f>
        <v/>
      </c>
      <c r="P18" s="2">
        <f>(F18*G18*E18*25)/(D18*I18)</f>
        <v/>
      </c>
      <c r="Q18" s="2">
        <f>(F18*G18*E18*30)/(D18*I18)</f>
        <v/>
      </c>
      <c r="R18" s="2">
        <f>K18/H18</f>
        <v/>
      </c>
      <c r="S18" s="2">
        <f>L18/H18</f>
        <v/>
      </c>
      <c r="T18" s="2">
        <f>M18/H18</f>
        <v/>
      </c>
      <c r="U18" s="2">
        <f>N18/H18</f>
        <v/>
      </c>
      <c r="V18" s="2">
        <f>O18/H18</f>
        <v/>
      </c>
      <c r="W18" s="2">
        <f>P18/H18</f>
        <v/>
      </c>
      <c r="X18" s="2">
        <f>Q18/H18</f>
        <v/>
      </c>
      <c r="Y18" s="5">
        <f>IF(R18&gt;1,"1","2")</f>
        <v/>
      </c>
      <c r="Z18" s="5">
        <f>IF(S18&gt;1,"1","2")</f>
        <v/>
      </c>
      <c r="AA18" s="5">
        <f>IF(T18&gt;1,"1","2")</f>
        <v/>
      </c>
      <c r="AB18" s="5">
        <f>IF(U18&gt;1,"1","2")</f>
        <v/>
      </c>
      <c r="AC18" s="5">
        <f>IF(V18&gt;1,"1","2")</f>
        <v/>
      </c>
      <c r="AD18" s="5">
        <f>IF(W18&gt;1,"1","2")</f>
        <v/>
      </c>
      <c r="AE18" s="5">
        <f>IF(X18&gt;1,"1","2")</f>
        <v/>
      </c>
      <c r="AF18" t="n">
        <v>-5.152749</v>
      </c>
      <c r="AG18" t="n">
        <v>119.433072</v>
      </c>
    </row>
    <row r="19" ht="14.4" customHeight="1">
      <c r="A19" s="14" t="n">
        <v>16</v>
      </c>
      <c r="B19" s="15" t="inlineStr">
        <is>
          <t>Gia</t>
        </is>
      </c>
      <c r="C19" s="10" t="n">
        <v>9</v>
      </c>
      <c r="D19" s="10" t="n">
        <v>25</v>
      </c>
      <c r="E19" s="16" t="n">
        <v>365</v>
      </c>
      <c r="F19" s="21" t="n">
        <v>0.0031</v>
      </c>
      <c r="G19" s="10" t="n">
        <v>900</v>
      </c>
      <c r="H19" s="13" t="n">
        <v>0.003</v>
      </c>
      <c r="I19" s="18" t="n">
        <v>10950</v>
      </c>
      <c r="J19" s="20" t="n">
        <v>9</v>
      </c>
      <c r="K19" s="19">
        <f>(F19*G19*E19*J19)/(D19*I19)</f>
        <v/>
      </c>
      <c r="L19" s="2">
        <f>(F19*G19*E19*5)/(D19*I19)</f>
        <v/>
      </c>
      <c r="M19" s="2">
        <f>(F19*G19*E19*10)/(D19*I19)</f>
        <v/>
      </c>
      <c r="N19" s="2">
        <f>(F19*G19*E19*15)/(D19*I19)</f>
        <v/>
      </c>
      <c r="O19" s="2">
        <f>(F19*G19*E19*20)/(D19*I19)</f>
        <v/>
      </c>
      <c r="P19" s="2">
        <f>(F19*G19*E19*25)/(D19*I19)</f>
        <v/>
      </c>
      <c r="Q19" s="2">
        <f>(F19*G19*E19*30)/(D19*I19)</f>
        <v/>
      </c>
      <c r="R19" s="2">
        <f>K19/H19</f>
        <v/>
      </c>
      <c r="S19" s="2">
        <f>L19/H19</f>
        <v/>
      </c>
      <c r="T19" s="2">
        <f>M19/H19</f>
        <v/>
      </c>
      <c r="U19" s="2">
        <f>N19/H19</f>
        <v/>
      </c>
      <c r="V19" s="2">
        <f>O19/H19</f>
        <v/>
      </c>
      <c r="W19" s="2">
        <f>P19/H19</f>
        <v/>
      </c>
      <c r="X19" s="2">
        <f>Q19/H19</f>
        <v/>
      </c>
      <c r="Y19" s="5">
        <f>IF(R19&gt;1,"1","2")</f>
        <v/>
      </c>
      <c r="Z19" s="5">
        <f>IF(S19&gt;1,"1","2")</f>
        <v/>
      </c>
      <c r="AA19" s="5">
        <f>IF(T19&gt;1,"1","2")</f>
        <v/>
      </c>
      <c r="AB19" s="5">
        <f>IF(U19&gt;1,"1","2")</f>
        <v/>
      </c>
      <c r="AC19" s="5">
        <f>IF(V19&gt;1,"1","2")</f>
        <v/>
      </c>
      <c r="AD19" s="5">
        <f>IF(W19&gt;1,"1","2")</f>
        <v/>
      </c>
      <c r="AE19" s="5">
        <f>IF(X19&gt;1,"1","2")</f>
        <v/>
      </c>
      <c r="AF19" t="n">
        <v>-5.132915</v>
      </c>
      <c r="AG19" t="n">
        <v>119.439246</v>
      </c>
    </row>
    <row r="20" ht="14.4" customHeight="1">
      <c r="A20" s="14" t="n">
        <v>17</v>
      </c>
      <c r="B20" s="15" t="inlineStr">
        <is>
          <t>Sar</t>
        </is>
      </c>
      <c r="C20" s="10" t="n">
        <v>9</v>
      </c>
      <c r="D20" s="10" t="n">
        <v>25</v>
      </c>
      <c r="E20" s="16" t="n">
        <v>365</v>
      </c>
      <c r="F20" s="21" t="n">
        <v>0.0022</v>
      </c>
      <c r="G20" s="10" t="n">
        <v>1500</v>
      </c>
      <c r="H20" s="13" t="n">
        <v>0.003</v>
      </c>
      <c r="I20" s="18" t="n">
        <v>10950</v>
      </c>
      <c r="J20" s="20" t="n">
        <v>9</v>
      </c>
      <c r="K20" s="19">
        <f>(F20*G20*E20*J20)/(D20*I20)</f>
        <v/>
      </c>
      <c r="L20" s="2">
        <f>(F20*G20*E20*5)/(D20*I20)</f>
        <v/>
      </c>
      <c r="M20" s="2">
        <f>(F20*G20*E20*10)/(D20*I20)</f>
        <v/>
      </c>
      <c r="N20" s="2">
        <f>(F20*G20*E20*15)/(D20*I20)</f>
        <v/>
      </c>
      <c r="O20" s="2">
        <f>(F20*G20*E20*20)/(D20*I20)</f>
        <v/>
      </c>
      <c r="P20" s="2">
        <f>(F20*G20*E20*25)/(D20*I20)</f>
        <v/>
      </c>
      <c r="Q20" s="2">
        <f>(F20*G20*E20*30)/(D20*I20)</f>
        <v/>
      </c>
      <c r="R20" s="2">
        <f>K20/H20</f>
        <v/>
      </c>
      <c r="S20" s="2">
        <f>L20/H20</f>
        <v/>
      </c>
      <c r="T20" s="2">
        <f>M20/H20</f>
        <v/>
      </c>
      <c r="U20" s="2">
        <f>N20/H20</f>
        <v/>
      </c>
      <c r="V20" s="2">
        <f>O20/H20</f>
        <v/>
      </c>
      <c r="W20" s="2">
        <f>P20/H20</f>
        <v/>
      </c>
      <c r="X20" s="2">
        <f>Q20/H20</f>
        <v/>
      </c>
      <c r="Y20" s="5">
        <f>IF(R20&gt;1,"1","2")</f>
        <v/>
      </c>
      <c r="Z20" s="5">
        <f>IF(S20&gt;1,"1","2")</f>
        <v/>
      </c>
      <c r="AA20" s="5">
        <f>IF(T20&gt;1,"1","2")</f>
        <v/>
      </c>
      <c r="AB20" s="5">
        <f>IF(U20&gt;1,"1","2")</f>
        <v/>
      </c>
      <c r="AC20" s="5">
        <f>IF(V20&gt;1,"1","2")</f>
        <v/>
      </c>
      <c r="AD20" s="5">
        <f>IF(W20&gt;1,"1","2")</f>
        <v/>
      </c>
      <c r="AE20" s="5">
        <f>IF(X20&gt;1,"1","2")</f>
        <v/>
      </c>
      <c r="AF20" t="n">
        <v>-5.123774</v>
      </c>
      <c r="AG20" t="n">
        <v>119.434313</v>
      </c>
    </row>
    <row r="21" ht="14.4" customHeight="1">
      <c r="A21" s="14" t="n">
        <v>18</v>
      </c>
      <c r="B21" s="15" t="inlineStr">
        <is>
          <t>Gaf</t>
        </is>
      </c>
      <c r="C21" s="10" t="n">
        <v>9</v>
      </c>
      <c r="D21" s="10" t="n">
        <v>25</v>
      </c>
      <c r="E21" s="16" t="n">
        <v>365</v>
      </c>
      <c r="F21" s="21" t="n">
        <v>0.0022</v>
      </c>
      <c r="G21" s="10" t="n">
        <v>900</v>
      </c>
      <c r="H21" s="13" t="n">
        <v>0.003</v>
      </c>
      <c r="I21" s="18" t="n">
        <v>10950</v>
      </c>
      <c r="J21" s="20" t="n">
        <v>9</v>
      </c>
      <c r="K21" s="19">
        <f>(F21*G21*E21*J21)/(D21*I21)</f>
        <v/>
      </c>
      <c r="L21" s="2">
        <f>(F21*G21*E21*5)/(D21*I21)</f>
        <v/>
      </c>
      <c r="M21" s="2">
        <f>(F21*G21*E21*10)/(D21*I21)</f>
        <v/>
      </c>
      <c r="N21" s="2">
        <f>(F21*G21*E21*15)/(D21*I21)</f>
        <v/>
      </c>
      <c r="O21" s="2">
        <f>(F21*G21*E21*20)/(D21*I21)</f>
        <v/>
      </c>
      <c r="P21" s="2">
        <f>(F21*G21*E21*25)/(D21*I21)</f>
        <v/>
      </c>
      <c r="Q21" s="2">
        <f>(F21*G21*E21*30)/(D21*I21)</f>
        <v/>
      </c>
      <c r="R21" s="2">
        <f>K21/H21</f>
        <v/>
      </c>
      <c r="S21" s="2">
        <f>L21/H21</f>
        <v/>
      </c>
      <c r="T21" s="2">
        <f>M21/H21</f>
        <v/>
      </c>
      <c r="U21" s="2">
        <f>N21/H21</f>
        <v/>
      </c>
      <c r="V21" s="2">
        <f>O21/H21</f>
        <v/>
      </c>
      <c r="W21" s="2">
        <f>P21/H21</f>
        <v/>
      </c>
      <c r="X21" s="2">
        <f>Q21/H21</f>
        <v/>
      </c>
      <c r="Y21" s="5">
        <f>IF(R21&gt;1,"1","2")</f>
        <v/>
      </c>
      <c r="Z21" s="5">
        <f>IF(S21&gt;1,"1","2")</f>
        <v/>
      </c>
      <c r="AA21" s="5">
        <f>IF(T21&gt;1,"1","2")</f>
        <v/>
      </c>
      <c r="AB21" s="5">
        <f>IF(U21&gt;1,"1","2")</f>
        <v/>
      </c>
      <c r="AC21" s="5">
        <f>IF(V21&gt;1,"1","2")</f>
        <v/>
      </c>
      <c r="AD21" s="5">
        <f>IF(W21&gt;1,"1","2")</f>
        <v/>
      </c>
      <c r="AE21" s="5">
        <f>IF(X21&gt;1,"1","2")</f>
        <v/>
      </c>
      <c r="AF21" t="n">
        <v>-5.153402</v>
      </c>
      <c r="AG21" t="n">
        <v>119.434488</v>
      </c>
    </row>
    <row r="22" ht="14.4" customHeight="1">
      <c r="A22" s="14" t="n">
        <v>19</v>
      </c>
      <c r="B22" s="15" t="inlineStr">
        <is>
          <t>Gii</t>
        </is>
      </c>
      <c r="C22" s="10" t="n">
        <v>9</v>
      </c>
      <c r="D22" s="10" t="n">
        <v>25</v>
      </c>
      <c r="E22" s="16" t="n">
        <v>365</v>
      </c>
      <c r="F22" s="21" t="n">
        <v>0.0063</v>
      </c>
      <c r="G22" s="10" t="n">
        <v>900</v>
      </c>
      <c r="H22" s="13" t="n">
        <v>0.003</v>
      </c>
      <c r="I22" s="18" t="n">
        <v>10950</v>
      </c>
      <c r="J22" s="20" t="n">
        <v>9</v>
      </c>
      <c r="K22" s="19">
        <f>(F22*G22*E22*J22)/(D22*I22)</f>
        <v/>
      </c>
      <c r="L22" s="2">
        <f>(F22*G22*E22*5)/(D22*I22)</f>
        <v/>
      </c>
      <c r="M22" s="2">
        <f>(F22*G22*E22*10)/(D22*I22)</f>
        <v/>
      </c>
      <c r="N22" s="2">
        <f>(F22*G22*E22*15)/(D22*I22)</f>
        <v/>
      </c>
      <c r="O22" s="2">
        <f>(F22*G22*E22*20)/(D22*I22)</f>
        <v/>
      </c>
      <c r="P22" s="2">
        <f>(F22*G22*E22*25)/(D22*I22)</f>
        <v/>
      </c>
      <c r="Q22" s="2">
        <f>(F22*G22*E22*30)/(D22*I22)</f>
        <v/>
      </c>
      <c r="R22" s="2">
        <f>K22/H22</f>
        <v/>
      </c>
      <c r="S22" s="2">
        <f>L22/H22</f>
        <v/>
      </c>
      <c r="T22" s="2">
        <f>M22/H22</f>
        <v/>
      </c>
      <c r="U22" s="2">
        <f>N22/H22</f>
        <v/>
      </c>
      <c r="V22" s="2">
        <f>O22/H22</f>
        <v/>
      </c>
      <c r="W22" s="2">
        <f>P22/H22</f>
        <v/>
      </c>
      <c r="X22" s="2">
        <f>Q22/H22</f>
        <v/>
      </c>
      <c r="Y22" s="5">
        <f>IF(R22&gt;1,"1","2")</f>
        <v/>
      </c>
      <c r="Z22" s="5">
        <f>IF(S22&gt;1,"1","2")</f>
        <v/>
      </c>
      <c r="AA22" s="5">
        <f>IF(T22&gt;1,"1","2")</f>
        <v/>
      </c>
      <c r="AB22" s="5">
        <f>IF(U22&gt;1,"1","2")</f>
        <v/>
      </c>
      <c r="AC22" s="5">
        <f>IF(V22&gt;1,"1","2")</f>
        <v/>
      </c>
      <c r="AD22" s="5">
        <f>IF(W22&gt;1,"1","2")</f>
        <v/>
      </c>
      <c r="AE22" s="5">
        <f>IF(X22&gt;1,"1","2")</f>
        <v/>
      </c>
      <c r="AF22" t="n">
        <v>-5.121672</v>
      </c>
      <c r="AG22" t="n">
        <v>119.407018</v>
      </c>
    </row>
    <row r="23" ht="14.4" customHeight="1">
      <c r="A23" s="14" t="n">
        <v>20</v>
      </c>
      <c r="B23" s="15" t="inlineStr">
        <is>
          <t>Nh</t>
        </is>
      </c>
      <c r="C23" s="10" t="n">
        <v>9</v>
      </c>
      <c r="D23" s="10" t="n">
        <v>29</v>
      </c>
      <c r="E23" s="16" t="n">
        <v>365</v>
      </c>
      <c r="F23" s="21" t="n">
        <v>0.0005999999999999999</v>
      </c>
      <c r="G23" s="10" t="n">
        <v>900</v>
      </c>
      <c r="H23" s="13" t="n">
        <v>0.003</v>
      </c>
      <c r="I23" s="18" t="n">
        <v>10950</v>
      </c>
      <c r="J23" s="20" t="n">
        <v>9</v>
      </c>
      <c r="K23" s="19">
        <f>(F23*G23*E23*J23)/(D23*I23)</f>
        <v/>
      </c>
      <c r="L23" s="2">
        <f>(F23*G23*E23*5)/(D23*I23)</f>
        <v/>
      </c>
      <c r="M23" s="2">
        <f>(F23*G23*E23*10)/(D23*I23)</f>
        <v/>
      </c>
      <c r="N23" s="2">
        <f>(F23*G23*E23*15)/(D23*I23)</f>
        <v/>
      </c>
      <c r="O23" s="2">
        <f>(F23*G23*E23*20)/(D23*I23)</f>
        <v/>
      </c>
      <c r="P23" s="2">
        <f>(F23*G23*E23*25)/(D23*I23)</f>
        <v/>
      </c>
      <c r="Q23" s="2">
        <f>(F23*G23*E23*30)/(D23*I23)</f>
        <v/>
      </c>
      <c r="R23" s="2">
        <f>K23/H23</f>
        <v/>
      </c>
      <c r="S23" s="2">
        <f>L23/H23</f>
        <v/>
      </c>
      <c r="T23" s="2">
        <f>M23/H23</f>
        <v/>
      </c>
      <c r="U23" s="2">
        <f>N23/H23</f>
        <v/>
      </c>
      <c r="V23" s="2">
        <f>O23/H23</f>
        <v/>
      </c>
      <c r="W23" s="2">
        <f>P23/H23</f>
        <v/>
      </c>
      <c r="X23" s="2">
        <f>Q23/H23</f>
        <v/>
      </c>
      <c r="Y23" s="5">
        <f>IF(R23&gt;1,"1","2")</f>
        <v/>
      </c>
      <c r="Z23" s="5">
        <f>IF(S23&gt;1,"1","2")</f>
        <v/>
      </c>
      <c r="AA23" s="5">
        <f>IF(T23&gt;1,"1","2")</f>
        <v/>
      </c>
      <c r="AB23" s="5">
        <f>IF(U23&gt;1,"1","2")</f>
        <v/>
      </c>
      <c r="AC23" s="5">
        <f>IF(V23&gt;1,"1","2")</f>
        <v/>
      </c>
      <c r="AD23" s="5">
        <f>IF(W23&gt;1,"1","2")</f>
        <v/>
      </c>
      <c r="AE23" s="5">
        <f>IF(X23&gt;1,"1","2")</f>
        <v/>
      </c>
      <c r="AF23" t="n">
        <v>-5.123005</v>
      </c>
      <c r="AG23" t="n">
        <v>119.44743</v>
      </c>
    </row>
    <row r="24" ht="14.4" customHeight="1">
      <c r="A24" s="14" t="n">
        <v>21</v>
      </c>
      <c r="B24" s="15" t="inlineStr">
        <is>
          <t>Gaw</t>
        </is>
      </c>
      <c r="C24" s="10" t="n">
        <v>9</v>
      </c>
      <c r="D24" s="10" t="n">
        <v>25</v>
      </c>
      <c r="E24" s="16" t="n">
        <v>365</v>
      </c>
      <c r="F24" s="21" t="n">
        <v>0.0016</v>
      </c>
      <c r="G24" s="10" t="n">
        <v>1500</v>
      </c>
      <c r="H24" s="13" t="n">
        <v>0.003</v>
      </c>
      <c r="I24" s="18" t="n">
        <v>10950</v>
      </c>
      <c r="J24" s="20" t="n">
        <v>9</v>
      </c>
      <c r="K24" s="19">
        <f>(F24*G24*E24*J24)/(D24*I24)</f>
        <v/>
      </c>
      <c r="L24" s="2">
        <f>(F24*G24*E24*5)/(D24*I24)</f>
        <v/>
      </c>
      <c r="M24" s="2">
        <f>(F24*G24*E24*10)/(D24*I24)</f>
        <v/>
      </c>
      <c r="N24" s="2">
        <f>(F24*G24*E24*15)/(D24*I24)</f>
        <v/>
      </c>
      <c r="O24" s="2">
        <f>(F24*G24*E24*20)/(D24*I24)</f>
        <v/>
      </c>
      <c r="P24" s="2">
        <f>(F24*G24*E24*25)/(D24*I24)</f>
        <v/>
      </c>
      <c r="Q24" s="2">
        <f>(F24*G24*E24*30)/(D24*I24)</f>
        <v/>
      </c>
      <c r="R24" s="2">
        <f>K24/H24</f>
        <v/>
      </c>
      <c r="S24" s="2">
        <f>L24/H24</f>
        <v/>
      </c>
      <c r="T24" s="2">
        <f>M24/H24</f>
        <v/>
      </c>
      <c r="U24" s="2">
        <f>N24/H24</f>
        <v/>
      </c>
      <c r="V24" s="2">
        <f>O24/H24</f>
        <v/>
      </c>
      <c r="W24" s="2">
        <f>P24/H24</f>
        <v/>
      </c>
      <c r="X24" s="2">
        <f>Q24/H24</f>
        <v/>
      </c>
      <c r="Y24" s="5">
        <f>IF(R24&gt;1,"1","2")</f>
        <v/>
      </c>
      <c r="Z24" s="5">
        <f>IF(S24&gt;1,"1","2")</f>
        <v/>
      </c>
      <c r="AA24" s="5">
        <f>IF(T24&gt;1,"1","2")</f>
        <v/>
      </c>
      <c r="AB24" s="5">
        <f>IF(U24&gt;1,"1","2")</f>
        <v/>
      </c>
      <c r="AC24" s="5">
        <f>IF(V24&gt;1,"1","2")</f>
        <v/>
      </c>
      <c r="AD24" s="5">
        <f>IF(W24&gt;1,"1","2")</f>
        <v/>
      </c>
      <c r="AE24" s="5">
        <f>IF(X24&gt;1,"1","2")</f>
        <v/>
      </c>
      <c r="AF24" t="n">
        <v>-5.131506</v>
      </c>
      <c r="AG24" t="n">
        <v>119.44199</v>
      </c>
    </row>
    <row r="25" ht="14.4" customHeight="1">
      <c r="A25" s="14" t="n">
        <v>22</v>
      </c>
      <c r="B25" s="15" t="inlineStr">
        <is>
          <t>ALs</t>
        </is>
      </c>
      <c r="C25" s="10" t="n">
        <v>9</v>
      </c>
      <c r="D25" s="10" t="n">
        <v>25</v>
      </c>
      <c r="E25" s="16" t="n">
        <v>365</v>
      </c>
      <c r="F25" s="21" t="n">
        <v>0.0016</v>
      </c>
      <c r="G25" s="10" t="n">
        <v>900</v>
      </c>
      <c r="H25" s="13" t="n">
        <v>0.003</v>
      </c>
      <c r="I25" s="18" t="n">
        <v>10950</v>
      </c>
      <c r="J25" s="20" t="n">
        <v>9</v>
      </c>
      <c r="K25" s="19">
        <f>(F25*G25*E25*J25)/(D25*I25)</f>
        <v/>
      </c>
      <c r="L25" s="2">
        <f>(F25*G25*E25*5)/(D25*I25)</f>
        <v/>
      </c>
      <c r="M25" s="2">
        <f>(F25*G25*E25*10)/(D25*I25)</f>
        <v/>
      </c>
      <c r="N25" s="2">
        <f>(F25*G25*E25*15)/(D25*I25)</f>
        <v/>
      </c>
      <c r="O25" s="2">
        <f>(F25*G25*E25*20)/(D25*I25)</f>
        <v/>
      </c>
      <c r="P25" s="2">
        <f>(F25*G25*E25*25)/(D25*I25)</f>
        <v/>
      </c>
      <c r="Q25" s="2">
        <f>(F25*G25*E25*30)/(D25*I25)</f>
        <v/>
      </c>
      <c r="R25" s="2">
        <f>K25/H25</f>
        <v/>
      </c>
      <c r="S25" s="2">
        <f>L25/H25</f>
        <v/>
      </c>
      <c r="T25" s="2">
        <f>M25/H25</f>
        <v/>
      </c>
      <c r="U25" s="2">
        <f>N25/H25</f>
        <v/>
      </c>
      <c r="V25" s="2">
        <f>O25/H25</f>
        <v/>
      </c>
      <c r="W25" s="2">
        <f>P25/H25</f>
        <v/>
      </c>
      <c r="X25" s="2">
        <f>Q25/H25</f>
        <v/>
      </c>
      <c r="Y25" s="5">
        <f>IF(R25&gt;1,"1","2")</f>
        <v/>
      </c>
      <c r="Z25" s="5">
        <f>IF(S25&gt;1,"1","2")</f>
        <v/>
      </c>
      <c r="AA25" s="5">
        <f>IF(T25&gt;1,"1","2")</f>
        <v/>
      </c>
      <c r="AB25" s="5">
        <f>IF(U25&gt;1,"1","2")</f>
        <v/>
      </c>
      <c r="AC25" s="5">
        <f>IF(V25&gt;1,"1","2")</f>
        <v/>
      </c>
      <c r="AD25" s="5">
        <f>IF(W25&gt;1,"1","2")</f>
        <v/>
      </c>
      <c r="AE25" s="5">
        <f>IF(X25&gt;1,"1","2")</f>
        <v/>
      </c>
      <c r="AF25" t="n">
        <v>-5.144922</v>
      </c>
      <c r="AG25" t="n">
        <v>119.446339</v>
      </c>
    </row>
    <row r="26" ht="14.4" customHeight="1">
      <c r="A26" s="14" t="n">
        <v>23</v>
      </c>
      <c r="B26" s="15" t="inlineStr">
        <is>
          <t>Ana</t>
        </is>
      </c>
      <c r="C26" s="10" t="n">
        <v>9</v>
      </c>
      <c r="D26" s="10" t="n">
        <v>39</v>
      </c>
      <c r="E26" s="16" t="n">
        <v>365</v>
      </c>
      <c r="F26" s="21" t="n">
        <v>0.0028</v>
      </c>
      <c r="G26" s="10" t="n">
        <v>900</v>
      </c>
      <c r="H26" s="13" t="n">
        <v>0.003</v>
      </c>
      <c r="I26" s="18" t="n">
        <v>10950</v>
      </c>
      <c r="J26" s="20" t="n">
        <v>1</v>
      </c>
      <c r="K26" s="19">
        <f>(F26*G26*E26*J26)/(D26*I26)</f>
        <v/>
      </c>
      <c r="L26" s="2">
        <f>(F26*G26*E26*5)/(D26*I26)</f>
        <v/>
      </c>
      <c r="M26" s="2">
        <f>(F26*G26*E26*10)/(D26*I26)</f>
        <v/>
      </c>
      <c r="N26" s="2">
        <f>(F26*G26*E26*15)/(D26*I26)</f>
        <v/>
      </c>
      <c r="O26" s="2">
        <f>(F26*G26*E26*20)/(D26*I26)</f>
        <v/>
      </c>
      <c r="P26" s="2">
        <f>(F26*G26*E26*25)/(D26*I26)</f>
        <v/>
      </c>
      <c r="Q26" s="2">
        <f>(F26*G26*E26*30)/(D26*I26)</f>
        <v/>
      </c>
      <c r="R26" s="2">
        <f>K26/H26</f>
        <v/>
      </c>
      <c r="S26" s="2">
        <f>L26/H26</f>
        <v/>
      </c>
      <c r="T26" s="2">
        <f>M26/H26</f>
        <v/>
      </c>
      <c r="U26" s="2">
        <f>N26/H26</f>
        <v/>
      </c>
      <c r="V26" s="2">
        <f>O26/H26</f>
        <v/>
      </c>
      <c r="W26" s="2">
        <f>P26/H26</f>
        <v/>
      </c>
      <c r="X26" s="2">
        <f>Q26/H26</f>
        <v/>
      </c>
      <c r="Y26" s="5">
        <f>IF(R26&gt;1,"1","2")</f>
        <v/>
      </c>
      <c r="Z26" s="5">
        <f>IF(S26&gt;1,"1","2")</f>
        <v/>
      </c>
      <c r="AA26" s="5">
        <f>IF(T26&gt;1,"1","2")</f>
        <v/>
      </c>
      <c r="AB26" s="5">
        <f>IF(U26&gt;1,"1","2")</f>
        <v/>
      </c>
      <c r="AC26" s="5">
        <f>IF(V26&gt;1,"1","2")</f>
        <v/>
      </c>
      <c r="AD26" s="5">
        <f>IF(W26&gt;1,"1","2")</f>
        <v/>
      </c>
      <c r="AE26" s="5">
        <f>IF(X26&gt;1,"1","2")</f>
        <v/>
      </c>
      <c r="AF26" t="n">
        <v>-5.130108</v>
      </c>
      <c r="AG26" t="n">
        <v>119.410138</v>
      </c>
    </row>
    <row r="27" ht="14.4" customHeight="1">
      <c r="A27" s="14" t="n">
        <v>24</v>
      </c>
      <c r="B27" s="15" t="inlineStr">
        <is>
          <t>Zan</t>
        </is>
      </c>
      <c r="C27" s="10" t="n">
        <v>9</v>
      </c>
      <c r="D27" s="10" t="n">
        <v>26</v>
      </c>
      <c r="E27" s="16" t="n">
        <v>365</v>
      </c>
      <c r="F27" s="21" t="n">
        <v>0.0028</v>
      </c>
      <c r="G27" s="10" t="n">
        <v>900</v>
      </c>
      <c r="H27" s="13" t="n">
        <v>0.003</v>
      </c>
      <c r="I27" s="18" t="n">
        <v>10950</v>
      </c>
      <c r="J27" s="20" t="n">
        <v>9</v>
      </c>
      <c r="K27" s="19">
        <f>(F27*G27*E27*J27)/(D27*I27)</f>
        <v/>
      </c>
      <c r="L27" s="2">
        <f>(F27*G27*E27*5)/(D27*I27)</f>
        <v/>
      </c>
      <c r="M27" s="2">
        <f>(F27*G27*E27*10)/(D27*I27)</f>
        <v/>
      </c>
      <c r="N27" s="2">
        <f>(F27*G27*E27*15)/(D27*I27)</f>
        <v/>
      </c>
      <c r="O27" s="2">
        <f>(F27*G27*E27*20)/(D27*I27)</f>
        <v/>
      </c>
      <c r="P27" s="2">
        <f>(F27*G27*E27*25)/(D27*I27)</f>
        <v/>
      </c>
      <c r="Q27" s="2">
        <f>(F27*G27*E27*30)/(D27*I27)</f>
        <v/>
      </c>
      <c r="R27" s="2">
        <f>K27/H27</f>
        <v/>
      </c>
      <c r="S27" s="2">
        <f>L27/H27</f>
        <v/>
      </c>
      <c r="T27" s="2">
        <f>M27/H27</f>
        <v/>
      </c>
      <c r="U27" s="2">
        <f>N27/H27</f>
        <v/>
      </c>
      <c r="V27" s="2">
        <f>O27/H27</f>
        <v/>
      </c>
      <c r="W27" s="2">
        <f>P27/H27</f>
        <v/>
      </c>
      <c r="X27" s="2">
        <f>Q27/H27</f>
        <v/>
      </c>
      <c r="Y27" s="5">
        <f>IF(R27&gt;1,"1","2")</f>
        <v/>
      </c>
      <c r="Z27" s="5">
        <f>IF(S27&gt;1,"1","2")</f>
        <v/>
      </c>
      <c r="AA27" s="5">
        <f>IF(T27&gt;1,"1","2")</f>
        <v/>
      </c>
      <c r="AB27" s="5">
        <f>IF(U27&gt;1,"1","2")</f>
        <v/>
      </c>
      <c r="AC27" s="5">
        <f>IF(V27&gt;1,"1","2")</f>
        <v/>
      </c>
      <c r="AD27" s="5">
        <f>IF(W27&gt;1,"1","2")</f>
        <v/>
      </c>
      <c r="AE27" s="5">
        <f>IF(X27&gt;1,"1","2")</f>
        <v/>
      </c>
      <c r="AF27" t="n">
        <v>-5.13406</v>
      </c>
      <c r="AG27" t="n">
        <v>119.435068</v>
      </c>
    </row>
    <row r="28" ht="14.4" customHeight="1">
      <c r="A28" s="14" t="n">
        <v>25</v>
      </c>
      <c r="B28" s="15" t="inlineStr">
        <is>
          <t>Bia</t>
        </is>
      </c>
      <c r="C28" s="10" t="n">
        <v>9</v>
      </c>
      <c r="D28" s="10" t="n">
        <v>20</v>
      </c>
      <c r="E28" s="16" t="n">
        <v>365</v>
      </c>
      <c r="F28" s="21" t="n">
        <v>0.0003</v>
      </c>
      <c r="G28" s="10" t="n">
        <v>2100</v>
      </c>
      <c r="H28" s="13" t="n">
        <v>0.003</v>
      </c>
      <c r="I28" s="18" t="n">
        <v>10950</v>
      </c>
      <c r="J28" s="20" t="n">
        <v>9</v>
      </c>
      <c r="K28" s="19">
        <f>(F28*G28*E28*J28)/(D28*I28)</f>
        <v/>
      </c>
      <c r="L28" s="2">
        <f>(F28*G28*E28*5)/(D28*I28)</f>
        <v/>
      </c>
      <c r="M28" s="2">
        <f>(F28*G28*E28*10)/(D28*I28)</f>
        <v/>
      </c>
      <c r="N28" s="2">
        <f>(F28*G28*E28*15)/(D28*I28)</f>
        <v/>
      </c>
      <c r="O28" s="2">
        <f>(F28*G28*E28*20)/(D28*I28)</f>
        <v/>
      </c>
      <c r="P28" s="2">
        <f>(F28*G28*E28*25)/(D28*I28)</f>
        <v/>
      </c>
      <c r="Q28" s="2">
        <f>(F28*G28*E28*30)/(D28*I28)</f>
        <v/>
      </c>
      <c r="R28" s="2">
        <f>K28/H28</f>
        <v/>
      </c>
      <c r="S28" s="2">
        <f>L28/H28</f>
        <v/>
      </c>
      <c r="T28" s="2">
        <f>M28/H28</f>
        <v/>
      </c>
      <c r="U28" s="2">
        <f>N28/H28</f>
        <v/>
      </c>
      <c r="V28" s="2">
        <f>O28/H28</f>
        <v/>
      </c>
      <c r="W28" s="2">
        <f>P28/H28</f>
        <v/>
      </c>
      <c r="X28" s="2">
        <f>Q28/H28</f>
        <v/>
      </c>
      <c r="Y28" s="5">
        <f>IF(R28&gt;1,"1","2")</f>
        <v/>
      </c>
      <c r="Z28" s="5">
        <f>IF(S28&gt;1,"1","2")</f>
        <v/>
      </c>
      <c r="AA28" s="5">
        <f>IF(T28&gt;1,"1","2")</f>
        <v/>
      </c>
      <c r="AB28" s="5">
        <f>IF(U28&gt;1,"1","2")</f>
        <v/>
      </c>
      <c r="AC28" s="5">
        <f>IF(V28&gt;1,"1","2")</f>
        <v/>
      </c>
      <c r="AD28" s="5">
        <f>IF(W28&gt;1,"1","2")</f>
        <v/>
      </c>
      <c r="AE28" s="5">
        <f>IF(X28&gt;1,"1","2")</f>
        <v/>
      </c>
      <c r="AF28" t="n">
        <v>-5.155482</v>
      </c>
      <c r="AG28" t="n">
        <v>119.406543</v>
      </c>
    </row>
    <row r="29" ht="14.4" customHeight="1">
      <c r="A29" s="14" t="n">
        <v>26</v>
      </c>
      <c r="B29" s="15" t="inlineStr">
        <is>
          <t>Tis</t>
        </is>
      </c>
      <c r="C29" s="10" t="n">
        <v>9</v>
      </c>
      <c r="D29" s="10" t="n">
        <v>40</v>
      </c>
      <c r="E29" s="16" t="n">
        <v>365</v>
      </c>
      <c r="F29" s="21" t="n">
        <v>0.0003</v>
      </c>
      <c r="G29" s="10" t="n">
        <v>900</v>
      </c>
      <c r="H29" s="13" t="n">
        <v>0.003</v>
      </c>
      <c r="I29" s="18" t="n">
        <v>10950</v>
      </c>
      <c r="J29" s="20" t="n">
        <v>5</v>
      </c>
      <c r="K29" s="19">
        <f>(F29*G29*E29*J29)/(D29*I29)</f>
        <v/>
      </c>
      <c r="L29" s="2">
        <f>(F29*G29*E29*5)/(D29*I29)</f>
        <v/>
      </c>
      <c r="M29" s="2">
        <f>(F29*G29*E29*10)/(D29*I29)</f>
        <v/>
      </c>
      <c r="N29" s="2">
        <f>(F29*G29*E29*15)/(D29*I29)</f>
        <v/>
      </c>
      <c r="O29" s="2">
        <f>(F29*G29*E29*20)/(D29*I29)</f>
        <v/>
      </c>
      <c r="P29" s="2">
        <f>(F29*G29*E29*25)/(D29*I29)</f>
        <v/>
      </c>
      <c r="Q29" s="2">
        <f>(F29*G29*E29*30)/(D29*I29)</f>
        <v/>
      </c>
      <c r="R29" s="2">
        <f>K29/H29</f>
        <v/>
      </c>
      <c r="S29" s="2">
        <f>L29/H29</f>
        <v/>
      </c>
      <c r="T29" s="2">
        <f>M29/H29</f>
        <v/>
      </c>
      <c r="U29" s="2">
        <f>N29/H29</f>
        <v/>
      </c>
      <c r="V29" s="2">
        <f>O29/H29</f>
        <v/>
      </c>
      <c r="W29" s="2">
        <f>P29/H29</f>
        <v/>
      </c>
      <c r="X29" s="2">
        <f>Q29/H29</f>
        <v/>
      </c>
      <c r="Y29" s="5">
        <f>IF(R29&gt;1,"1","2")</f>
        <v/>
      </c>
      <c r="Z29" s="5">
        <f>IF(S29&gt;1,"1","2")</f>
        <v/>
      </c>
      <c r="AA29" s="5">
        <f>IF(T29&gt;1,"1","2")</f>
        <v/>
      </c>
      <c r="AB29" s="5">
        <f>IF(U29&gt;1,"1","2")</f>
        <v/>
      </c>
      <c r="AC29" s="5">
        <f>IF(V29&gt;1,"1","2")</f>
        <v/>
      </c>
      <c r="AD29" s="5">
        <f>IF(W29&gt;1,"1","2")</f>
        <v/>
      </c>
      <c r="AE29" s="5">
        <f>IF(X29&gt;1,"1","2")</f>
        <v/>
      </c>
      <c r="AF29" t="n">
        <v>-5.138075</v>
      </c>
      <c r="AG29" t="n">
        <v>119.417292</v>
      </c>
    </row>
    <row r="30" ht="14.4" customHeight="1">
      <c r="A30" s="14" t="n">
        <v>27</v>
      </c>
      <c r="B30" s="15" t="inlineStr">
        <is>
          <t>And</t>
        </is>
      </c>
      <c r="C30" s="10" t="n">
        <v>9</v>
      </c>
      <c r="D30" s="10" t="n">
        <v>39</v>
      </c>
      <c r="E30" s="16" t="n">
        <v>365</v>
      </c>
      <c r="F30" s="21" t="n">
        <v>0.0013</v>
      </c>
      <c r="G30" s="10" t="n">
        <v>900</v>
      </c>
      <c r="H30" s="13" t="n">
        <v>0.003</v>
      </c>
      <c r="I30" s="18" t="n">
        <v>10950</v>
      </c>
      <c r="J30" s="20" t="n">
        <v>1</v>
      </c>
      <c r="K30" s="19">
        <f>(F30*G30*E30*J30)/(D30*I30)</f>
        <v/>
      </c>
      <c r="L30" s="2">
        <f>(F30*G30*E30*5)/(D30*I30)</f>
        <v/>
      </c>
      <c r="M30" s="2">
        <f>(F30*G30*E30*10)/(D30*I30)</f>
        <v/>
      </c>
      <c r="N30" s="2">
        <f>(F30*G30*E30*15)/(D30*I30)</f>
        <v/>
      </c>
      <c r="O30" s="2">
        <f>(F30*G30*E30*20)/(D30*I30)</f>
        <v/>
      </c>
      <c r="P30" s="2">
        <f>(F30*G30*E30*25)/(D30*I30)</f>
        <v/>
      </c>
      <c r="Q30" s="2">
        <f>(F30*G30*E30*30)/(D30*I30)</f>
        <v/>
      </c>
      <c r="R30" s="2">
        <f>K30/H30</f>
        <v/>
      </c>
      <c r="S30" s="2">
        <f>L30/H30</f>
        <v/>
      </c>
      <c r="T30" s="2">
        <f>M30/H30</f>
        <v/>
      </c>
      <c r="U30" s="2">
        <f>N30/H30</f>
        <v/>
      </c>
      <c r="V30" s="2">
        <f>O30/H30</f>
        <v/>
      </c>
      <c r="W30" s="2">
        <f>P30/H30</f>
        <v/>
      </c>
      <c r="X30" s="2">
        <f>Q30/H30</f>
        <v/>
      </c>
      <c r="Y30" s="5">
        <f>IF(R30&gt;1,"1","2")</f>
        <v/>
      </c>
      <c r="Z30" s="5">
        <f>IF(S30&gt;1,"1","2")</f>
        <v/>
      </c>
      <c r="AA30" s="5">
        <f>IF(T30&gt;1,"1","2")</f>
        <v/>
      </c>
      <c r="AB30" s="5">
        <f>IF(U30&gt;1,"1","2")</f>
        <v/>
      </c>
      <c r="AC30" s="5">
        <f>IF(V30&gt;1,"1","2")</f>
        <v/>
      </c>
      <c r="AD30" s="5">
        <f>IF(W30&gt;1,"1","2")</f>
        <v/>
      </c>
      <c r="AE30" s="5">
        <f>IF(X30&gt;1,"1","2")</f>
        <v/>
      </c>
      <c r="AF30" t="n">
        <v>-5.138437</v>
      </c>
      <c r="AG30" t="n">
        <v>119.41446</v>
      </c>
    </row>
    <row r="31" ht="14.4" customHeight="1">
      <c r="A31" s="14" t="n">
        <v>28</v>
      </c>
      <c r="B31" s="15" t="inlineStr">
        <is>
          <t>Fau</t>
        </is>
      </c>
      <c r="C31" s="10" t="n">
        <v>9</v>
      </c>
      <c r="D31" s="10" t="n">
        <v>26</v>
      </c>
      <c r="E31" s="16" t="n">
        <v>365</v>
      </c>
      <c r="F31" s="21" t="n">
        <v>0.0013</v>
      </c>
      <c r="G31" s="10" t="n">
        <v>900</v>
      </c>
      <c r="H31" s="13" t="n">
        <v>0.003</v>
      </c>
      <c r="I31" s="18" t="n">
        <v>10950</v>
      </c>
      <c r="J31" s="20" t="n">
        <v>9</v>
      </c>
      <c r="K31" s="19">
        <f>(F31*G31*E31*J31)/(D31*I31)</f>
        <v/>
      </c>
      <c r="L31" s="2">
        <f>(F31*G31*E31*5)/(D31*I31)</f>
        <v/>
      </c>
      <c r="M31" s="2">
        <f>(F31*G31*E31*10)/(D31*I31)</f>
        <v/>
      </c>
      <c r="N31" s="2">
        <f>(F31*G31*E31*15)/(D31*I31)</f>
        <v/>
      </c>
      <c r="O31" s="2">
        <f>(F31*G31*E31*20)/(D31*I31)</f>
        <v/>
      </c>
      <c r="P31" s="2">
        <f>(F31*G31*E31*25)/(D31*I31)</f>
        <v/>
      </c>
      <c r="Q31" s="2">
        <f>(F31*G31*E31*30)/(D31*I31)</f>
        <v/>
      </c>
      <c r="R31" s="2">
        <f>K31/H31</f>
        <v/>
      </c>
      <c r="S31" s="2">
        <f>L31/H31</f>
        <v/>
      </c>
      <c r="T31" s="2">
        <f>M31/H31</f>
        <v/>
      </c>
      <c r="U31" s="2">
        <f>N31/H31</f>
        <v/>
      </c>
      <c r="V31" s="2">
        <f>O31/H31</f>
        <v/>
      </c>
      <c r="W31" s="2">
        <f>P31/H31</f>
        <v/>
      </c>
      <c r="X31" s="2">
        <f>Q31/H31</f>
        <v/>
      </c>
      <c r="Y31" s="5">
        <f>IF(R31&gt;1,"1","2")</f>
        <v/>
      </c>
      <c r="Z31" s="5">
        <f>IF(S31&gt;1,"1","2")</f>
        <v/>
      </c>
      <c r="AA31" s="5">
        <f>IF(T31&gt;1,"1","2")</f>
        <v/>
      </c>
      <c r="AB31" s="5">
        <f>IF(U31&gt;1,"1","2")</f>
        <v/>
      </c>
      <c r="AC31" s="5">
        <f>IF(V31&gt;1,"1","2")</f>
        <v/>
      </c>
      <c r="AD31" s="5">
        <f>IF(W31&gt;1,"1","2")</f>
        <v/>
      </c>
      <c r="AE31" s="5">
        <f>IF(X31&gt;1,"1","2")</f>
        <v/>
      </c>
      <c r="AF31" t="n">
        <v>-5.159509</v>
      </c>
      <c r="AG31" t="n">
        <v>119.40562</v>
      </c>
    </row>
    <row r="32" ht="14.4" customHeight="1">
      <c r="A32" s="14" t="n">
        <v>29</v>
      </c>
      <c r="B32" s="15" t="inlineStr">
        <is>
          <t>Als</t>
        </is>
      </c>
      <c r="C32" s="10" t="n">
        <v>9</v>
      </c>
      <c r="D32" s="10" t="n">
        <v>25</v>
      </c>
      <c r="E32" s="16" t="n">
        <v>365</v>
      </c>
      <c r="F32" s="21" t="n">
        <v>0.0013</v>
      </c>
      <c r="G32" s="10" t="n">
        <v>900</v>
      </c>
      <c r="H32" s="13" t="n">
        <v>0.003</v>
      </c>
      <c r="I32" s="18" t="n">
        <v>10950</v>
      </c>
      <c r="J32" s="20" t="n">
        <v>9</v>
      </c>
      <c r="K32" s="19">
        <f>(F32*G32*E32*J32)/(D32*I32)</f>
        <v/>
      </c>
      <c r="L32" s="2">
        <f>(F32*G32*E32*5)/(D32*I32)</f>
        <v/>
      </c>
      <c r="M32" s="2">
        <f>(F32*G32*E32*10)/(D32*I32)</f>
        <v/>
      </c>
      <c r="N32" s="2">
        <f>(F32*G32*E32*15)/(D32*I32)</f>
        <v/>
      </c>
      <c r="O32" s="2">
        <f>(F32*G32*E32*20)/(D32*I32)</f>
        <v/>
      </c>
      <c r="P32" s="2">
        <f>(F32*G32*E32*25)/(D32*I32)</f>
        <v/>
      </c>
      <c r="Q32" s="2">
        <f>(F32*G32*E32*30)/(D32*I32)</f>
        <v/>
      </c>
      <c r="R32" s="2">
        <f>K32/H32</f>
        <v/>
      </c>
      <c r="S32" s="2">
        <f>L32/H32</f>
        <v/>
      </c>
      <c r="T32" s="2">
        <f>M32/H32</f>
        <v/>
      </c>
      <c r="U32" s="2">
        <f>N32/H32</f>
        <v/>
      </c>
      <c r="V32" s="2">
        <f>O32/H32</f>
        <v/>
      </c>
      <c r="W32" s="2">
        <f>P32/H32</f>
        <v/>
      </c>
      <c r="X32" s="2">
        <f>Q32/H32</f>
        <v/>
      </c>
      <c r="Y32" s="5">
        <f>IF(R32&gt;1,"1","2")</f>
        <v/>
      </c>
      <c r="Z32" s="5">
        <f>IF(S32&gt;1,"1","2")</f>
        <v/>
      </c>
      <c r="AA32" s="5">
        <f>IF(T32&gt;1,"1","2")</f>
        <v/>
      </c>
      <c r="AB32" s="5">
        <f>IF(U32&gt;1,"1","2")</f>
        <v/>
      </c>
      <c r="AC32" s="5">
        <f>IF(V32&gt;1,"1","2")</f>
        <v/>
      </c>
      <c r="AD32" s="5">
        <f>IF(W32&gt;1,"1","2")</f>
        <v/>
      </c>
      <c r="AE32" s="5">
        <f>IF(X32&gt;1,"1","2")</f>
        <v/>
      </c>
      <c r="AF32" t="n">
        <v>-5.156903</v>
      </c>
      <c r="AG32" t="n">
        <v>119.410681</v>
      </c>
    </row>
    <row r="33" ht="14.4" customHeight="1">
      <c r="A33" s="14" t="n">
        <v>30</v>
      </c>
      <c r="B33" s="15" t="inlineStr">
        <is>
          <t>Mak</t>
        </is>
      </c>
      <c r="C33" s="10" t="n">
        <v>10</v>
      </c>
      <c r="D33" s="10" t="n">
        <v>25</v>
      </c>
      <c r="E33" s="16" t="n">
        <v>365</v>
      </c>
      <c r="F33" s="21" t="n">
        <v>0.0009</v>
      </c>
      <c r="G33" s="10" t="n">
        <v>900</v>
      </c>
      <c r="H33" s="13" t="n">
        <v>0.003</v>
      </c>
      <c r="I33" s="18" t="n">
        <v>10950</v>
      </c>
      <c r="J33" s="20" t="n">
        <v>10</v>
      </c>
      <c r="K33" s="19">
        <f>(F33*G33*E33*J33)/(D33*I33)</f>
        <v/>
      </c>
      <c r="L33" s="2">
        <f>(F33*G33*E33*5)/(D33*I33)</f>
        <v/>
      </c>
      <c r="M33" s="2">
        <f>(F33*G33*E33*10)/(D33*I33)</f>
        <v/>
      </c>
      <c r="N33" s="2">
        <f>(F33*G33*E33*15)/(D33*I33)</f>
        <v/>
      </c>
      <c r="O33" s="2">
        <f>(F33*G33*E33*20)/(D33*I33)</f>
        <v/>
      </c>
      <c r="P33" s="2">
        <f>(F33*G33*E33*25)/(D33*I33)</f>
        <v/>
      </c>
      <c r="Q33" s="2">
        <f>(F33*G33*E33*30)/(D33*I33)</f>
        <v/>
      </c>
      <c r="R33" s="2">
        <f>K33/H33</f>
        <v/>
      </c>
      <c r="S33" s="2">
        <f>L33/H33</f>
        <v/>
      </c>
      <c r="T33" s="2">
        <f>M33/H33</f>
        <v/>
      </c>
      <c r="U33" s="2">
        <f>N33/H33</f>
        <v/>
      </c>
      <c r="V33" s="2">
        <f>O33/H33</f>
        <v/>
      </c>
      <c r="W33" s="2">
        <f>P33/H33</f>
        <v/>
      </c>
      <c r="X33" s="2">
        <f>Q33/H33</f>
        <v/>
      </c>
      <c r="Y33" s="5">
        <f>IF(R33&gt;1,"1","2")</f>
        <v/>
      </c>
      <c r="Z33" s="5">
        <f>IF(S33&gt;1,"1","2")</f>
        <v/>
      </c>
      <c r="AA33" s="5">
        <f>IF(T33&gt;1,"1","2")</f>
        <v/>
      </c>
      <c r="AB33" s="5">
        <f>IF(U33&gt;1,"1","2")</f>
        <v/>
      </c>
      <c r="AC33" s="5">
        <f>IF(V33&gt;1,"1","2")</f>
        <v/>
      </c>
      <c r="AD33" s="5">
        <f>IF(W33&gt;1,"1","2")</f>
        <v/>
      </c>
      <c r="AE33" s="5">
        <f>IF(X33&gt;1,"1","2")</f>
        <v/>
      </c>
      <c r="AF33" t="n">
        <v>-5.137187</v>
      </c>
      <c r="AG33" t="n">
        <v>119.431612</v>
      </c>
    </row>
    <row r="34" ht="14.4" customHeight="1">
      <c r="A34" s="14" t="n">
        <v>31</v>
      </c>
      <c r="B34" s="15" t="inlineStr">
        <is>
          <t>Rwu</t>
        </is>
      </c>
      <c r="C34" s="10" t="n">
        <v>10</v>
      </c>
      <c r="D34" s="10" t="n">
        <v>33</v>
      </c>
      <c r="E34" s="16" t="n">
        <v>365</v>
      </c>
      <c r="F34" s="21" t="n">
        <v>0.0009</v>
      </c>
      <c r="G34" s="10" t="n">
        <v>900</v>
      </c>
      <c r="H34" s="13" t="n">
        <v>0.003</v>
      </c>
      <c r="I34" s="18" t="n">
        <v>10950</v>
      </c>
      <c r="J34" s="20" t="n">
        <v>10</v>
      </c>
      <c r="K34" s="19">
        <f>(F34*G34*E34*J34)/(D34*I34)</f>
        <v/>
      </c>
      <c r="L34" s="2">
        <f>(F34*G34*E34*5)/(D34*I34)</f>
        <v/>
      </c>
      <c r="M34" s="2">
        <f>(F34*G34*E34*10)/(D34*I34)</f>
        <v/>
      </c>
      <c r="N34" s="2">
        <f>(F34*G34*E34*15)/(D34*I34)</f>
        <v/>
      </c>
      <c r="O34" s="2">
        <f>(F34*G34*E34*20)/(D34*I34)</f>
        <v/>
      </c>
      <c r="P34" s="2">
        <f>(F34*G34*E34*25)/(D34*I34)</f>
        <v/>
      </c>
      <c r="Q34" s="2">
        <f>(F34*G34*E34*30)/(D34*I34)</f>
        <v/>
      </c>
      <c r="R34" s="2">
        <f>K34/H34</f>
        <v/>
      </c>
      <c r="S34" s="2">
        <f>L34/H34</f>
        <v/>
      </c>
      <c r="T34" s="2">
        <f>M34/H34</f>
        <v/>
      </c>
      <c r="U34" s="2">
        <f>N34/H34</f>
        <v/>
      </c>
      <c r="V34" s="2">
        <f>O34/H34</f>
        <v/>
      </c>
      <c r="W34" s="2">
        <f>P34/H34</f>
        <v/>
      </c>
      <c r="X34" s="2">
        <f>Q34/H34</f>
        <v/>
      </c>
      <c r="Y34" s="5">
        <f>IF(R34&gt;1,"1","2")</f>
        <v/>
      </c>
      <c r="Z34" s="5">
        <f>IF(S34&gt;1,"1","2")</f>
        <v/>
      </c>
      <c r="AA34" s="5">
        <f>IF(T34&gt;1,"1","2")</f>
        <v/>
      </c>
      <c r="AB34" s="5">
        <f>IF(U34&gt;1,"1","2")</f>
        <v/>
      </c>
      <c r="AC34" s="5">
        <f>IF(V34&gt;1,"1","2")</f>
        <v/>
      </c>
      <c r="AD34" s="5">
        <f>IF(W34&gt;1,"1","2")</f>
        <v/>
      </c>
      <c r="AE34" s="5">
        <f>IF(X34&gt;1,"1","2")</f>
        <v/>
      </c>
      <c r="AF34" t="n">
        <v>-5.138843</v>
      </c>
      <c r="AG34" t="n">
        <v>119.429287</v>
      </c>
    </row>
    <row r="35" ht="14.4" customHeight="1">
      <c r="A35" s="14" t="n">
        <v>32</v>
      </c>
      <c r="B35" s="15" t="inlineStr">
        <is>
          <t>Nhf</t>
        </is>
      </c>
      <c r="C35" s="10" t="n">
        <v>10</v>
      </c>
      <c r="D35" s="10" t="n">
        <v>25</v>
      </c>
      <c r="E35" s="16" t="n">
        <v>365</v>
      </c>
      <c r="F35" s="21" t="n">
        <v>0.0009</v>
      </c>
      <c r="G35" s="10" t="n">
        <v>900</v>
      </c>
      <c r="H35" s="13" t="n">
        <v>0.003</v>
      </c>
      <c r="I35" s="18" t="n">
        <v>10950</v>
      </c>
      <c r="J35" s="20" t="n">
        <v>10</v>
      </c>
      <c r="K35" s="19">
        <f>(F35*G35*E35*J35)/(D35*I35)</f>
        <v/>
      </c>
      <c r="L35" s="2">
        <f>(F35*G35*E35*5)/(D35*I35)</f>
        <v/>
      </c>
      <c r="M35" s="2">
        <f>(F35*G35*E35*10)/(D35*I35)</f>
        <v/>
      </c>
      <c r="N35" s="2">
        <f>(F35*G35*E35*15)/(D35*I35)</f>
        <v/>
      </c>
      <c r="O35" s="2">
        <f>(F35*G35*E35*20)/(D35*I35)</f>
        <v/>
      </c>
      <c r="P35" s="2">
        <f>(F35*G35*E35*25)/(D35*I35)</f>
        <v/>
      </c>
      <c r="Q35" s="2">
        <f>(F35*G35*E35*30)/(D35*I35)</f>
        <v/>
      </c>
      <c r="R35" s="2">
        <f>K35/H35</f>
        <v/>
      </c>
      <c r="S35" s="2">
        <f>L35/H35</f>
        <v/>
      </c>
      <c r="T35" s="2">
        <f>M35/H35</f>
        <v/>
      </c>
      <c r="U35" s="2">
        <f>N35/H35</f>
        <v/>
      </c>
      <c r="V35" s="2">
        <f>O35/H35</f>
        <v/>
      </c>
      <c r="W35" s="2">
        <f>P35/H35</f>
        <v/>
      </c>
      <c r="X35" s="2">
        <f>Q35/H35</f>
        <v/>
      </c>
      <c r="Y35" s="5">
        <f>IF(R35&gt;1,"1","2")</f>
        <v/>
      </c>
      <c r="Z35" s="5">
        <f>IF(S35&gt;1,"1","2")</f>
        <v/>
      </c>
      <c r="AA35" s="5">
        <f>IF(T35&gt;1,"1","2")</f>
        <v/>
      </c>
      <c r="AB35" s="5">
        <f>IF(U35&gt;1,"1","2")</f>
        <v/>
      </c>
      <c r="AC35" s="5">
        <f>IF(V35&gt;1,"1","2")</f>
        <v/>
      </c>
      <c r="AD35" s="5">
        <f>IF(W35&gt;1,"1","2")</f>
        <v/>
      </c>
      <c r="AE35" s="5">
        <f>IF(X35&gt;1,"1","2")</f>
        <v/>
      </c>
      <c r="AF35" t="n">
        <v>-5.138052</v>
      </c>
      <c r="AG35" t="n">
        <v>119.437527</v>
      </c>
    </row>
    <row r="36" ht="14.4" customHeight="1">
      <c r="A36" s="14" t="n">
        <v>33</v>
      </c>
      <c r="B36" s="15" t="inlineStr">
        <is>
          <t>Mfk</t>
        </is>
      </c>
      <c r="C36" s="10" t="n">
        <v>10</v>
      </c>
      <c r="D36" s="10" t="n">
        <v>25</v>
      </c>
      <c r="E36" s="16" t="n">
        <v>365</v>
      </c>
      <c r="F36" s="21" t="n">
        <v>0.0002</v>
      </c>
      <c r="G36" s="10" t="n">
        <v>900</v>
      </c>
      <c r="H36" s="13" t="n">
        <v>0.003</v>
      </c>
      <c r="I36" s="18" t="n">
        <v>10950</v>
      </c>
      <c r="J36" s="20" t="n">
        <v>10</v>
      </c>
      <c r="K36" s="19">
        <f>(F36*G36*E36*J36)/(D36*I36)</f>
        <v/>
      </c>
      <c r="L36" s="2">
        <f>(F36*G36*E36*5)/(D36*I36)</f>
        <v/>
      </c>
      <c r="M36" s="2">
        <f>(F36*G36*E36*10)/(D36*I36)</f>
        <v/>
      </c>
      <c r="N36" s="2">
        <f>(F36*G36*E36*15)/(D36*I36)</f>
        <v/>
      </c>
      <c r="O36" s="2">
        <f>(F36*G36*E36*20)/(D36*I36)</f>
        <v/>
      </c>
      <c r="P36" s="2">
        <f>(F36*G36*E36*25)/(D36*I36)</f>
        <v/>
      </c>
      <c r="Q36" s="2">
        <f>(F36*G36*E36*30)/(D36*I36)</f>
        <v/>
      </c>
      <c r="R36" s="2">
        <f>K36/H36</f>
        <v/>
      </c>
      <c r="S36" s="2">
        <f>L36/H36</f>
        <v/>
      </c>
      <c r="T36" s="2">
        <f>M36/H36</f>
        <v/>
      </c>
      <c r="U36" s="2">
        <f>N36/H36</f>
        <v/>
      </c>
      <c r="V36" s="2">
        <f>O36/H36</f>
        <v/>
      </c>
      <c r="W36" s="2">
        <f>P36/H36</f>
        <v/>
      </c>
      <c r="X36" s="2">
        <f>Q36/H36</f>
        <v/>
      </c>
      <c r="Y36" s="5">
        <f>IF(R36&gt;1,"1","2")</f>
        <v/>
      </c>
      <c r="Z36" s="5">
        <f>IF(S36&gt;1,"1","2")</f>
        <v/>
      </c>
      <c r="AA36" s="5">
        <f>IF(T36&gt;1,"1","2")</f>
        <v/>
      </c>
      <c r="AB36" s="5">
        <f>IF(U36&gt;1,"1","2")</f>
        <v/>
      </c>
      <c r="AC36" s="5">
        <f>IF(V36&gt;1,"1","2")</f>
        <v/>
      </c>
      <c r="AD36" s="5">
        <f>IF(W36&gt;1,"1","2")</f>
        <v/>
      </c>
      <c r="AE36" s="5">
        <f>IF(X36&gt;1,"1","2")</f>
        <v/>
      </c>
      <c r="AF36" t="n">
        <v>-5.146852</v>
      </c>
      <c r="AG36" t="n">
        <v>119.449161</v>
      </c>
    </row>
    <row r="37" ht="14.4" customHeight="1">
      <c r="A37" s="14" t="n">
        <v>34</v>
      </c>
      <c r="B37" s="15" t="inlineStr">
        <is>
          <t>Ewi</t>
        </is>
      </c>
      <c r="C37" s="10" t="n">
        <v>10</v>
      </c>
      <c r="D37" s="10" t="n">
        <v>33</v>
      </c>
      <c r="E37" s="17" t="n">
        <v>365</v>
      </c>
      <c r="F37" s="21" t="n">
        <v>0.0002</v>
      </c>
      <c r="G37" s="10" t="n">
        <v>900</v>
      </c>
      <c r="H37" s="13" t="n">
        <v>0.003</v>
      </c>
      <c r="I37" s="18" t="n">
        <v>10950</v>
      </c>
      <c r="J37" s="20" t="n">
        <v>10</v>
      </c>
      <c r="K37" s="19">
        <f>(F37*G37*E37*J37)/(D37*I37)</f>
        <v/>
      </c>
      <c r="L37" s="2">
        <f>(F37*G37*E37*5)/(D37*I37)</f>
        <v/>
      </c>
      <c r="M37" s="2">
        <f>(F37*G37*E37*10)/(D37*I37)</f>
        <v/>
      </c>
      <c r="N37" s="2">
        <f>(F37*G37*E37*15)/(D37*I37)</f>
        <v/>
      </c>
      <c r="O37" s="2">
        <f>(F37*G37*E37*20)/(D37*I37)</f>
        <v/>
      </c>
      <c r="P37" s="2">
        <f>(F37*G37*E37*25)/(D37*I37)</f>
        <v/>
      </c>
      <c r="Q37" s="2">
        <f>(F37*G37*E37*30)/(D37*I37)</f>
        <v/>
      </c>
      <c r="R37" s="2">
        <f>K37/H37</f>
        <v/>
      </c>
      <c r="S37" s="2">
        <f>L37/H37</f>
        <v/>
      </c>
      <c r="T37" s="2">
        <f>M37/H37</f>
        <v/>
      </c>
      <c r="U37" s="2">
        <f>N37/H37</f>
        <v/>
      </c>
      <c r="V37" s="2">
        <f>O37/H37</f>
        <v/>
      </c>
      <c r="W37" s="2">
        <f>P37/H37</f>
        <v/>
      </c>
      <c r="X37" s="2">
        <f>Q37/H37</f>
        <v/>
      </c>
      <c r="Y37" s="5">
        <f>IF(R37&gt;1,"1","2")</f>
        <v/>
      </c>
      <c r="Z37" s="5">
        <f>IF(S37&gt;1,"1","2")</f>
        <v/>
      </c>
      <c r="AA37" s="5">
        <f>IF(T37&gt;1,"1","2")</f>
        <v/>
      </c>
      <c r="AB37" s="5">
        <f>IF(U37&gt;1,"1","2")</f>
        <v/>
      </c>
      <c r="AC37" s="5">
        <f>IF(V37&gt;1,"1","2")</f>
        <v/>
      </c>
      <c r="AD37" s="5">
        <f>IF(W37&gt;1,"1","2")</f>
        <v/>
      </c>
      <c r="AE37" s="5">
        <f>IF(X37&gt;1,"1","2")</f>
        <v/>
      </c>
      <c r="AF37" t="n">
        <v>-5.13272</v>
      </c>
      <c r="AG37" t="n">
        <v>119.40458</v>
      </c>
    </row>
    <row r="38" ht="14.4" customHeight="1">
      <c r="A38" s="14" t="n">
        <v>35</v>
      </c>
      <c r="B38" s="15" t="inlineStr">
        <is>
          <t>Nul</t>
        </is>
      </c>
      <c r="C38" s="10" t="n">
        <v>10</v>
      </c>
      <c r="D38" s="10" t="n">
        <v>25</v>
      </c>
      <c r="E38" s="17" t="n">
        <v>365</v>
      </c>
      <c r="F38" s="21" t="n">
        <v>0.0002</v>
      </c>
      <c r="G38" s="10" t="n">
        <v>900</v>
      </c>
      <c r="H38" s="13" t="n">
        <v>0.003</v>
      </c>
      <c r="I38" s="18" t="n">
        <v>10950</v>
      </c>
      <c r="J38" s="20" t="n">
        <v>10</v>
      </c>
      <c r="K38" s="19">
        <f>(F38*G38*E38*J38)/(D38*I38)</f>
        <v/>
      </c>
      <c r="L38" s="2">
        <f>(F38*G38*E38*5)/(D38*I38)</f>
        <v/>
      </c>
      <c r="M38" s="2">
        <f>(F38*G38*E38*10)/(D38*I38)</f>
        <v/>
      </c>
      <c r="N38" s="2">
        <f>(F38*G38*E38*15)/(D38*I38)</f>
        <v/>
      </c>
      <c r="O38" s="2">
        <f>(F38*G38*E38*20)/(D38*I38)</f>
        <v/>
      </c>
      <c r="P38" s="2">
        <f>(F38*G38*E38*25)/(D38*I38)</f>
        <v/>
      </c>
      <c r="Q38" s="2">
        <f>(F38*G38*E38*30)/(D38*I38)</f>
        <v/>
      </c>
      <c r="R38" s="2">
        <f>K38/H38</f>
        <v/>
      </c>
      <c r="S38" s="2">
        <f>L38/H38</f>
        <v/>
      </c>
      <c r="T38" s="2">
        <f>M38/H38</f>
        <v/>
      </c>
      <c r="U38" s="2">
        <f>N38/H38</f>
        <v/>
      </c>
      <c r="V38" s="2">
        <f>O38/H38</f>
        <v/>
      </c>
      <c r="W38" s="2">
        <f>P38/H38</f>
        <v/>
      </c>
      <c r="X38" s="2">
        <f>Q38/H38</f>
        <v/>
      </c>
      <c r="Y38" s="5">
        <f>IF(R38&gt;1,"1","2")</f>
        <v/>
      </c>
      <c r="Z38" s="5">
        <f>IF(S38&gt;1,"1","2")</f>
        <v/>
      </c>
      <c r="AA38" s="5">
        <f>IF(T38&gt;1,"1","2")</f>
        <v/>
      </c>
      <c r="AB38" s="5">
        <f>IF(U38&gt;1,"1","2")</f>
        <v/>
      </c>
      <c r="AC38" s="5">
        <f>IF(V38&gt;1,"1","2")</f>
        <v/>
      </c>
      <c r="AD38" s="5">
        <f>IF(W38&gt;1,"1","2")</f>
        <v/>
      </c>
      <c r="AE38" s="5">
        <f>IF(X38&gt;1,"1","2")</f>
        <v/>
      </c>
      <c r="AF38" t="n">
        <v>-5.134421</v>
      </c>
      <c r="AG38" t="n">
        <v>119.421451</v>
      </c>
    </row>
    <row r="39" ht="14.4" customHeight="1">
      <c r="A39" s="14" t="n">
        <v>36</v>
      </c>
      <c r="B39" s="15" t="inlineStr">
        <is>
          <t>Naq</t>
        </is>
      </c>
      <c r="C39" s="10" t="n">
        <v>10</v>
      </c>
      <c r="D39" s="10" t="n">
        <v>24</v>
      </c>
      <c r="E39" s="17" t="n">
        <v>365</v>
      </c>
      <c r="F39" s="21" t="n">
        <v>0.0098</v>
      </c>
      <c r="G39" s="10" t="n">
        <v>900</v>
      </c>
      <c r="H39" s="13" t="n">
        <v>0.003</v>
      </c>
      <c r="I39" s="18" t="n">
        <v>10950</v>
      </c>
      <c r="J39" s="20" t="n">
        <v>1</v>
      </c>
      <c r="K39" s="19">
        <f>(F39*G39*E39*J39)/(D39*I39)</f>
        <v/>
      </c>
      <c r="L39" s="2">
        <f>(F39*G39*E39*5)/(D39*I39)</f>
        <v/>
      </c>
      <c r="M39" s="2">
        <f>(F39*G39*E39*10)/(D39*I39)</f>
        <v/>
      </c>
      <c r="N39" s="2">
        <f>(F39*G39*E39*15)/(D39*I39)</f>
        <v/>
      </c>
      <c r="O39" s="2">
        <f>(F39*G39*E39*20)/(D39*I39)</f>
        <v/>
      </c>
      <c r="P39" s="2">
        <f>(F39*G39*E39*25)/(D39*I39)</f>
        <v/>
      </c>
      <c r="Q39" s="2">
        <f>(F39*G39*E39*30)/(D39*I39)</f>
        <v/>
      </c>
      <c r="R39" s="2">
        <f>K39/H39</f>
        <v/>
      </c>
      <c r="S39" s="2">
        <f>L39/H39</f>
        <v/>
      </c>
      <c r="T39" s="2">
        <f>M39/H39</f>
        <v/>
      </c>
      <c r="U39" s="2">
        <f>N39/H39</f>
        <v/>
      </c>
      <c r="V39" s="2">
        <f>O39/H39</f>
        <v/>
      </c>
      <c r="W39" s="2">
        <f>P39/H39</f>
        <v/>
      </c>
      <c r="X39" s="2">
        <f>Q39/H39</f>
        <v/>
      </c>
      <c r="Y39" s="5">
        <f>IF(R39&gt;1,"1","2")</f>
        <v/>
      </c>
      <c r="Z39" s="5">
        <f>IF(S39&gt;1,"1","2")</f>
        <v/>
      </c>
      <c r="AA39" s="5">
        <f>IF(T39&gt;1,"1","2")</f>
        <v/>
      </c>
      <c r="AB39" s="5">
        <f>IF(U39&gt;1,"1","2")</f>
        <v/>
      </c>
      <c r="AC39" s="5">
        <f>IF(V39&gt;1,"1","2")</f>
        <v/>
      </c>
      <c r="AD39" s="5">
        <f>IF(W39&gt;1,"1","2")</f>
        <v/>
      </c>
      <c r="AE39" s="5">
        <f>IF(X39&gt;1,"1","2")</f>
        <v/>
      </c>
      <c r="AF39" t="n">
        <v>-5.151606</v>
      </c>
      <c r="AG39" t="n">
        <v>119.41927</v>
      </c>
    </row>
    <row r="40" ht="14.4" customHeight="1">
      <c r="A40" s="14" t="n">
        <v>37</v>
      </c>
      <c r="B40" s="15" t="inlineStr">
        <is>
          <t>Frd</t>
        </is>
      </c>
      <c r="C40" s="10" t="n">
        <v>10</v>
      </c>
      <c r="D40" s="10" t="n">
        <v>20</v>
      </c>
      <c r="E40" s="17" t="n">
        <v>365</v>
      </c>
      <c r="F40" s="21" t="n">
        <v>0.0199</v>
      </c>
      <c r="G40" s="10" t="n">
        <v>900</v>
      </c>
      <c r="H40" s="13" t="n">
        <v>0.003</v>
      </c>
      <c r="I40" s="18" t="n">
        <v>10950</v>
      </c>
      <c r="J40" s="20" t="n">
        <v>10</v>
      </c>
      <c r="K40" s="19">
        <f>(F40*G40*E40*J40)/(D40*I40)</f>
        <v/>
      </c>
      <c r="L40" s="2">
        <f>(F40*G40*E40*5)/(D40*I40)</f>
        <v/>
      </c>
      <c r="M40" s="2">
        <f>(F40*G40*E40*10)/(D40*I40)</f>
        <v/>
      </c>
      <c r="N40" s="2">
        <f>(F40*G40*E40*15)/(D40*I40)</f>
        <v/>
      </c>
      <c r="O40" s="2">
        <f>(F40*G40*E40*20)/(D40*I40)</f>
        <v/>
      </c>
      <c r="P40" s="2">
        <f>(F40*G40*E40*25)/(D40*I40)</f>
        <v/>
      </c>
      <c r="Q40" s="2">
        <f>(F40*G40*E40*30)/(D40*I40)</f>
        <v/>
      </c>
      <c r="R40" s="2">
        <f>K40/H40</f>
        <v/>
      </c>
      <c r="S40" s="2">
        <f>L40/H40</f>
        <v/>
      </c>
      <c r="T40" s="2">
        <f>M40/H40</f>
        <v/>
      </c>
      <c r="U40" s="2">
        <f>N40/H40</f>
        <v/>
      </c>
      <c r="V40" s="2">
        <f>O40/H40</f>
        <v/>
      </c>
      <c r="W40" s="2">
        <f>P40/H40</f>
        <v/>
      </c>
      <c r="X40" s="2">
        <f>Q40/H40</f>
        <v/>
      </c>
      <c r="Y40" s="5">
        <f>IF(R40&gt;1,"1","2")</f>
        <v/>
      </c>
      <c r="Z40" s="5">
        <f>IF(S40&gt;1,"1","2")</f>
        <v/>
      </c>
      <c r="AA40" s="5">
        <f>IF(T40&gt;1,"1","2")</f>
        <v/>
      </c>
      <c r="AB40" s="5">
        <f>IF(U40&gt;1,"1","2")</f>
        <v/>
      </c>
      <c r="AC40" s="5">
        <f>IF(V40&gt;1,"1","2")</f>
        <v/>
      </c>
      <c r="AD40" s="5">
        <f>IF(W40&gt;1,"1","2")</f>
        <v/>
      </c>
      <c r="AE40" s="5">
        <f>IF(X40&gt;1,"1","2")</f>
        <v/>
      </c>
      <c r="AF40" t="n">
        <v>-5.141656</v>
      </c>
      <c r="AG40" t="n">
        <v>119.443893</v>
      </c>
    </row>
    <row r="41" ht="14.4" customHeight="1">
      <c r="A41" s="14" t="n">
        <v>38</v>
      </c>
      <c r="B41" s="15" t="inlineStr">
        <is>
          <t>Ark</t>
        </is>
      </c>
      <c r="C41" s="10" t="n">
        <v>10</v>
      </c>
      <c r="D41" s="10" t="n">
        <v>25</v>
      </c>
      <c r="E41" s="17" t="n">
        <v>365</v>
      </c>
      <c r="F41" s="21" t="n">
        <v>0.0199</v>
      </c>
      <c r="G41" s="10" t="n">
        <v>900</v>
      </c>
      <c r="H41" s="13" t="n">
        <v>0.003</v>
      </c>
      <c r="I41" s="18" t="n">
        <v>10950</v>
      </c>
      <c r="J41" s="20" t="n">
        <v>10</v>
      </c>
      <c r="K41" s="19">
        <f>(F41*G41*E41*J41)/(D41*I41)</f>
        <v/>
      </c>
      <c r="L41" s="2">
        <f>(F41*G41*E41*5)/(D41*I41)</f>
        <v/>
      </c>
      <c r="M41" s="2">
        <f>(F41*G41*E41*10)/(D41*I41)</f>
        <v/>
      </c>
      <c r="N41" s="2">
        <f>(F41*G41*E41*15)/(D41*I41)</f>
        <v/>
      </c>
      <c r="O41" s="2">
        <f>(F41*G41*E41*20)/(D41*I41)</f>
        <v/>
      </c>
      <c r="P41" s="2">
        <f>(F41*G41*E41*25)/(D41*I41)</f>
        <v/>
      </c>
      <c r="Q41" s="2">
        <f>(F41*G41*E41*30)/(D41*I41)</f>
        <v/>
      </c>
      <c r="R41" s="2">
        <f>K41/H41</f>
        <v/>
      </c>
      <c r="S41" s="2">
        <f>L41/H41</f>
        <v/>
      </c>
      <c r="T41" s="2">
        <f>M41/H41</f>
        <v/>
      </c>
      <c r="U41" s="2">
        <f>N41/H41</f>
        <v/>
      </c>
      <c r="V41" s="2">
        <f>O41/H41</f>
        <v/>
      </c>
      <c r="W41" s="2">
        <f>P41/H41</f>
        <v/>
      </c>
      <c r="X41" s="2">
        <f>Q41/H41</f>
        <v/>
      </c>
      <c r="Y41" s="5">
        <f>IF(R41&gt;1,"1","2")</f>
        <v/>
      </c>
      <c r="Z41" s="5">
        <f>IF(S41&gt;1,"1","2")</f>
        <v/>
      </c>
      <c r="AA41" s="5">
        <f>IF(T41&gt;1,"1","2")</f>
        <v/>
      </c>
      <c r="AB41" s="5">
        <f>IF(U41&gt;1,"1","2")</f>
        <v/>
      </c>
      <c r="AC41" s="5">
        <f>IF(V41&gt;1,"1","2")</f>
        <v/>
      </c>
      <c r="AD41" s="5">
        <f>IF(W41&gt;1,"1","2")</f>
        <v/>
      </c>
      <c r="AE41" s="5">
        <f>IF(X41&gt;1,"1","2")</f>
        <v/>
      </c>
      <c r="AF41" t="n">
        <v>-5.144759</v>
      </c>
      <c r="AG41" t="n">
        <v>119.411536</v>
      </c>
    </row>
    <row r="42" ht="14.4" customHeight="1">
      <c r="A42" s="14" t="n">
        <v>39</v>
      </c>
      <c r="B42" s="15" t="inlineStr">
        <is>
          <t>Dah</t>
        </is>
      </c>
      <c r="C42" s="10" t="n">
        <v>10</v>
      </c>
      <c r="D42" s="10" t="n">
        <v>30</v>
      </c>
      <c r="E42" s="17" t="n">
        <v>365</v>
      </c>
      <c r="F42" s="21" t="n">
        <v>0.0199</v>
      </c>
      <c r="G42" s="10" t="n">
        <v>900</v>
      </c>
      <c r="H42" s="13" t="n">
        <v>0.003</v>
      </c>
      <c r="I42" s="18" t="n">
        <v>10950</v>
      </c>
      <c r="J42" s="20" t="n">
        <v>10</v>
      </c>
      <c r="K42" s="19">
        <f>(F42*G42*E42*J42)/(D42*I42)</f>
        <v/>
      </c>
      <c r="L42" s="2">
        <f>(F42*G42*E42*5)/(D42*I42)</f>
        <v/>
      </c>
      <c r="M42" s="2">
        <f>(F42*G42*E42*10)/(D42*I42)</f>
        <v/>
      </c>
      <c r="N42" s="2">
        <f>(F42*G42*E42*15)/(D42*I42)</f>
        <v/>
      </c>
      <c r="O42" s="2">
        <f>(F42*G42*E42*20)/(D42*I42)</f>
        <v/>
      </c>
      <c r="P42" s="2">
        <f>(F42*G42*E42*25)/(D42*I42)</f>
        <v/>
      </c>
      <c r="Q42" s="2">
        <f>(F42*G42*E42*30)/(D42*I42)</f>
        <v/>
      </c>
      <c r="R42" s="2">
        <f>K42/H42</f>
        <v/>
      </c>
      <c r="S42" s="2">
        <f>L42/H42</f>
        <v/>
      </c>
      <c r="T42" s="2">
        <f>M42/H42</f>
        <v/>
      </c>
      <c r="U42" s="2">
        <f>N42/H42</f>
        <v/>
      </c>
      <c r="V42" s="2">
        <f>O42/H42</f>
        <v/>
      </c>
      <c r="W42" s="2">
        <f>P42/H42</f>
        <v/>
      </c>
      <c r="X42" s="2">
        <f>Q42/H42</f>
        <v/>
      </c>
      <c r="Y42" s="5">
        <f>IF(R42&gt;1,"1","2")</f>
        <v/>
      </c>
      <c r="Z42" s="5">
        <f>IF(S42&gt;1,"1","2")</f>
        <v/>
      </c>
      <c r="AA42" s="5">
        <f>IF(T42&gt;1,"1","2")</f>
        <v/>
      </c>
      <c r="AB42" s="5">
        <f>IF(U42&gt;1,"1","2")</f>
        <v/>
      </c>
      <c r="AC42" s="5">
        <f>IF(V42&gt;1,"1","2")</f>
        <v/>
      </c>
      <c r="AD42" s="5">
        <f>IF(W42&gt;1,"1","2")</f>
        <v/>
      </c>
      <c r="AE42" s="5">
        <f>IF(X42&gt;1,"1","2")</f>
        <v/>
      </c>
      <c r="AF42" t="n">
        <v>-5.134423</v>
      </c>
      <c r="AG42" t="n">
        <v>119.401251</v>
      </c>
    </row>
    <row r="43" ht="14.4" customHeight="1">
      <c r="A43" s="14" t="n">
        <v>40</v>
      </c>
      <c r="B43" s="15" t="inlineStr">
        <is>
          <t>Wah</t>
        </is>
      </c>
      <c r="C43" s="10" t="n">
        <v>10</v>
      </c>
      <c r="D43" s="10" t="n">
        <v>25</v>
      </c>
      <c r="E43" s="17" t="n">
        <v>365</v>
      </c>
      <c r="F43" s="21" t="n">
        <v>0.0032</v>
      </c>
      <c r="G43" s="10" t="n">
        <v>900</v>
      </c>
      <c r="H43" s="13" t="n">
        <v>0.003</v>
      </c>
      <c r="I43" s="18" t="n">
        <v>10950</v>
      </c>
      <c r="J43" s="20" t="n">
        <v>10</v>
      </c>
      <c r="K43" s="19">
        <f>(F43*G43*E43*J43)/(D43*I43)</f>
        <v/>
      </c>
      <c r="L43" s="2">
        <f>(F43*G43*E43*5)/(D43*I43)</f>
        <v/>
      </c>
      <c r="M43" s="2">
        <f>(F43*G43*E43*10)/(D43*I43)</f>
        <v/>
      </c>
      <c r="N43" s="2">
        <f>(F43*G43*E43*15)/(D43*I43)</f>
        <v/>
      </c>
      <c r="O43" s="2">
        <f>(F43*G43*E43*20)/(D43*I43)</f>
        <v/>
      </c>
      <c r="P43" s="2">
        <f>(F43*G43*E43*25)/(D43*I43)</f>
        <v/>
      </c>
      <c r="Q43" s="2">
        <f>(F43*G43*E43*30)/(D43*I43)</f>
        <v/>
      </c>
      <c r="R43" s="2">
        <f>K43/H43</f>
        <v/>
      </c>
      <c r="S43" s="2">
        <f>L43/H43</f>
        <v/>
      </c>
      <c r="T43" s="2">
        <f>M43/H43</f>
        <v/>
      </c>
      <c r="U43" s="2">
        <f>N43/H43</f>
        <v/>
      </c>
      <c r="V43" s="2">
        <f>O43/H43</f>
        <v/>
      </c>
      <c r="W43" s="2">
        <f>P43/H43</f>
        <v/>
      </c>
      <c r="X43" s="2">
        <f>Q43/H43</f>
        <v/>
      </c>
      <c r="Y43" s="5">
        <f>IF(R43&gt;1,"1","2")</f>
        <v/>
      </c>
      <c r="Z43" s="5">
        <f>IF(S43&gt;1,"1","2")</f>
        <v/>
      </c>
      <c r="AA43" s="5">
        <f>IF(T43&gt;1,"1","2")</f>
        <v/>
      </c>
      <c r="AB43" s="5">
        <f>IF(U43&gt;1,"1","2")</f>
        <v/>
      </c>
      <c r="AC43" s="5">
        <f>IF(V43&gt;1,"1","2")</f>
        <v/>
      </c>
      <c r="AD43" s="5">
        <f>IF(W43&gt;1,"1","2")</f>
        <v/>
      </c>
      <c r="AE43" s="5">
        <f>IF(X43&gt;1,"1","2")</f>
        <v/>
      </c>
      <c r="AF43" t="n">
        <v>-5.158458</v>
      </c>
      <c r="AG43" t="n">
        <v>119.434811</v>
      </c>
    </row>
    <row r="44" ht="14.4" customHeight="1">
      <c r="A44" s="14" t="n">
        <v>41</v>
      </c>
      <c r="B44" s="15" t="inlineStr">
        <is>
          <t>Roh</t>
        </is>
      </c>
      <c r="C44" s="10" t="n">
        <v>10</v>
      </c>
      <c r="D44" s="10" t="n">
        <v>37</v>
      </c>
      <c r="E44" s="17" t="n">
        <v>365</v>
      </c>
      <c r="F44" s="21" t="n">
        <v>0.0032</v>
      </c>
      <c r="G44" s="10" t="n">
        <v>900</v>
      </c>
      <c r="H44" s="13" t="n">
        <v>0.003</v>
      </c>
      <c r="I44" s="18" t="n">
        <v>10950</v>
      </c>
      <c r="J44" s="20" t="n">
        <v>10</v>
      </c>
      <c r="K44" s="19">
        <f>(F44*G44*E44*J44)/(D44*I44)</f>
        <v/>
      </c>
      <c r="L44" s="2">
        <f>(F44*G44*E44*5)/(D44*I44)</f>
        <v/>
      </c>
      <c r="M44" s="2">
        <f>(F44*G44*E44*10)/(D44*I44)</f>
        <v/>
      </c>
      <c r="N44" s="2">
        <f>(F44*G44*E44*15)/(D44*I44)</f>
        <v/>
      </c>
      <c r="O44" s="2">
        <f>(F44*G44*E44*20)/(D44*I44)</f>
        <v/>
      </c>
      <c r="P44" s="2">
        <f>(F44*G44*E44*25)/(D44*I44)</f>
        <v/>
      </c>
      <c r="Q44" s="2">
        <f>(F44*G44*E44*30)/(D44*I44)</f>
        <v/>
      </c>
      <c r="R44" s="2">
        <f>K44/H44</f>
        <v/>
      </c>
      <c r="S44" s="2">
        <f>L44/H44</f>
        <v/>
      </c>
      <c r="T44" s="2">
        <f>M44/H44</f>
        <v/>
      </c>
      <c r="U44" s="2">
        <f>N44/H44</f>
        <v/>
      </c>
      <c r="V44" s="2">
        <f>O44/H44</f>
        <v/>
      </c>
      <c r="W44" s="2">
        <f>P44/H44</f>
        <v/>
      </c>
      <c r="X44" s="2">
        <f>Q44/H44</f>
        <v/>
      </c>
      <c r="Y44" s="5">
        <f>IF(R44&gt;1,"1","2")</f>
        <v/>
      </c>
      <c r="Z44" s="5">
        <f>IF(S44&gt;1,"1","2")</f>
        <v/>
      </c>
      <c r="AA44" s="5">
        <f>IF(T44&gt;1,"1","2")</f>
        <v/>
      </c>
      <c r="AB44" s="5">
        <f>IF(U44&gt;1,"1","2")</f>
        <v/>
      </c>
      <c r="AC44" s="5">
        <f>IF(V44&gt;1,"1","2")</f>
        <v/>
      </c>
      <c r="AD44" s="5">
        <f>IF(W44&gt;1,"1","2")</f>
        <v/>
      </c>
      <c r="AE44" s="5">
        <f>IF(X44&gt;1,"1","2")</f>
        <v/>
      </c>
      <c r="AF44" t="n">
        <v>-5.143659</v>
      </c>
      <c r="AG44" t="n">
        <v>119.427099</v>
      </c>
    </row>
    <row r="45" ht="14.4" customHeight="1">
      <c r="A45" s="14" t="n">
        <v>42</v>
      </c>
      <c r="B45" s="15" t="inlineStr">
        <is>
          <t>Nur</t>
        </is>
      </c>
      <c r="C45" s="10" t="n">
        <v>10</v>
      </c>
      <c r="D45" s="10" t="n">
        <v>22</v>
      </c>
      <c r="E45" s="17" t="n">
        <v>365</v>
      </c>
      <c r="F45" s="21" t="n">
        <v>0.0032</v>
      </c>
      <c r="G45" s="10" t="n">
        <v>900</v>
      </c>
      <c r="H45" s="13" t="n">
        <v>0.003</v>
      </c>
      <c r="I45" s="18" t="n">
        <v>10950</v>
      </c>
      <c r="J45" s="20" t="n">
        <v>10</v>
      </c>
      <c r="K45" s="19">
        <f>(F45*G45*E45*J45)/(D45*I45)</f>
        <v/>
      </c>
      <c r="L45" s="2">
        <f>(F45*G45*E45*5)/(D45*I45)</f>
        <v/>
      </c>
      <c r="M45" s="2">
        <f>(F45*G45*E45*10)/(D45*I45)</f>
        <v/>
      </c>
      <c r="N45" s="2">
        <f>(F45*G45*E45*15)/(D45*I45)</f>
        <v/>
      </c>
      <c r="O45" s="2">
        <f>(F45*G45*E45*20)/(D45*I45)</f>
        <v/>
      </c>
      <c r="P45" s="2">
        <f>(F45*G45*E45*25)/(D45*I45)</f>
        <v/>
      </c>
      <c r="Q45" s="2">
        <f>(F45*G45*E45*30)/(D45*I45)</f>
        <v/>
      </c>
      <c r="R45" s="2">
        <f>K45/H45</f>
        <v/>
      </c>
      <c r="S45" s="2">
        <f>L45/H45</f>
        <v/>
      </c>
      <c r="T45" s="2">
        <f>M45/H45</f>
        <v/>
      </c>
      <c r="U45" s="2">
        <f>N45/H45</f>
        <v/>
      </c>
      <c r="V45" s="2">
        <f>O45/H45</f>
        <v/>
      </c>
      <c r="W45" s="2">
        <f>P45/H45</f>
        <v/>
      </c>
      <c r="X45" s="2">
        <f>Q45/H45</f>
        <v/>
      </c>
      <c r="Y45" s="5">
        <f>IF(R45&gt;1,"1","2")</f>
        <v/>
      </c>
      <c r="Z45" s="5">
        <f>IF(S45&gt;1,"1","2")</f>
        <v/>
      </c>
      <c r="AA45" s="5">
        <f>IF(T45&gt;1,"1","2")</f>
        <v/>
      </c>
      <c r="AB45" s="5">
        <f>IF(U45&gt;1,"1","2")</f>
        <v/>
      </c>
      <c r="AC45" s="5">
        <f>IF(V45&gt;1,"1","2")</f>
        <v/>
      </c>
      <c r="AD45" s="5">
        <f>IF(W45&gt;1,"1","2")</f>
        <v/>
      </c>
      <c r="AE45" s="5">
        <f>IF(X45&gt;1,"1","2")</f>
        <v/>
      </c>
      <c r="AF45" t="n">
        <v>-5.149125</v>
      </c>
      <c r="AG45" t="n">
        <v>119.424401</v>
      </c>
    </row>
    <row r="46" ht="14.4" customHeight="1">
      <c r="A46" s="14" t="n">
        <v>43</v>
      </c>
      <c r="B46" s="15" t="inlineStr">
        <is>
          <t>Ars</t>
        </is>
      </c>
      <c r="C46" s="10" t="n">
        <v>10</v>
      </c>
      <c r="D46" s="10" t="n">
        <v>20</v>
      </c>
      <c r="E46" s="17" t="n">
        <v>365</v>
      </c>
      <c r="F46" s="21" t="n">
        <v>0.0018</v>
      </c>
      <c r="G46" s="10" t="n">
        <v>900</v>
      </c>
      <c r="H46" s="13" t="n">
        <v>0.003</v>
      </c>
      <c r="I46" s="18" t="n">
        <v>10950</v>
      </c>
      <c r="J46" s="20" t="n">
        <v>6</v>
      </c>
      <c r="K46" s="19">
        <f>(F46*G46*E46*J46)/(D46*I46)</f>
        <v/>
      </c>
      <c r="L46" s="2">
        <f>(F46*G46*E46*5)/(D46*I46)</f>
        <v/>
      </c>
      <c r="M46" s="2">
        <f>(F46*G46*E46*10)/(D46*I46)</f>
        <v/>
      </c>
      <c r="N46" s="2">
        <f>(F46*G46*E46*15)/(D46*I46)</f>
        <v/>
      </c>
      <c r="O46" s="2">
        <f>(F46*G46*E46*20)/(D46*I46)</f>
        <v/>
      </c>
      <c r="P46" s="2">
        <f>(F46*G46*E46*25)/(D46*I46)</f>
        <v/>
      </c>
      <c r="Q46" s="2">
        <f>(F46*G46*E46*30)/(D46*I46)</f>
        <v/>
      </c>
      <c r="R46" s="2">
        <f>K46/H46</f>
        <v/>
      </c>
      <c r="S46" s="2">
        <f>L46/H46</f>
        <v/>
      </c>
      <c r="T46" s="2">
        <f>M46/H46</f>
        <v/>
      </c>
      <c r="U46" s="2">
        <f>N46/H46</f>
        <v/>
      </c>
      <c r="V46" s="2">
        <f>O46/H46</f>
        <v/>
      </c>
      <c r="W46" s="2">
        <f>P46/H46</f>
        <v/>
      </c>
      <c r="X46" s="2">
        <f>Q46/H46</f>
        <v/>
      </c>
      <c r="Y46" s="5">
        <f>IF(R46&gt;1,"1","2")</f>
        <v/>
      </c>
      <c r="Z46" s="5">
        <f>IF(S46&gt;1,"1","2")</f>
        <v/>
      </c>
      <c r="AA46" s="5">
        <f>IF(T46&gt;1,"1","2")</f>
        <v/>
      </c>
      <c r="AB46" s="5">
        <f>IF(U46&gt;1,"1","2")</f>
        <v/>
      </c>
      <c r="AC46" s="5">
        <f>IF(V46&gt;1,"1","2")</f>
        <v/>
      </c>
      <c r="AD46" s="5">
        <f>IF(W46&gt;1,"1","2")</f>
        <v/>
      </c>
      <c r="AE46" s="5">
        <f>IF(X46&gt;1,"1","2")</f>
        <v/>
      </c>
      <c r="AF46" t="n">
        <v>-5.124469</v>
      </c>
      <c r="AG46" t="n">
        <v>119.42</v>
      </c>
    </row>
    <row r="47" ht="14.4" customHeight="1">
      <c r="A47" s="14" t="n">
        <v>44</v>
      </c>
      <c r="B47" s="15" t="inlineStr">
        <is>
          <t>Ani</t>
        </is>
      </c>
      <c r="C47" s="10" t="n">
        <v>10</v>
      </c>
      <c r="D47" s="10" t="n">
        <v>25</v>
      </c>
      <c r="E47" s="17" t="n">
        <v>365</v>
      </c>
      <c r="F47" s="21" t="n">
        <v>0.0024</v>
      </c>
      <c r="G47" s="10" t="n">
        <v>1500</v>
      </c>
      <c r="H47" s="13" t="n">
        <v>0.003</v>
      </c>
      <c r="I47" s="18" t="n">
        <v>10950</v>
      </c>
      <c r="J47" s="20" t="n">
        <v>6</v>
      </c>
      <c r="K47" s="19">
        <f>(F47*G47*E47*J47)/(D47*I47)</f>
        <v/>
      </c>
      <c r="L47" s="2">
        <f>(F47*G47*E47*5)/(D47*I47)</f>
        <v/>
      </c>
      <c r="M47" s="2">
        <f>(F47*G47*E47*10)/(D47*I47)</f>
        <v/>
      </c>
      <c r="N47" s="2">
        <f>(F47*G47*E47*15)/(D47*I47)</f>
        <v/>
      </c>
      <c r="O47" s="2">
        <f>(F47*G47*E47*20)/(D47*I47)</f>
        <v/>
      </c>
      <c r="P47" s="2">
        <f>(F47*G47*E47*25)/(D47*I47)</f>
        <v/>
      </c>
      <c r="Q47" s="2">
        <f>(F47*G47*E47*30)/(D47*I47)</f>
        <v/>
      </c>
      <c r="R47" s="2">
        <f>K47/H47</f>
        <v/>
      </c>
      <c r="S47" s="2">
        <f>L47/H47</f>
        <v/>
      </c>
      <c r="T47" s="2">
        <f>M47/H47</f>
        <v/>
      </c>
      <c r="U47" s="2">
        <f>N47/H47</f>
        <v/>
      </c>
      <c r="V47" s="2">
        <f>O47/H47</f>
        <v/>
      </c>
      <c r="W47" s="2">
        <f>P47/H47</f>
        <v/>
      </c>
      <c r="X47" s="2">
        <f>Q47/H47</f>
        <v/>
      </c>
      <c r="Y47" s="5">
        <f>IF(R47&gt;1,"1","2")</f>
        <v/>
      </c>
      <c r="Z47" s="5">
        <f>IF(S47&gt;1,"1","2")</f>
        <v/>
      </c>
      <c r="AA47" s="5">
        <f>IF(T47&gt;1,"1","2")</f>
        <v/>
      </c>
      <c r="AB47" s="5">
        <f>IF(U47&gt;1,"1","2")</f>
        <v/>
      </c>
      <c r="AC47" s="5">
        <f>IF(V47&gt;1,"1","2")</f>
        <v/>
      </c>
      <c r="AD47" s="5">
        <f>IF(W47&gt;1,"1","2")</f>
        <v/>
      </c>
      <c r="AE47" s="5">
        <f>IF(X47&gt;1,"1","2")</f>
        <v/>
      </c>
      <c r="AF47" t="n">
        <v>-5.145926</v>
      </c>
      <c r="AG47" t="n">
        <v>119.421509</v>
      </c>
    </row>
    <row r="48" ht="14.4" customHeight="1">
      <c r="A48" s="14" t="n">
        <v>45</v>
      </c>
      <c r="B48" s="15" t="inlineStr">
        <is>
          <t>Aff</t>
        </is>
      </c>
      <c r="C48" s="10" t="n">
        <v>10</v>
      </c>
      <c r="D48" s="10" t="n">
        <v>49</v>
      </c>
      <c r="E48" s="17" t="n">
        <v>365</v>
      </c>
      <c r="F48" s="21" t="n">
        <v>0.0024</v>
      </c>
      <c r="G48" s="10" t="n">
        <v>2100</v>
      </c>
      <c r="H48" s="13" t="n">
        <v>0.003</v>
      </c>
      <c r="I48" s="18" t="n">
        <v>10950</v>
      </c>
      <c r="J48" s="20" t="n">
        <v>2</v>
      </c>
      <c r="K48" s="19">
        <f>(F48*G48*E48*J48)/(D48*I48)</f>
        <v/>
      </c>
      <c r="L48" s="2">
        <f>(F48*G48*E48*5)/(D48*I48)</f>
        <v/>
      </c>
      <c r="M48" s="2">
        <f>(F48*G48*E48*10)/(D48*I48)</f>
        <v/>
      </c>
      <c r="N48" s="2">
        <f>(F48*G48*E48*15)/(D48*I48)</f>
        <v/>
      </c>
      <c r="O48" s="2">
        <f>(F48*G48*E48*20)/(D48*I48)</f>
        <v/>
      </c>
      <c r="P48" s="2">
        <f>(F48*G48*E48*25)/(D48*I48)</f>
        <v/>
      </c>
      <c r="Q48" s="2">
        <f>(F48*G48*E48*30)/(D48*I48)</f>
        <v/>
      </c>
      <c r="R48" s="2">
        <f>K48/H48</f>
        <v/>
      </c>
      <c r="S48" s="2">
        <f>L48/H48</f>
        <v/>
      </c>
      <c r="T48" s="2">
        <f>M48/H48</f>
        <v/>
      </c>
      <c r="U48" s="2">
        <f>N48/H48</f>
        <v/>
      </c>
      <c r="V48" s="2">
        <f>O48/H48</f>
        <v/>
      </c>
      <c r="W48" s="2">
        <f>P48/H48</f>
        <v/>
      </c>
      <c r="X48" s="2">
        <f>Q48/H48</f>
        <v/>
      </c>
      <c r="Y48" s="5">
        <f>IF(R48&gt;1,"1","2")</f>
        <v/>
      </c>
      <c r="Z48" s="5">
        <f>IF(S48&gt;1,"1","2")</f>
        <v/>
      </c>
      <c r="AA48" s="5">
        <f>IF(T48&gt;1,"1","2")</f>
        <v/>
      </c>
      <c r="AB48" s="5">
        <f>IF(U48&gt;1,"1","2")</f>
        <v/>
      </c>
      <c r="AC48" s="5">
        <f>IF(V48&gt;1,"1","2")</f>
        <v/>
      </c>
      <c r="AD48" s="5">
        <f>IF(W48&gt;1,"1","2")</f>
        <v/>
      </c>
      <c r="AE48" s="5">
        <f>IF(X48&gt;1,"1","2")</f>
        <v/>
      </c>
      <c r="AF48" t="n">
        <v>-5.138074</v>
      </c>
      <c r="AG48" t="n">
        <v>119.406595</v>
      </c>
    </row>
    <row r="49" ht="14.4" customHeight="1">
      <c r="A49" s="14" t="n">
        <v>46</v>
      </c>
      <c r="B49" s="15" t="inlineStr">
        <is>
          <t>IWg</t>
        </is>
      </c>
      <c r="C49" s="10" t="n">
        <v>10</v>
      </c>
      <c r="D49" s="10" t="n">
        <v>25</v>
      </c>
      <c r="E49" s="17" t="n">
        <v>365</v>
      </c>
      <c r="F49" s="21" t="n">
        <v>0.0024</v>
      </c>
      <c r="G49" s="10" t="n">
        <v>900</v>
      </c>
      <c r="H49" s="13" t="n">
        <v>0.003</v>
      </c>
      <c r="I49" s="18" t="n">
        <v>10950</v>
      </c>
      <c r="J49" s="20" t="n">
        <v>10</v>
      </c>
      <c r="K49" s="19">
        <f>(F49*G49*E49*J49)/(D49*I49)</f>
        <v/>
      </c>
      <c r="L49" s="2">
        <f>(F49*G49*E49*5)/(D49*I49)</f>
        <v/>
      </c>
      <c r="M49" s="2">
        <f>(F49*G49*E49*10)/(D49*I49)</f>
        <v/>
      </c>
      <c r="N49" s="2">
        <f>(F49*G49*E49*15)/(D49*I49)</f>
        <v/>
      </c>
      <c r="O49" s="2">
        <f>(F49*G49*E49*20)/(D49*I49)</f>
        <v/>
      </c>
      <c r="P49" s="2">
        <f>(F49*G49*E49*25)/(D49*I49)</f>
        <v/>
      </c>
      <c r="Q49" s="2">
        <f>(F49*G49*E49*30)/(D49*I49)</f>
        <v/>
      </c>
      <c r="R49" s="2">
        <f>K49/H49</f>
        <v/>
      </c>
      <c r="S49" s="2">
        <f>L49/H49</f>
        <v/>
      </c>
      <c r="T49" s="2">
        <f>M49/H49</f>
        <v/>
      </c>
      <c r="U49" s="2">
        <f>N49/H49</f>
        <v/>
      </c>
      <c r="V49" s="2">
        <f>O49/H49</f>
        <v/>
      </c>
      <c r="W49" s="2">
        <f>P49/H49</f>
        <v/>
      </c>
      <c r="X49" s="2">
        <f>Q49/H49</f>
        <v/>
      </c>
      <c r="Y49" s="5">
        <f>IF(R49&gt;1,"1","2")</f>
        <v/>
      </c>
      <c r="Z49" s="5">
        <f>IF(S49&gt;1,"1","2")</f>
        <v/>
      </c>
      <c r="AA49" s="5">
        <f>IF(T49&gt;1,"1","2")</f>
        <v/>
      </c>
      <c r="AB49" s="5">
        <f>IF(U49&gt;1,"1","2")</f>
        <v/>
      </c>
      <c r="AC49" s="5">
        <f>IF(V49&gt;1,"1","2")</f>
        <v/>
      </c>
      <c r="AD49" s="5">
        <f>IF(W49&gt;1,"1","2")</f>
        <v/>
      </c>
      <c r="AE49" s="5">
        <f>IF(X49&gt;1,"1","2")</f>
        <v/>
      </c>
      <c r="AF49" t="n">
        <v>-5.157325</v>
      </c>
      <c r="AG49" t="n">
        <v>119.420662</v>
      </c>
    </row>
    <row r="50" ht="14.4" customHeight="1">
      <c r="A50" s="14" t="n">
        <v>47</v>
      </c>
      <c r="B50" s="15" t="inlineStr">
        <is>
          <t>Nkf</t>
        </is>
      </c>
      <c r="C50" s="10" t="n">
        <v>10</v>
      </c>
      <c r="D50" s="10" t="n">
        <v>27</v>
      </c>
      <c r="E50" s="17" t="n">
        <v>365</v>
      </c>
      <c r="F50" s="21" t="n">
        <v>0.0014</v>
      </c>
      <c r="G50" s="10" t="n">
        <v>900</v>
      </c>
      <c r="H50" s="13" t="n">
        <v>0.003</v>
      </c>
      <c r="I50" s="18" t="n">
        <v>10950</v>
      </c>
      <c r="J50" s="20" t="n">
        <v>10</v>
      </c>
      <c r="K50" s="19">
        <f>(F50*G50*E50*J50)/(D50*I50)</f>
        <v/>
      </c>
      <c r="L50" s="2">
        <f>(F50*G50*E50*5)/(D50*I50)</f>
        <v/>
      </c>
      <c r="M50" s="2">
        <f>(F50*G50*E50*10)/(D50*I50)</f>
        <v/>
      </c>
      <c r="N50" s="2">
        <f>(F50*G50*E50*15)/(D50*I50)</f>
        <v/>
      </c>
      <c r="O50" s="2">
        <f>(F50*G50*E50*20)/(D50*I50)</f>
        <v/>
      </c>
      <c r="P50" s="2">
        <f>(F50*G50*E50*25)/(D50*I50)</f>
        <v/>
      </c>
      <c r="Q50" s="2">
        <f>(F50*G50*E50*30)/(D50*I50)</f>
        <v/>
      </c>
      <c r="R50" s="2">
        <f>K50/H50</f>
        <v/>
      </c>
      <c r="S50" s="2">
        <f>L50/H50</f>
        <v/>
      </c>
      <c r="T50" s="2">
        <f>M50/H50</f>
        <v/>
      </c>
      <c r="U50" s="2">
        <f>N50/H50</f>
        <v/>
      </c>
      <c r="V50" s="2">
        <f>O50/H50</f>
        <v/>
      </c>
      <c r="W50" s="2">
        <f>P50/H50</f>
        <v/>
      </c>
      <c r="X50" s="2">
        <f>Q50/H50</f>
        <v/>
      </c>
      <c r="Y50" s="5">
        <f>IF(R50&gt;1,"1","2")</f>
        <v/>
      </c>
      <c r="Z50" s="5">
        <f>IF(S50&gt;1,"1","2")</f>
        <v/>
      </c>
      <c r="AA50" s="5">
        <f>IF(T50&gt;1,"1","2")</f>
        <v/>
      </c>
      <c r="AB50" s="5">
        <f>IF(U50&gt;1,"1","2")</f>
        <v/>
      </c>
      <c r="AC50" s="5">
        <f>IF(V50&gt;1,"1","2")</f>
        <v/>
      </c>
      <c r="AD50" s="5">
        <f>IF(W50&gt;1,"1","2")</f>
        <v/>
      </c>
      <c r="AE50" s="5">
        <f>IF(X50&gt;1,"1","2")</f>
        <v/>
      </c>
      <c r="AF50" t="n">
        <v>-5.140099</v>
      </c>
      <c r="AG50" t="n">
        <v>119.413309</v>
      </c>
    </row>
    <row r="51" ht="14.4" customHeight="1">
      <c r="A51" s="14" t="n">
        <v>48</v>
      </c>
      <c r="B51" s="15" t="inlineStr">
        <is>
          <t>Kad</t>
        </is>
      </c>
      <c r="C51" s="10" t="n">
        <v>10</v>
      </c>
      <c r="D51" s="10" t="n">
        <v>33</v>
      </c>
      <c r="E51" s="17" t="n">
        <v>365</v>
      </c>
      <c r="F51" s="21" t="n">
        <v>0.0014</v>
      </c>
      <c r="G51" s="10" t="n">
        <v>900</v>
      </c>
      <c r="H51" s="13" t="n">
        <v>0.003</v>
      </c>
      <c r="I51" s="18" t="n">
        <v>10950</v>
      </c>
      <c r="J51" s="20" t="n">
        <v>6</v>
      </c>
      <c r="K51" s="19">
        <f>(F51*G51*E51*J51)/(D51*I51)</f>
        <v/>
      </c>
      <c r="L51" s="2">
        <f>(F51*G51*E51*5)/(D51*I51)</f>
        <v/>
      </c>
      <c r="M51" s="2">
        <f>(F51*G51*E51*10)/(D51*I51)</f>
        <v/>
      </c>
      <c r="N51" s="2">
        <f>(F51*G51*E51*15)/(D51*I51)</f>
        <v/>
      </c>
      <c r="O51" s="2">
        <f>(F51*G51*E51*20)/(D51*I51)</f>
        <v/>
      </c>
      <c r="P51" s="2">
        <f>(F51*G51*E51*25)/(D51*I51)</f>
        <v/>
      </c>
      <c r="Q51" s="2">
        <f>(F51*G51*E51*30)/(D51*I51)</f>
        <v/>
      </c>
      <c r="R51" s="2">
        <f>K51/H51</f>
        <v/>
      </c>
      <c r="S51" s="2">
        <f>L51/H51</f>
        <v/>
      </c>
      <c r="T51" s="2">
        <f>M51/H51</f>
        <v/>
      </c>
      <c r="U51" s="2">
        <f>N51/H51</f>
        <v/>
      </c>
      <c r="V51" s="2">
        <f>O51/H51</f>
        <v/>
      </c>
      <c r="W51" s="2">
        <f>P51/H51</f>
        <v/>
      </c>
      <c r="X51" s="2">
        <f>Q51/H51</f>
        <v/>
      </c>
      <c r="Y51" s="5">
        <f>IF(R51&gt;1,"1","2")</f>
        <v/>
      </c>
      <c r="Z51" s="5">
        <f>IF(S51&gt;1,"1","2")</f>
        <v/>
      </c>
      <c r="AA51" s="5">
        <f>IF(T51&gt;1,"1","2")</f>
        <v/>
      </c>
      <c r="AB51" s="5">
        <f>IF(U51&gt;1,"1","2")</f>
        <v/>
      </c>
      <c r="AC51" s="5">
        <f>IF(V51&gt;1,"1","2")</f>
        <v/>
      </c>
      <c r="AD51" s="5">
        <f>IF(W51&gt;1,"1","2")</f>
        <v/>
      </c>
      <c r="AE51" s="5">
        <f>IF(X51&gt;1,"1","2")</f>
        <v/>
      </c>
      <c r="AF51" t="n">
        <v>-5.150259</v>
      </c>
      <c r="AG51" t="n">
        <v>119.42511</v>
      </c>
    </row>
    <row r="52" ht="14.4" customHeight="1">
      <c r="A52" s="14" t="n">
        <v>49</v>
      </c>
      <c r="B52" s="15" t="inlineStr">
        <is>
          <t>Kel</t>
        </is>
      </c>
      <c r="C52" s="10" t="n">
        <v>10</v>
      </c>
      <c r="D52" s="10" t="n">
        <v>29</v>
      </c>
      <c r="E52" s="17" t="n">
        <v>365</v>
      </c>
      <c r="F52" s="21" t="n">
        <v>0.0014</v>
      </c>
      <c r="G52" s="10" t="n">
        <v>1500</v>
      </c>
      <c r="H52" s="13" t="n">
        <v>0.003</v>
      </c>
      <c r="I52" s="18" t="n">
        <v>10950</v>
      </c>
      <c r="J52" s="20" t="n">
        <v>8</v>
      </c>
      <c r="K52" s="19">
        <f>(F52*G52*E52*J52)/(D52*I52)</f>
        <v/>
      </c>
      <c r="L52" s="2">
        <f>(F52*G52*E52*5)/(D52*I52)</f>
        <v/>
      </c>
      <c r="M52" s="2">
        <f>(F52*G52*E52*10)/(D52*I52)</f>
        <v/>
      </c>
      <c r="N52" s="2">
        <f>(F52*G52*E52*15)/(D52*I52)</f>
        <v/>
      </c>
      <c r="O52" s="2">
        <f>(F52*G52*E52*20)/(D52*I52)</f>
        <v/>
      </c>
      <c r="P52" s="2">
        <f>(F52*G52*E52*25)/(D52*I52)</f>
        <v/>
      </c>
      <c r="Q52" s="2">
        <f>(F52*G52*E52*30)/(D52*I52)</f>
        <v/>
      </c>
      <c r="R52" s="2">
        <f>K52/H52</f>
        <v/>
      </c>
      <c r="S52" s="2">
        <f>L52/H52</f>
        <v/>
      </c>
      <c r="T52" s="2">
        <f>M52/H52</f>
        <v/>
      </c>
      <c r="U52" s="2">
        <f>N52/H52</f>
        <v/>
      </c>
      <c r="V52" s="2">
        <f>O52/H52</f>
        <v/>
      </c>
      <c r="W52" s="2">
        <f>P52/H52</f>
        <v/>
      </c>
      <c r="X52" s="2">
        <f>Q52/H52</f>
        <v/>
      </c>
      <c r="Y52" s="5">
        <f>IF(R52&gt;1,"1","2")</f>
        <v/>
      </c>
      <c r="Z52" s="5">
        <f>IF(S52&gt;1,"1","2")</f>
        <v/>
      </c>
      <c r="AA52" s="5">
        <f>IF(T52&gt;1,"1","2")</f>
        <v/>
      </c>
      <c r="AB52" s="5">
        <f>IF(U52&gt;1,"1","2")</f>
        <v/>
      </c>
      <c r="AC52" s="5">
        <f>IF(V52&gt;1,"1","2")</f>
        <v/>
      </c>
      <c r="AD52" s="5">
        <f>IF(W52&gt;1,"1","2")</f>
        <v/>
      </c>
      <c r="AE52" s="5">
        <f>IF(X52&gt;1,"1","2")</f>
        <v/>
      </c>
      <c r="AF52" t="n">
        <v>-5.120866</v>
      </c>
      <c r="AG52" t="n">
        <v>119.402726</v>
      </c>
    </row>
    <row r="53" ht="14.4" customHeight="1">
      <c r="A53" s="14" t="n">
        <v>50</v>
      </c>
      <c r="B53" s="15" t="inlineStr">
        <is>
          <t>Waa</t>
        </is>
      </c>
      <c r="C53" s="10" t="n">
        <v>10</v>
      </c>
      <c r="D53" s="10" t="n">
        <v>39</v>
      </c>
      <c r="E53" s="17" t="n">
        <v>365</v>
      </c>
      <c r="F53" s="21" t="n">
        <v>0.0031</v>
      </c>
      <c r="G53" s="10" t="n">
        <v>900</v>
      </c>
      <c r="H53" s="13" t="n">
        <v>0.003</v>
      </c>
      <c r="I53" s="18" t="n">
        <v>10950</v>
      </c>
      <c r="J53" s="20" t="n">
        <v>8</v>
      </c>
      <c r="K53" s="19">
        <f>(F53*G53*E53*J53)/(D53*I53)</f>
        <v/>
      </c>
      <c r="L53" s="2">
        <f>(F53*G53*E53*5)/(D53*I53)</f>
        <v/>
      </c>
      <c r="M53" s="2">
        <f>(F53*G53*E53*10)/(D53*I53)</f>
        <v/>
      </c>
      <c r="N53" s="2">
        <f>(F53*G53*E53*15)/(D53*I53)</f>
        <v/>
      </c>
      <c r="O53" s="2">
        <f>(F53*G53*E53*20)/(D53*I53)</f>
        <v/>
      </c>
      <c r="P53" s="2">
        <f>(F53*G53*E53*25)/(D53*I53)</f>
        <v/>
      </c>
      <c r="Q53" s="2">
        <f>(F53*G53*E53*30)/(D53*I53)</f>
        <v/>
      </c>
      <c r="R53" s="2">
        <f>K53/H53</f>
        <v/>
      </c>
      <c r="S53" s="2">
        <f>L53/H53</f>
        <v/>
      </c>
      <c r="T53" s="2">
        <f>M53/H53</f>
        <v/>
      </c>
      <c r="U53" s="2">
        <f>N53/H53</f>
        <v/>
      </c>
      <c r="V53" s="2">
        <f>O53/H53</f>
        <v/>
      </c>
      <c r="W53" s="2">
        <f>P53/H53</f>
        <v/>
      </c>
      <c r="X53" s="2">
        <f>Q53/H53</f>
        <v/>
      </c>
      <c r="Y53" s="5">
        <f>IF(R53&gt;1,"1","2")</f>
        <v/>
      </c>
      <c r="Z53" s="5">
        <f>IF(S53&gt;1,"1","2")</f>
        <v/>
      </c>
      <c r="AA53" s="5">
        <f>IF(T53&gt;1,"1","2")</f>
        <v/>
      </c>
      <c r="AB53" s="5">
        <f>IF(U53&gt;1,"1","2")</f>
        <v/>
      </c>
      <c r="AC53" s="5">
        <f>IF(V53&gt;1,"1","2")</f>
        <v/>
      </c>
      <c r="AD53" s="5">
        <f>IF(W53&gt;1,"1","2")</f>
        <v/>
      </c>
      <c r="AE53" s="5">
        <f>IF(X53&gt;1,"1","2")</f>
        <v/>
      </c>
      <c r="AF53" t="n">
        <v>-5.135314</v>
      </c>
      <c r="AG53" t="n">
        <v>119.444507</v>
      </c>
    </row>
    <row r="54" ht="14.4" customHeight="1">
      <c r="A54" s="14" t="n">
        <v>51</v>
      </c>
      <c r="B54" s="15" t="inlineStr">
        <is>
          <t>Mai</t>
        </is>
      </c>
      <c r="C54" s="10" t="n">
        <v>10</v>
      </c>
      <c r="D54" s="10" t="n">
        <v>25</v>
      </c>
      <c r="E54" s="17" t="n">
        <v>365</v>
      </c>
      <c r="F54" s="21" t="n">
        <v>0.0063</v>
      </c>
      <c r="G54" s="10" t="n">
        <v>900</v>
      </c>
      <c r="H54" s="13" t="n">
        <v>0.003</v>
      </c>
      <c r="I54" s="18" t="n">
        <v>10950</v>
      </c>
      <c r="J54" s="20" t="n">
        <v>10</v>
      </c>
      <c r="K54" s="19">
        <f>(F54*G54*E54*J54)/(D54*I54)</f>
        <v/>
      </c>
      <c r="L54" s="2">
        <f>(F54*G54*E54*5)/(D54*I54)</f>
        <v/>
      </c>
      <c r="M54" s="2">
        <f>(F54*G54*E54*10)/(D54*I54)</f>
        <v/>
      </c>
      <c r="N54" s="2">
        <f>(F54*G54*E54*15)/(D54*I54)</f>
        <v/>
      </c>
      <c r="O54" s="2">
        <f>(F54*G54*E54*20)/(D54*I54)</f>
        <v/>
      </c>
      <c r="P54" s="2">
        <f>(F54*G54*E54*25)/(D54*I54)</f>
        <v/>
      </c>
      <c r="Q54" s="2">
        <f>(F54*G54*E54*30)/(D54*I54)</f>
        <v/>
      </c>
      <c r="R54" s="2">
        <f>K54/H54</f>
        <v/>
      </c>
      <c r="S54" s="2">
        <f>L54/H54</f>
        <v/>
      </c>
      <c r="T54" s="2">
        <f>M54/H54</f>
        <v/>
      </c>
      <c r="U54" s="2">
        <f>N54/H54</f>
        <v/>
      </c>
      <c r="V54" s="2">
        <f>O54/H54</f>
        <v/>
      </c>
      <c r="W54" s="2">
        <f>P54/H54</f>
        <v/>
      </c>
      <c r="X54" s="2">
        <f>Q54/H54</f>
        <v/>
      </c>
      <c r="Y54" s="5">
        <f>IF(R54&gt;1,"1","2")</f>
        <v/>
      </c>
      <c r="Z54" s="5">
        <f>IF(S54&gt;1,"1","2")</f>
        <v/>
      </c>
      <c r="AA54" s="5">
        <f>IF(T54&gt;1,"1","2")</f>
        <v/>
      </c>
      <c r="AB54" s="5">
        <f>IF(U54&gt;1,"1","2")</f>
        <v/>
      </c>
      <c r="AC54" s="5">
        <f>IF(V54&gt;1,"1","2")</f>
        <v/>
      </c>
      <c r="AD54" s="5">
        <f>IF(W54&gt;1,"1","2")</f>
        <v/>
      </c>
      <c r="AE54" s="5">
        <f>IF(X54&gt;1,"1","2")</f>
        <v/>
      </c>
      <c r="AF54" t="n">
        <v>-5.123454</v>
      </c>
      <c r="AG54" t="n">
        <v>119.406874</v>
      </c>
    </row>
    <row r="55" ht="14.4" customHeight="1">
      <c r="A55" s="14" t="n">
        <v>52</v>
      </c>
      <c r="B55" s="15" t="inlineStr">
        <is>
          <t>Mkl</t>
        </is>
      </c>
      <c r="C55" s="10" t="n">
        <v>10</v>
      </c>
      <c r="D55" s="10" t="n">
        <v>25</v>
      </c>
      <c r="E55" s="17" t="n">
        <v>365</v>
      </c>
      <c r="F55" s="21" t="n">
        <v>0.0063</v>
      </c>
      <c r="G55" s="10" t="n">
        <v>900</v>
      </c>
      <c r="H55" s="13" t="n">
        <v>0.003</v>
      </c>
      <c r="I55" s="18" t="n">
        <v>10950</v>
      </c>
      <c r="J55" s="20" t="n">
        <v>10</v>
      </c>
      <c r="K55" s="19">
        <f>(F55*G55*E55*J55)/(D55*I55)</f>
        <v/>
      </c>
      <c r="L55" s="2">
        <f>(F55*G55*E55*5)/(D55*I55)</f>
        <v/>
      </c>
      <c r="M55" s="2">
        <f>(F55*G55*E55*10)/(D55*I55)</f>
        <v/>
      </c>
      <c r="N55" s="2">
        <f>(F55*G55*E55*15)/(D55*I55)</f>
        <v/>
      </c>
      <c r="O55" s="2">
        <f>(F55*G55*E55*20)/(D55*I55)</f>
        <v/>
      </c>
      <c r="P55" s="2">
        <f>(F55*G55*E55*25)/(D55*I55)</f>
        <v/>
      </c>
      <c r="Q55" s="2">
        <f>(F55*G55*E55*30)/(D55*I55)</f>
        <v/>
      </c>
      <c r="R55" s="2">
        <f>K55/H55</f>
        <v/>
      </c>
      <c r="S55" s="2">
        <f>L55/H55</f>
        <v/>
      </c>
      <c r="T55" s="2">
        <f>M55/H55</f>
        <v/>
      </c>
      <c r="U55" s="2">
        <f>N55/H55</f>
        <v/>
      </c>
      <c r="V55" s="2">
        <f>O55/H55</f>
        <v/>
      </c>
      <c r="W55" s="2">
        <f>P55/H55</f>
        <v/>
      </c>
      <c r="X55" s="2">
        <f>Q55/H55</f>
        <v/>
      </c>
      <c r="Y55" s="5">
        <f>IF(R55&gt;1,"1","2")</f>
        <v/>
      </c>
      <c r="Z55" s="5">
        <f>IF(S55&gt;1,"1","2")</f>
        <v/>
      </c>
      <c r="AA55" s="5">
        <f>IF(T55&gt;1,"1","2")</f>
        <v/>
      </c>
      <c r="AB55" s="5">
        <f>IF(U55&gt;1,"1","2")</f>
        <v/>
      </c>
      <c r="AC55" s="5">
        <f>IF(V55&gt;1,"1","2")</f>
        <v/>
      </c>
      <c r="AD55" s="5">
        <f>IF(W55&gt;1,"1","2")</f>
        <v/>
      </c>
      <c r="AE55" s="5">
        <f>IF(X55&gt;1,"1","2")</f>
        <v/>
      </c>
      <c r="AF55" t="n">
        <v>-5.156386</v>
      </c>
      <c r="AG55" t="n">
        <v>119.447532</v>
      </c>
    </row>
    <row r="56" ht="14.4" customHeight="1">
      <c r="A56" s="14" t="n">
        <v>53</v>
      </c>
      <c r="B56" s="15" t="inlineStr">
        <is>
          <t>Ewi</t>
        </is>
      </c>
      <c r="C56" s="10" t="n">
        <v>10</v>
      </c>
      <c r="D56" s="10" t="n">
        <v>33</v>
      </c>
      <c r="E56" s="17" t="n">
        <v>365</v>
      </c>
      <c r="F56" s="21" t="n">
        <v>0.0063</v>
      </c>
      <c r="G56" s="10" t="n">
        <v>900</v>
      </c>
      <c r="H56" s="13" t="n">
        <v>0.003</v>
      </c>
      <c r="I56" s="18" t="n">
        <v>10950</v>
      </c>
      <c r="J56" s="20" t="n">
        <v>10</v>
      </c>
      <c r="K56" s="19">
        <f>(F56*G56*E56*J56)/(D56*I56)</f>
        <v/>
      </c>
      <c r="L56" s="2">
        <f>(F56*G56*E56*5)/(D56*I56)</f>
        <v/>
      </c>
      <c r="M56" s="2">
        <f>(F56*G56*E56*10)/(D56*I56)</f>
        <v/>
      </c>
      <c r="N56" s="2">
        <f>(F56*G56*E56*15)/(D56*I56)</f>
        <v/>
      </c>
      <c r="O56" s="2">
        <f>(F56*G56*E56*20)/(D56*I56)</f>
        <v/>
      </c>
      <c r="P56" s="2">
        <f>(F56*G56*E56*25)/(D56*I56)</f>
        <v/>
      </c>
      <c r="Q56" s="2">
        <f>(F56*G56*E56*30)/(D56*I56)</f>
        <v/>
      </c>
      <c r="R56" s="2">
        <f>K56/H56</f>
        <v/>
      </c>
      <c r="S56" s="2">
        <f>L56/H56</f>
        <v/>
      </c>
      <c r="T56" s="2">
        <f>M56/H56</f>
        <v/>
      </c>
      <c r="U56" s="2">
        <f>N56/H56</f>
        <v/>
      </c>
      <c r="V56" s="2">
        <f>O56/H56</f>
        <v/>
      </c>
      <c r="W56" s="2">
        <f>P56/H56</f>
        <v/>
      </c>
      <c r="X56" s="2">
        <f>Q56/H56</f>
        <v/>
      </c>
      <c r="Y56" s="5">
        <f>IF(R56&gt;1,"1","2")</f>
        <v/>
      </c>
      <c r="Z56" s="5">
        <f>IF(S56&gt;1,"1","2")</f>
        <v/>
      </c>
      <c r="AA56" s="5">
        <f>IF(T56&gt;1,"1","2")</f>
        <v/>
      </c>
      <c r="AB56" s="5">
        <f>IF(U56&gt;1,"1","2")</f>
        <v/>
      </c>
      <c r="AC56" s="5">
        <f>IF(V56&gt;1,"1","2")</f>
        <v/>
      </c>
      <c r="AD56" s="5">
        <f>IF(W56&gt;1,"1","2")</f>
        <v/>
      </c>
      <c r="AE56" s="5">
        <f>IF(X56&gt;1,"1","2")</f>
        <v/>
      </c>
      <c r="AF56" t="n">
        <v>-5.121363</v>
      </c>
      <c r="AG56" t="n">
        <v>119.427988</v>
      </c>
    </row>
    <row r="57" ht="14.4" customHeight="1">
      <c r="A57" s="14" t="n">
        <v>54</v>
      </c>
      <c r="B57" s="15" t="inlineStr">
        <is>
          <t>Ruh</t>
        </is>
      </c>
      <c r="C57" s="10" t="n">
        <v>10</v>
      </c>
      <c r="D57" s="10" t="n">
        <v>25</v>
      </c>
      <c r="E57" s="17" t="n">
        <v>365</v>
      </c>
      <c r="F57" s="21" t="n">
        <v>0.0007</v>
      </c>
      <c r="G57" s="10" t="n">
        <v>900</v>
      </c>
      <c r="H57" s="13" t="n">
        <v>0.003</v>
      </c>
      <c r="I57" s="18" t="n">
        <v>10950</v>
      </c>
      <c r="J57" s="20" t="n">
        <v>10</v>
      </c>
      <c r="K57" s="19">
        <f>(F57*G57*E57*J57)/(D57*I57)</f>
        <v/>
      </c>
      <c r="L57" s="2">
        <f>(F57*G57*E57*5)/(D57*I57)</f>
        <v/>
      </c>
      <c r="M57" s="2">
        <f>(F57*G57*E57*10)/(D57*I57)</f>
        <v/>
      </c>
      <c r="N57" s="2">
        <f>(F57*G57*E57*15)/(D57*I57)</f>
        <v/>
      </c>
      <c r="O57" s="2">
        <f>(F57*G57*E57*20)/(D57*I57)</f>
        <v/>
      </c>
      <c r="P57" s="2">
        <f>(F57*G57*E57*25)/(D57*I57)</f>
        <v/>
      </c>
      <c r="Q57" s="2">
        <f>(F57*G57*E57*30)/(D57*I57)</f>
        <v/>
      </c>
      <c r="R57" s="2">
        <f>K57/H57</f>
        <v/>
      </c>
      <c r="S57" s="2">
        <f>L57/H57</f>
        <v/>
      </c>
      <c r="T57" s="2">
        <f>M57/H57</f>
        <v/>
      </c>
      <c r="U57" s="2">
        <f>N57/H57</f>
        <v/>
      </c>
      <c r="V57" s="2">
        <f>O57/H57</f>
        <v/>
      </c>
      <c r="W57" s="2">
        <f>P57/H57</f>
        <v/>
      </c>
      <c r="X57" s="2">
        <f>Q57/H57</f>
        <v/>
      </c>
      <c r="Y57" s="5">
        <f>IF(R57&gt;1,"1","2")</f>
        <v/>
      </c>
      <c r="Z57" s="5">
        <f>IF(S57&gt;1,"1","2")</f>
        <v/>
      </c>
      <c r="AA57" s="5">
        <f>IF(T57&gt;1,"1","2")</f>
        <v/>
      </c>
      <c r="AB57" s="5">
        <f>IF(U57&gt;1,"1","2")</f>
        <v/>
      </c>
      <c r="AC57" s="5">
        <f>IF(V57&gt;1,"1","2")</f>
        <v/>
      </c>
      <c r="AD57" s="5">
        <f>IF(W57&gt;1,"1","2")</f>
        <v/>
      </c>
      <c r="AE57" s="5">
        <f>IF(X57&gt;1,"1","2")</f>
        <v/>
      </c>
      <c r="AF57" t="n">
        <v>-5.158297</v>
      </c>
      <c r="AG57" t="n">
        <v>119.429484</v>
      </c>
    </row>
    <row r="58" ht="14.4" customHeight="1">
      <c r="A58" s="14" t="n">
        <v>55</v>
      </c>
      <c r="B58" s="15" t="inlineStr">
        <is>
          <t>Ani</t>
        </is>
      </c>
      <c r="C58" s="10" t="n">
        <v>10</v>
      </c>
      <c r="D58" s="10" t="n">
        <v>25</v>
      </c>
      <c r="E58" s="17" t="n">
        <v>365</v>
      </c>
      <c r="F58" s="21" t="n">
        <v>0.0007</v>
      </c>
      <c r="G58" s="10" t="n">
        <v>1500</v>
      </c>
      <c r="H58" s="13" t="n">
        <v>0.003</v>
      </c>
      <c r="I58" s="18" t="n">
        <v>10950</v>
      </c>
      <c r="J58" s="20" t="n">
        <v>6</v>
      </c>
      <c r="K58" s="19">
        <f>(F58*G58*E58*J58)/(D58*I58)</f>
        <v/>
      </c>
      <c r="L58" s="2">
        <f>(F58*G58*E58*5)/(D58*I58)</f>
        <v/>
      </c>
      <c r="M58" s="2">
        <f>(F58*G58*E58*10)/(D58*I58)</f>
        <v/>
      </c>
      <c r="N58" s="2">
        <f>(F58*G58*E58*15)/(D58*I58)</f>
        <v/>
      </c>
      <c r="O58" s="2">
        <f>(F58*G58*E58*20)/(D58*I58)</f>
        <v/>
      </c>
      <c r="P58" s="2">
        <f>(F58*G58*E58*25)/(D58*I58)</f>
        <v/>
      </c>
      <c r="Q58" s="2">
        <f>(F58*G58*E58*30)/(D58*I58)</f>
        <v/>
      </c>
      <c r="R58" s="2">
        <f>K58/H58</f>
        <v/>
      </c>
      <c r="S58" s="2">
        <f>L58/H58</f>
        <v/>
      </c>
      <c r="T58" s="2">
        <f>M58/H58</f>
        <v/>
      </c>
      <c r="U58" s="2">
        <f>N58/H58</f>
        <v/>
      </c>
      <c r="V58" s="2">
        <f>O58/H58</f>
        <v/>
      </c>
      <c r="W58" s="2">
        <f>P58/H58</f>
        <v/>
      </c>
      <c r="X58" s="2">
        <f>Q58/H58</f>
        <v/>
      </c>
      <c r="Y58" s="5">
        <f>IF(R58&gt;1,"1","2")</f>
        <v/>
      </c>
      <c r="Z58" s="5">
        <f>IF(S58&gt;1,"1","2")</f>
        <v/>
      </c>
      <c r="AA58" s="5">
        <f>IF(T58&gt;1,"1","2")</f>
        <v/>
      </c>
      <c r="AB58" s="5">
        <f>IF(U58&gt;1,"1","2")</f>
        <v/>
      </c>
      <c r="AC58" s="5">
        <f>IF(V58&gt;1,"1","2")</f>
        <v/>
      </c>
      <c r="AD58" s="5">
        <f>IF(W58&gt;1,"1","2")</f>
        <v/>
      </c>
      <c r="AE58" s="5">
        <f>IF(X58&gt;1,"1","2")</f>
        <v/>
      </c>
      <c r="AF58" t="n">
        <v>-5.13677</v>
      </c>
      <c r="AG58" t="n">
        <v>119.410286</v>
      </c>
    </row>
    <row r="59" ht="14.4" customHeight="1">
      <c r="A59" s="14" t="n">
        <v>56</v>
      </c>
      <c r="B59" s="15" t="inlineStr">
        <is>
          <t>Afd</t>
        </is>
      </c>
      <c r="C59" s="10" t="n">
        <v>10</v>
      </c>
      <c r="D59" s="10" t="n">
        <v>49</v>
      </c>
      <c r="E59" s="17" t="n">
        <v>365</v>
      </c>
      <c r="F59" s="21" t="n">
        <v>0.0007</v>
      </c>
      <c r="G59" s="10" t="n">
        <v>2100</v>
      </c>
      <c r="H59" s="13" t="n">
        <v>0.003</v>
      </c>
      <c r="I59" s="18" t="n">
        <v>10950</v>
      </c>
      <c r="J59" s="20" t="n">
        <v>2</v>
      </c>
      <c r="K59" s="19">
        <f>(F59*G59*E59*J59)/(D59*I59)</f>
        <v/>
      </c>
      <c r="L59" s="2">
        <f>(F59*G59*E59*5)/(D59*I59)</f>
        <v/>
      </c>
      <c r="M59" s="2">
        <f>(F59*G59*E59*10)/(D59*I59)</f>
        <v/>
      </c>
      <c r="N59" s="2">
        <f>(F59*G59*E59*15)/(D59*I59)</f>
        <v/>
      </c>
      <c r="O59" s="2">
        <f>(F59*G59*E59*20)/(D59*I59)</f>
        <v/>
      </c>
      <c r="P59" s="2">
        <f>(F59*G59*E59*25)/(D59*I59)</f>
        <v/>
      </c>
      <c r="Q59" s="2">
        <f>(F59*G59*E59*30)/(D59*I59)</f>
        <v/>
      </c>
      <c r="R59" s="2">
        <f>K59/H59</f>
        <v/>
      </c>
      <c r="S59" s="2">
        <f>L59/H59</f>
        <v/>
      </c>
      <c r="T59" s="2">
        <f>M59/H59</f>
        <v/>
      </c>
      <c r="U59" s="2">
        <f>N59/H59</f>
        <v/>
      </c>
      <c r="V59" s="2">
        <f>O59/H59</f>
        <v/>
      </c>
      <c r="W59" s="2">
        <f>P59/H59</f>
        <v/>
      </c>
      <c r="X59" s="2">
        <f>Q59/H59</f>
        <v/>
      </c>
      <c r="Y59" s="5">
        <f>IF(R59&gt;1,"1","2")</f>
        <v/>
      </c>
      <c r="Z59" s="5">
        <f>IF(S59&gt;1,"1","2")</f>
        <v/>
      </c>
      <c r="AA59" s="5">
        <f>IF(T59&gt;1,"1","2")</f>
        <v/>
      </c>
      <c r="AB59" s="5">
        <f>IF(U59&gt;1,"1","2")</f>
        <v/>
      </c>
      <c r="AC59" s="5">
        <f>IF(V59&gt;1,"1","2")</f>
        <v/>
      </c>
      <c r="AD59" s="5">
        <f>IF(W59&gt;1,"1","2")</f>
        <v/>
      </c>
      <c r="AE59" s="5">
        <f>IF(X59&gt;1,"1","2")</f>
        <v/>
      </c>
      <c r="AF59" t="n">
        <v>-5.151033</v>
      </c>
      <c r="AG59" t="n">
        <v>119.446632</v>
      </c>
    </row>
    <row r="60" ht="14.4" customHeight="1">
      <c r="A60" s="14" t="n">
        <v>57</v>
      </c>
      <c r="B60" s="15" t="inlineStr">
        <is>
          <t>Iwg</t>
        </is>
      </c>
      <c r="C60" s="10" t="n">
        <v>10</v>
      </c>
      <c r="D60" s="10" t="n">
        <v>25</v>
      </c>
      <c r="E60" s="17" t="n">
        <v>365</v>
      </c>
      <c r="F60" s="21" t="n">
        <v>0.0005999999999999999</v>
      </c>
      <c r="G60" s="10" t="n">
        <v>900</v>
      </c>
      <c r="H60" s="13" t="n">
        <v>0.003</v>
      </c>
      <c r="I60" s="18" t="n">
        <v>10950</v>
      </c>
      <c r="J60" s="20" t="n">
        <v>10</v>
      </c>
      <c r="K60" s="19">
        <f>(F60*G60*E60*J60)/(D60*I60)</f>
        <v/>
      </c>
      <c r="L60" s="2">
        <f>(F60*G60*E60*5)/(D60*I60)</f>
        <v/>
      </c>
      <c r="M60" s="2">
        <f>(F60*G60*E60*10)/(D60*I60)</f>
        <v/>
      </c>
      <c r="N60" s="2">
        <f>(F60*G60*E60*15)/(D60*I60)</f>
        <v/>
      </c>
      <c r="O60" s="2">
        <f>(F60*G60*E60*20)/(D60*I60)</f>
        <v/>
      </c>
      <c r="P60" s="2">
        <f>(F60*G60*E60*25)/(D60*I60)</f>
        <v/>
      </c>
      <c r="Q60" s="2">
        <f>(F60*G60*E60*30)/(D60*I60)</f>
        <v/>
      </c>
      <c r="R60" s="2">
        <f>K60/H60</f>
        <v/>
      </c>
      <c r="S60" s="2">
        <f>L60/H60</f>
        <v/>
      </c>
      <c r="T60" s="2">
        <f>M60/H60</f>
        <v/>
      </c>
      <c r="U60" s="2">
        <f>N60/H60</f>
        <v/>
      </c>
      <c r="V60" s="2">
        <f>O60/H60</f>
        <v/>
      </c>
      <c r="W60" s="2">
        <f>P60/H60</f>
        <v/>
      </c>
      <c r="X60" s="2">
        <f>Q60/H60</f>
        <v/>
      </c>
      <c r="Y60" s="5">
        <f>IF(R60&gt;1,"1","2")</f>
        <v/>
      </c>
      <c r="Z60" s="5">
        <f>IF(S60&gt;1,"1","2")</f>
        <v/>
      </c>
      <c r="AA60" s="5">
        <f>IF(T60&gt;1,"1","2")</f>
        <v/>
      </c>
      <c r="AB60" s="5">
        <f>IF(U60&gt;1,"1","2")</f>
        <v/>
      </c>
      <c r="AC60" s="5">
        <f>IF(V60&gt;1,"1","2")</f>
        <v/>
      </c>
      <c r="AD60" s="5">
        <f>IF(W60&gt;1,"1","2")</f>
        <v/>
      </c>
      <c r="AE60" s="5">
        <f>IF(X60&gt;1,"1","2")</f>
        <v/>
      </c>
      <c r="AF60" t="n">
        <v>-5.147688</v>
      </c>
      <c r="AG60" t="n">
        <v>119.428898</v>
      </c>
    </row>
    <row r="61" ht="14.4" customHeight="1">
      <c r="A61" s="14" t="n">
        <v>58</v>
      </c>
      <c r="B61" s="15" t="inlineStr">
        <is>
          <t>Feb</t>
        </is>
      </c>
      <c r="C61" s="10" t="n">
        <v>10</v>
      </c>
      <c r="D61" s="10" t="n">
        <v>27</v>
      </c>
      <c r="E61" s="17" t="n">
        <v>365</v>
      </c>
      <c r="F61" s="21" t="n">
        <v>0.0005999999999999999</v>
      </c>
      <c r="G61" s="10" t="n">
        <v>900</v>
      </c>
      <c r="H61" s="13" t="n">
        <v>0.003</v>
      </c>
      <c r="I61" s="18" t="n">
        <v>10950</v>
      </c>
      <c r="J61" s="20" t="n">
        <v>10</v>
      </c>
      <c r="K61" s="19">
        <f>(F61*G61*E61*J61)/(D61*I61)</f>
        <v/>
      </c>
      <c r="L61" s="2">
        <f>(F61*G61*E61*5)/(D61*I61)</f>
        <v/>
      </c>
      <c r="M61" s="2">
        <f>(F61*G61*E61*10)/(D61*I61)</f>
        <v/>
      </c>
      <c r="N61" s="2">
        <f>(F61*G61*E61*15)/(D61*I61)</f>
        <v/>
      </c>
      <c r="O61" s="2">
        <f>(F61*G61*E61*20)/(D61*I61)</f>
        <v/>
      </c>
      <c r="P61" s="2">
        <f>(F61*G61*E61*25)/(D61*I61)</f>
        <v/>
      </c>
      <c r="Q61" s="2">
        <f>(F61*G61*E61*30)/(D61*I61)</f>
        <v/>
      </c>
      <c r="R61" s="2">
        <f>K61/H61</f>
        <v/>
      </c>
      <c r="S61" s="2">
        <f>L61/H61</f>
        <v/>
      </c>
      <c r="T61" s="2">
        <f>M61/H61</f>
        <v/>
      </c>
      <c r="U61" s="2">
        <f>N61/H61</f>
        <v/>
      </c>
      <c r="V61" s="2">
        <f>O61/H61</f>
        <v/>
      </c>
      <c r="W61" s="2">
        <f>P61/H61</f>
        <v/>
      </c>
      <c r="X61" s="2">
        <f>Q61/H61</f>
        <v/>
      </c>
      <c r="Y61" s="5">
        <f>IF(R61&gt;1,"1","2")</f>
        <v/>
      </c>
      <c r="Z61" s="5">
        <f>IF(S61&gt;1,"1","2")</f>
        <v/>
      </c>
      <c r="AA61" s="5">
        <f>IF(T61&gt;1,"1","2")</f>
        <v/>
      </c>
      <c r="AB61" s="5">
        <f>IF(U61&gt;1,"1","2")</f>
        <v/>
      </c>
      <c r="AC61" s="5">
        <f>IF(V61&gt;1,"1","2")</f>
        <v/>
      </c>
      <c r="AD61" s="5">
        <f>IF(W61&gt;1,"1","2")</f>
        <v/>
      </c>
      <c r="AE61" s="5">
        <f>IF(X61&gt;1,"1","2")</f>
        <v/>
      </c>
      <c r="AF61" t="n">
        <v>-5.140221</v>
      </c>
      <c r="AG61" t="n">
        <v>119.427835</v>
      </c>
    </row>
    <row r="62" ht="14.4" customHeight="1">
      <c r="A62" s="14" t="n">
        <v>59</v>
      </c>
      <c r="B62" s="15" t="inlineStr">
        <is>
          <t>Ula</t>
        </is>
      </c>
      <c r="C62" s="10" t="n">
        <v>10</v>
      </c>
      <c r="D62" s="10" t="n">
        <v>25</v>
      </c>
      <c r="E62" s="17" t="n">
        <v>365</v>
      </c>
      <c r="F62" s="21" t="n">
        <v>0.0016</v>
      </c>
      <c r="G62" s="10" t="n">
        <v>900</v>
      </c>
      <c r="H62" s="13" t="n">
        <v>0.003</v>
      </c>
      <c r="I62" s="18" t="n">
        <v>10950</v>
      </c>
      <c r="J62" s="20" t="n">
        <v>10</v>
      </c>
      <c r="K62" s="19">
        <f>(F62*G62*E62*J62)/(D62*I62)</f>
        <v/>
      </c>
      <c r="L62" s="2">
        <f>(F62*G62*E62*5)/(D62*I62)</f>
        <v/>
      </c>
      <c r="M62" s="2">
        <f>(F62*G62*E62*10)/(D62*I62)</f>
        <v/>
      </c>
      <c r="N62" s="2">
        <f>(F62*G62*E62*15)/(D62*I62)</f>
        <v/>
      </c>
      <c r="O62" s="2">
        <f>(F62*G62*E62*20)/(D62*I62)</f>
        <v/>
      </c>
      <c r="P62" s="2">
        <f>(F62*G62*E62*25)/(D62*I62)</f>
        <v/>
      </c>
      <c r="Q62" s="2">
        <f>(F62*G62*E62*30)/(D62*I62)</f>
        <v/>
      </c>
      <c r="R62" s="2">
        <f>K62/H62</f>
        <v/>
      </c>
      <c r="S62" s="2">
        <f>L62/H62</f>
        <v/>
      </c>
      <c r="T62" s="2">
        <f>M62/H62</f>
        <v/>
      </c>
      <c r="U62" s="2">
        <f>N62/H62</f>
        <v/>
      </c>
      <c r="V62" s="2">
        <f>O62/H62</f>
        <v/>
      </c>
      <c r="W62" s="2">
        <f>P62/H62</f>
        <v/>
      </c>
      <c r="X62" s="2">
        <f>Q62/H62</f>
        <v/>
      </c>
      <c r="Y62" s="5">
        <f>IF(R62&gt;1,"1","2")</f>
        <v/>
      </c>
      <c r="Z62" s="5">
        <f>IF(S62&gt;1,"1","2")</f>
        <v/>
      </c>
      <c r="AA62" s="5">
        <f>IF(T62&gt;1,"1","2")</f>
        <v/>
      </c>
      <c r="AB62" s="5">
        <f>IF(U62&gt;1,"1","2")</f>
        <v/>
      </c>
      <c r="AC62" s="5">
        <f>IF(V62&gt;1,"1","2")</f>
        <v/>
      </c>
      <c r="AD62" s="5">
        <f>IF(W62&gt;1,"1","2")</f>
        <v/>
      </c>
      <c r="AE62" s="5">
        <f>IF(X62&gt;1,"1","2")</f>
        <v/>
      </c>
      <c r="AF62" t="n">
        <v>-5.12288</v>
      </c>
      <c r="AG62" t="n">
        <v>119.408651</v>
      </c>
    </row>
    <row r="63" ht="14.4" customHeight="1">
      <c r="A63" s="14" t="n">
        <v>60</v>
      </c>
      <c r="B63" s="15" t="inlineStr">
        <is>
          <t>Msa</t>
        </is>
      </c>
      <c r="C63" s="10" t="n">
        <v>10</v>
      </c>
      <c r="D63" s="10" t="n">
        <v>25</v>
      </c>
      <c r="E63" s="17" t="n">
        <v>365</v>
      </c>
      <c r="F63" s="21" t="n">
        <v>0.0028</v>
      </c>
      <c r="G63" s="10" t="n">
        <v>900</v>
      </c>
      <c r="H63" s="13" t="n">
        <v>0.003</v>
      </c>
      <c r="I63" s="18" t="n">
        <v>10950</v>
      </c>
      <c r="J63" s="20" t="n">
        <v>10</v>
      </c>
      <c r="K63" s="19">
        <f>(F63*G63*E63*J63)/(D63*I63)</f>
        <v/>
      </c>
      <c r="L63" s="2">
        <f>(F63*G63*E63*5)/(D63*I63)</f>
        <v/>
      </c>
      <c r="M63" s="2">
        <f>(F63*G63*E63*10)/(D63*I63)</f>
        <v/>
      </c>
      <c r="N63" s="2">
        <f>(F63*G63*E63*15)/(D63*I63)</f>
        <v/>
      </c>
      <c r="O63" s="2">
        <f>(F63*G63*E63*20)/(D63*I63)</f>
        <v/>
      </c>
      <c r="P63" s="2">
        <f>(F63*G63*E63*25)/(D63*I63)</f>
        <v/>
      </c>
      <c r="Q63" s="2">
        <f>(F63*G63*E63*30)/(D63*I63)</f>
        <v/>
      </c>
      <c r="R63" s="2">
        <f>K63/H63</f>
        <v/>
      </c>
      <c r="S63" s="2">
        <f>L63/H63</f>
        <v/>
      </c>
      <c r="T63" s="2">
        <f>M63/H63</f>
        <v/>
      </c>
      <c r="U63" s="2">
        <f>N63/H63</f>
        <v/>
      </c>
      <c r="V63" s="2">
        <f>O63/H63</f>
        <v/>
      </c>
      <c r="W63" s="2">
        <f>P63/H63</f>
        <v/>
      </c>
      <c r="X63" s="2">
        <f>Q63/H63</f>
        <v/>
      </c>
      <c r="Y63" s="5">
        <f>IF(R63&gt;1,"1","2")</f>
        <v/>
      </c>
      <c r="Z63" s="5">
        <f>IF(S63&gt;1,"1","2")</f>
        <v/>
      </c>
      <c r="AA63" s="5">
        <f>IF(T63&gt;1,"1","2")</f>
        <v/>
      </c>
      <c r="AB63" s="5">
        <f>IF(U63&gt;1,"1","2")</f>
        <v/>
      </c>
      <c r="AC63" s="5">
        <f>IF(V63&gt;1,"1","2")</f>
        <v/>
      </c>
      <c r="AD63" s="5">
        <f>IF(W63&gt;1,"1","2")</f>
        <v/>
      </c>
      <c r="AE63" s="5">
        <f>IF(X63&gt;1,"1","2")</f>
        <v/>
      </c>
      <c r="AF63" t="n">
        <v>-5.142194</v>
      </c>
      <c r="AG63" t="n">
        <v>119.414704</v>
      </c>
    </row>
    <row r="64" ht="14.4" customHeight="1">
      <c r="A64" s="14" t="n">
        <v>61</v>
      </c>
      <c r="B64" s="15" t="inlineStr">
        <is>
          <t>Lan</t>
        </is>
      </c>
      <c r="C64" s="10" t="n">
        <v>10</v>
      </c>
      <c r="D64" s="10" t="n">
        <v>30</v>
      </c>
      <c r="E64" s="17" t="n">
        <v>365</v>
      </c>
      <c r="F64" s="21" t="n">
        <v>0.0028</v>
      </c>
      <c r="G64" s="10" t="n">
        <v>900</v>
      </c>
      <c r="H64" s="13" t="n">
        <v>0.003</v>
      </c>
      <c r="I64" s="18" t="n">
        <v>10950</v>
      </c>
      <c r="J64" s="20" t="n">
        <v>10</v>
      </c>
      <c r="K64" s="19">
        <f>(F64*G64*E64*J64)/(D64*I64)</f>
        <v/>
      </c>
      <c r="L64" s="2">
        <f>(F64*G64*E64*5)/(D64*I64)</f>
        <v/>
      </c>
      <c r="M64" s="2">
        <f>(F64*G64*E64*10)/(D64*I64)</f>
        <v/>
      </c>
      <c r="N64" s="2">
        <f>(F64*G64*E64*15)/(D64*I64)</f>
        <v/>
      </c>
      <c r="O64" s="2">
        <f>(F64*G64*E64*20)/(D64*I64)</f>
        <v/>
      </c>
      <c r="P64" s="2">
        <f>(F64*G64*E64*25)/(D64*I64)</f>
        <v/>
      </c>
      <c r="Q64" s="2">
        <f>(F64*G64*E64*30)/(D64*I64)</f>
        <v/>
      </c>
      <c r="R64" s="2">
        <f>K64/H64</f>
        <v/>
      </c>
      <c r="S64" s="2">
        <f>L64/H64</f>
        <v/>
      </c>
      <c r="T64" s="2">
        <f>M64/H64</f>
        <v/>
      </c>
      <c r="U64" s="2">
        <f>N64/H64</f>
        <v/>
      </c>
      <c r="V64" s="2">
        <f>O64/H64</f>
        <v/>
      </c>
      <c r="W64" s="2">
        <f>P64/H64</f>
        <v/>
      </c>
      <c r="X64" s="2">
        <f>Q64/H64</f>
        <v/>
      </c>
      <c r="Y64" s="5">
        <f>IF(R64&gt;1,"1","2")</f>
        <v/>
      </c>
      <c r="Z64" s="5">
        <f>IF(S64&gt;1,"1","2")</f>
        <v/>
      </c>
      <c r="AA64" s="5">
        <f>IF(T64&gt;1,"1","2")</f>
        <v/>
      </c>
      <c r="AB64" s="5">
        <f>IF(U64&gt;1,"1","2")</f>
        <v/>
      </c>
      <c r="AC64" s="5">
        <f>IF(V64&gt;1,"1","2")</f>
        <v/>
      </c>
      <c r="AD64" s="5">
        <f>IF(W64&gt;1,"1","2")</f>
        <v/>
      </c>
      <c r="AE64" s="5">
        <f>IF(X64&gt;1,"1","2")</f>
        <v/>
      </c>
      <c r="AF64" t="n">
        <v>-5.140954</v>
      </c>
      <c r="AG64" t="n">
        <v>119.431511</v>
      </c>
    </row>
    <row r="65" ht="14.4" customHeight="1">
      <c r="A65" s="14" t="n">
        <v>62</v>
      </c>
      <c r="B65" s="15" t="inlineStr">
        <is>
          <t>Fai</t>
        </is>
      </c>
      <c r="C65" s="10" t="n">
        <v>10</v>
      </c>
      <c r="D65" s="10" t="n">
        <v>25</v>
      </c>
      <c r="E65" s="17" t="n">
        <v>365</v>
      </c>
      <c r="F65" s="21" t="n">
        <v>0.0035</v>
      </c>
      <c r="G65" s="10" t="n">
        <v>900</v>
      </c>
      <c r="H65" s="13" t="n">
        <v>0.003</v>
      </c>
      <c r="I65" s="18" t="n">
        <v>10950</v>
      </c>
      <c r="J65" s="20" t="n">
        <v>10</v>
      </c>
      <c r="K65" s="19">
        <f>(F65*G65*E65*J65)/(D65*I65)</f>
        <v/>
      </c>
      <c r="L65" s="2">
        <f>(F65*G65*E65*5)/(D65*I65)</f>
        <v/>
      </c>
      <c r="M65" s="2">
        <f>(F65*G65*E65*10)/(D65*I65)</f>
        <v/>
      </c>
      <c r="N65" s="2">
        <f>(F65*G65*E65*15)/(D65*I65)</f>
        <v/>
      </c>
      <c r="O65" s="2">
        <f>(F65*G65*E65*20)/(D65*I65)</f>
        <v/>
      </c>
      <c r="P65" s="2">
        <f>(F65*G65*E65*25)/(D65*I65)</f>
        <v/>
      </c>
      <c r="Q65" s="2">
        <f>(F65*G65*E65*30)/(D65*I65)</f>
        <v/>
      </c>
      <c r="R65" s="2">
        <f>K65/H65</f>
        <v/>
      </c>
      <c r="S65" s="2">
        <f>L65/H65</f>
        <v/>
      </c>
      <c r="T65" s="2">
        <f>M65/H65</f>
        <v/>
      </c>
      <c r="U65" s="2">
        <f>N65/H65</f>
        <v/>
      </c>
      <c r="V65" s="2">
        <f>O65/H65</f>
        <v/>
      </c>
      <c r="W65" s="2">
        <f>P65/H65</f>
        <v/>
      </c>
      <c r="X65" s="2">
        <f>Q65/H65</f>
        <v/>
      </c>
      <c r="Y65" s="5">
        <f>IF(R65&gt;1,"1","2")</f>
        <v/>
      </c>
      <c r="Z65" s="5">
        <f>IF(S65&gt;1,"1","2")</f>
        <v/>
      </c>
      <c r="AA65" s="5">
        <f>IF(T65&gt;1,"1","2")</f>
        <v/>
      </c>
      <c r="AB65" s="5">
        <f>IF(U65&gt;1,"1","2")</f>
        <v/>
      </c>
      <c r="AC65" s="5">
        <f>IF(V65&gt;1,"1","2")</f>
        <v/>
      </c>
      <c r="AD65" s="5">
        <f>IF(W65&gt;1,"1","2")</f>
        <v/>
      </c>
      <c r="AE65" s="5">
        <f>IF(X65&gt;1,"1","2")</f>
        <v/>
      </c>
      <c r="AF65" t="n">
        <v>-5.14341</v>
      </c>
      <c r="AG65" t="n">
        <v>119.414385</v>
      </c>
    </row>
    <row r="66" ht="14.4" customHeight="1">
      <c r="A66" s="14" t="n">
        <v>63</v>
      </c>
      <c r="B66" s="15" t="inlineStr">
        <is>
          <t>Arm</t>
        </is>
      </c>
      <c r="C66" s="10" t="n">
        <v>10</v>
      </c>
      <c r="D66" s="10" t="n">
        <v>25</v>
      </c>
      <c r="E66" s="17" t="n">
        <v>365</v>
      </c>
      <c r="F66" s="21" t="n">
        <v>0.0035</v>
      </c>
      <c r="G66" s="10" t="n">
        <v>900</v>
      </c>
      <c r="H66" s="13" t="n">
        <v>0.003</v>
      </c>
      <c r="I66" s="18" t="n">
        <v>10950</v>
      </c>
      <c r="J66" s="20" t="n">
        <v>10</v>
      </c>
      <c r="K66" s="19">
        <f>(F66*G66*E66*J66)/(D66*I66)</f>
        <v/>
      </c>
      <c r="L66" s="2">
        <f>(F66*G66*E66*5)/(D66*I66)</f>
        <v/>
      </c>
      <c r="M66" s="2">
        <f>(F66*G66*E66*10)/(D66*I66)</f>
        <v/>
      </c>
      <c r="N66" s="2">
        <f>(F66*G66*E66*15)/(D66*I66)</f>
        <v/>
      </c>
      <c r="O66" s="2">
        <f>(F66*G66*E66*20)/(D66*I66)</f>
        <v/>
      </c>
      <c r="P66" s="2">
        <f>(F66*G66*E66*25)/(D66*I66)</f>
        <v/>
      </c>
      <c r="Q66" s="2">
        <f>(F66*G66*E66*30)/(D66*I66)</f>
        <v/>
      </c>
      <c r="R66" s="2">
        <f>K66/H66</f>
        <v/>
      </c>
      <c r="S66" s="2">
        <f>L66/H66</f>
        <v/>
      </c>
      <c r="T66" s="2">
        <f>M66/H66</f>
        <v/>
      </c>
      <c r="U66" s="2">
        <f>N66/H66</f>
        <v/>
      </c>
      <c r="V66" s="2">
        <f>O66/H66</f>
        <v/>
      </c>
      <c r="W66" s="2">
        <f>P66/H66</f>
        <v/>
      </c>
      <c r="X66" s="2">
        <f>Q66/H66</f>
        <v/>
      </c>
      <c r="Y66" s="5">
        <f>IF(R66&gt;1,"1","2")</f>
        <v/>
      </c>
      <c r="Z66" s="5">
        <f>IF(S66&gt;1,"1","2")</f>
        <v/>
      </c>
      <c r="AA66" s="5">
        <f>IF(T66&gt;1,"1","2")</f>
        <v/>
      </c>
      <c r="AB66" s="5">
        <f>IF(U66&gt;1,"1","2")</f>
        <v/>
      </c>
      <c r="AC66" s="5">
        <f>IF(V66&gt;1,"1","2")</f>
        <v/>
      </c>
      <c r="AD66" s="5">
        <f>IF(W66&gt;1,"1","2")</f>
        <v/>
      </c>
      <c r="AE66" s="5">
        <f>IF(X66&gt;1,"1","2")</f>
        <v/>
      </c>
      <c r="AF66" t="n">
        <v>-5.157168</v>
      </c>
      <c r="AG66" t="n">
        <v>119.421729</v>
      </c>
    </row>
    <row r="67" ht="14.4" customHeight="1">
      <c r="A67" s="14" t="n">
        <v>64</v>
      </c>
      <c r="B67" s="15" t="inlineStr">
        <is>
          <t>Dah</t>
        </is>
      </c>
      <c r="C67" s="10" t="n">
        <v>10</v>
      </c>
      <c r="D67" s="10" t="n">
        <v>30</v>
      </c>
      <c r="E67" s="17" t="n">
        <v>365</v>
      </c>
      <c r="F67" s="21" t="n">
        <v>0.0035</v>
      </c>
      <c r="G67" s="10" t="n">
        <v>900</v>
      </c>
      <c r="H67" s="13" t="n">
        <v>0.003</v>
      </c>
      <c r="I67" s="18" t="n">
        <v>10950</v>
      </c>
      <c r="J67" s="20" t="n">
        <v>10</v>
      </c>
      <c r="K67" s="19">
        <f>(F67*G67*E67*J67)/(D67*I67)</f>
        <v/>
      </c>
      <c r="L67" s="2">
        <f>(F67*G67*E67*5)/(D67*I67)</f>
        <v/>
      </c>
      <c r="M67" s="2">
        <f>(F67*G67*E67*10)/(D67*I67)</f>
        <v/>
      </c>
      <c r="N67" s="2">
        <f>(F67*G67*E67*15)/(D67*I67)</f>
        <v/>
      </c>
      <c r="O67" s="2">
        <f>(F67*G67*E67*20)/(D67*I67)</f>
        <v/>
      </c>
      <c r="P67" s="2">
        <f>(F67*G67*E67*25)/(D67*I67)</f>
        <v/>
      </c>
      <c r="Q67" s="2">
        <f>(F67*G67*E67*30)/(D67*I67)</f>
        <v/>
      </c>
      <c r="R67" s="2">
        <f>K67/H67</f>
        <v/>
      </c>
      <c r="S67" s="2">
        <f>L67/H67</f>
        <v/>
      </c>
      <c r="T67" s="2">
        <f>M67/H67</f>
        <v/>
      </c>
      <c r="U67" s="2">
        <f>N67/H67</f>
        <v/>
      </c>
      <c r="V67" s="2">
        <f>O67/H67</f>
        <v/>
      </c>
      <c r="W67" s="2">
        <f>P67/H67</f>
        <v/>
      </c>
      <c r="X67" s="2">
        <f>Q67/H67</f>
        <v/>
      </c>
      <c r="Y67" s="5">
        <f>IF(R67&gt;1,"1","2")</f>
        <v/>
      </c>
      <c r="Z67" s="5">
        <f>IF(S67&gt;1,"1","2")</f>
        <v/>
      </c>
      <c r="AA67" s="5">
        <f>IF(T67&gt;1,"1","2")</f>
        <v/>
      </c>
      <c r="AB67" s="5">
        <f>IF(U67&gt;1,"1","2")</f>
        <v/>
      </c>
      <c r="AC67" s="5">
        <f>IF(V67&gt;1,"1","2")</f>
        <v/>
      </c>
      <c r="AD67" s="5">
        <f>IF(W67&gt;1,"1","2")</f>
        <v/>
      </c>
      <c r="AE67" s="5">
        <f>IF(X67&gt;1,"1","2")</f>
        <v/>
      </c>
      <c r="AF67" t="n">
        <v>-5.157008</v>
      </c>
      <c r="AG67" t="n">
        <v>119.4383</v>
      </c>
    </row>
    <row r="68" ht="14.4" customHeight="1">
      <c r="A68" s="14" t="n">
        <v>65</v>
      </c>
      <c r="B68" s="15" t="inlineStr">
        <is>
          <t>Rpa</t>
        </is>
      </c>
      <c r="C68" s="10" t="n">
        <v>11</v>
      </c>
      <c r="D68" s="10" t="n">
        <v>33</v>
      </c>
      <c r="E68" s="17" t="n">
        <v>365</v>
      </c>
      <c r="F68" s="21" t="n">
        <v>0.0044</v>
      </c>
      <c r="G68" s="10" t="n">
        <v>900</v>
      </c>
      <c r="H68" s="13" t="n">
        <v>0.003</v>
      </c>
      <c r="I68" s="18" t="n">
        <v>10950</v>
      </c>
      <c r="J68" s="20" t="n">
        <v>11</v>
      </c>
      <c r="K68" s="19">
        <f>(F68*G68*E68*J68)/(D68*I68)</f>
        <v/>
      </c>
      <c r="L68" s="2">
        <f>(F68*G68*E68*5)/(D68*I68)</f>
        <v/>
      </c>
      <c r="M68" s="2">
        <f>(F68*G68*E68*10)/(D68*I68)</f>
        <v/>
      </c>
      <c r="N68" s="2">
        <f>(F68*G68*E68*15)/(D68*I68)</f>
        <v/>
      </c>
      <c r="O68" s="2">
        <f>(F68*G68*E68*20)/(D68*I68)</f>
        <v/>
      </c>
      <c r="P68" s="2">
        <f>(F68*G68*E68*25)/(D68*I68)</f>
        <v/>
      </c>
      <c r="Q68" s="2">
        <f>(F68*G68*E68*30)/(D68*I68)</f>
        <v/>
      </c>
      <c r="R68" s="2">
        <f>K68/H68</f>
        <v/>
      </c>
      <c r="S68" s="2">
        <f>L68/H68</f>
        <v/>
      </c>
      <c r="T68" s="2">
        <f>M68/H68</f>
        <v/>
      </c>
      <c r="U68" s="2">
        <f>N68/H68</f>
        <v/>
      </c>
      <c r="V68" s="2">
        <f>O68/H68</f>
        <v/>
      </c>
      <c r="W68" s="2">
        <f>P68/H68</f>
        <v/>
      </c>
      <c r="X68" s="2">
        <f>Q68/H68</f>
        <v/>
      </c>
      <c r="Y68" s="5">
        <f>IF(R68&gt;1,"1","2")</f>
        <v/>
      </c>
      <c r="Z68" s="5">
        <f>IF(S68&gt;1,"1","2")</f>
        <v/>
      </c>
      <c r="AA68" s="5">
        <f>IF(T68&gt;1,"1","2")</f>
        <v/>
      </c>
      <c r="AB68" s="5">
        <f>IF(U68&gt;1,"1","2")</f>
        <v/>
      </c>
      <c r="AC68" s="5">
        <f>IF(V68&gt;1,"1","2")</f>
        <v/>
      </c>
      <c r="AD68" s="5">
        <f>IF(W68&gt;1,"1","2")</f>
        <v/>
      </c>
      <c r="AE68" s="5">
        <f>IF(X68&gt;1,"1","2")</f>
        <v/>
      </c>
      <c r="AF68" t="n">
        <v>-5.130333</v>
      </c>
      <c r="AG68" t="n">
        <v>119.44704</v>
      </c>
    </row>
    <row r="69" ht="14.4" customHeight="1">
      <c r="A69" s="14" t="n">
        <v>66</v>
      </c>
      <c r="B69" s="15" t="inlineStr">
        <is>
          <t>Aik</t>
        </is>
      </c>
      <c r="C69" s="10" t="n">
        <v>11</v>
      </c>
      <c r="D69" s="10" t="n">
        <v>23</v>
      </c>
      <c r="E69" s="17" t="n">
        <v>365</v>
      </c>
      <c r="F69" s="21" t="n">
        <v>0.0098</v>
      </c>
      <c r="G69" s="10" t="n">
        <v>900</v>
      </c>
      <c r="H69" s="13" t="n">
        <v>0.003</v>
      </c>
      <c r="I69" s="18" t="n">
        <v>10950</v>
      </c>
      <c r="J69" s="20" t="n">
        <v>11</v>
      </c>
      <c r="K69" s="19">
        <f>(F69*G69*E69*J69)/(D69*I69)</f>
        <v/>
      </c>
      <c r="L69" s="2">
        <f>(F69*G69*E69*5)/(D69*I69)</f>
        <v/>
      </c>
      <c r="M69" s="2">
        <f>(F69*G69*E69*10)/(D69*I69)</f>
        <v/>
      </c>
      <c r="N69" s="2">
        <f>(F69*G69*E69*15)/(D69*I69)</f>
        <v/>
      </c>
      <c r="O69" s="2">
        <f>(F69*G69*E69*20)/(D69*I69)</f>
        <v/>
      </c>
      <c r="P69" s="2">
        <f>(F69*G69*E69*25)/(D69*I69)</f>
        <v/>
      </c>
      <c r="Q69" s="2">
        <f>(F69*G69*E69*30)/(D69*I69)</f>
        <v/>
      </c>
      <c r="R69" s="2">
        <f>K69/H69</f>
        <v/>
      </c>
      <c r="S69" s="2">
        <f>L69/H69</f>
        <v/>
      </c>
      <c r="T69" s="2">
        <f>M69/H69</f>
        <v/>
      </c>
      <c r="U69" s="2">
        <f>N69/H69</f>
        <v/>
      </c>
      <c r="V69" s="2">
        <f>O69/H69</f>
        <v/>
      </c>
      <c r="W69" s="2">
        <f>P69/H69</f>
        <v/>
      </c>
      <c r="X69" s="2">
        <f>Q69/H69</f>
        <v/>
      </c>
      <c r="Y69" s="5">
        <f>IF(R69&gt;1,"1","2")</f>
        <v/>
      </c>
      <c r="Z69" s="5">
        <f>IF(S69&gt;1,"1","2")</f>
        <v/>
      </c>
      <c r="AA69" s="5">
        <f>IF(T69&gt;1,"1","2")</f>
        <v/>
      </c>
      <c r="AB69" s="5">
        <f>IF(U69&gt;1,"1","2")</f>
        <v/>
      </c>
      <c r="AC69" s="5">
        <f>IF(V69&gt;1,"1","2")</f>
        <v/>
      </c>
      <c r="AD69" s="5">
        <f>IF(W69&gt;1,"1","2")</f>
        <v/>
      </c>
      <c r="AE69" s="5">
        <f>IF(X69&gt;1,"1","2")</f>
        <v/>
      </c>
      <c r="AF69" t="n">
        <v>-5.13263</v>
      </c>
      <c r="AG69" t="n">
        <v>119.404792</v>
      </c>
    </row>
    <row r="70" ht="14.4" customHeight="1">
      <c r="A70" s="14" t="n">
        <v>67</v>
      </c>
      <c r="B70" s="15" t="inlineStr">
        <is>
          <t>Fa</t>
        </is>
      </c>
      <c r="C70" s="10" t="n">
        <v>11</v>
      </c>
      <c r="D70" s="10" t="n">
        <v>34</v>
      </c>
      <c r="E70" s="17" t="n">
        <v>365</v>
      </c>
      <c r="F70" s="21" t="n">
        <v>0.0098</v>
      </c>
      <c r="G70" s="10" t="n">
        <v>1200</v>
      </c>
      <c r="H70" s="13" t="n">
        <v>0.003</v>
      </c>
      <c r="I70" s="18" t="n">
        <v>10950</v>
      </c>
      <c r="J70" s="20" t="n">
        <v>11</v>
      </c>
      <c r="K70" s="19">
        <f>(F70*G70*E70*J70)/(D70*I70)</f>
        <v/>
      </c>
      <c r="L70" s="2">
        <f>(F70*G70*E70*5)/(D70*I70)</f>
        <v/>
      </c>
      <c r="M70" s="2">
        <f>(F70*G70*E70*10)/(D70*I70)</f>
        <v/>
      </c>
      <c r="N70" s="2">
        <f>(F70*G70*E70*15)/(D70*I70)</f>
        <v/>
      </c>
      <c r="O70" s="2">
        <f>(F70*G70*E70*20)/(D70*I70)</f>
        <v/>
      </c>
      <c r="P70" s="2">
        <f>(F70*G70*E70*25)/(D70*I70)</f>
        <v/>
      </c>
      <c r="Q70" s="2">
        <f>(F70*G70*E70*30)/(D70*I70)</f>
        <v/>
      </c>
      <c r="R70" s="2">
        <f>K70/H70</f>
        <v/>
      </c>
      <c r="S70" s="2">
        <f>L70/H70</f>
        <v/>
      </c>
      <c r="T70" s="2">
        <f>M70/H70</f>
        <v/>
      </c>
      <c r="U70" s="2">
        <f>N70/H70</f>
        <v/>
      </c>
      <c r="V70" s="2">
        <f>O70/H70</f>
        <v/>
      </c>
      <c r="W70" s="2">
        <f>P70/H70</f>
        <v/>
      </c>
      <c r="X70" s="2">
        <f>Q70/H70</f>
        <v/>
      </c>
      <c r="Y70" s="5">
        <f>IF(R70&gt;1,"1","2")</f>
        <v/>
      </c>
      <c r="Z70" s="5">
        <f>IF(S70&gt;1,"1","2")</f>
        <v/>
      </c>
      <c r="AA70" s="5">
        <f>IF(T70&gt;1,"1","2")</f>
        <v/>
      </c>
      <c r="AB70" s="5">
        <f>IF(U70&gt;1,"1","2")</f>
        <v/>
      </c>
      <c r="AC70" s="5">
        <f>IF(V70&gt;1,"1","2")</f>
        <v/>
      </c>
      <c r="AD70" s="5">
        <f>IF(W70&gt;1,"1","2")</f>
        <v/>
      </c>
      <c r="AE70" s="5">
        <f>IF(X70&gt;1,"1","2")</f>
        <v/>
      </c>
      <c r="AF70" t="n">
        <v>-5.123609</v>
      </c>
      <c r="AG70" t="n">
        <v>119.414704</v>
      </c>
    </row>
    <row r="71" ht="14.4" customHeight="1">
      <c r="A71" s="14" t="n">
        <v>68</v>
      </c>
      <c r="B71" s="15" t="inlineStr">
        <is>
          <t>Pan</t>
        </is>
      </c>
      <c r="C71" s="10" t="n">
        <v>11</v>
      </c>
      <c r="D71" s="10" t="n">
        <v>32</v>
      </c>
      <c r="E71" s="17" t="n">
        <v>365</v>
      </c>
      <c r="F71" s="21" t="n">
        <v>0.0199</v>
      </c>
      <c r="G71" s="10" t="n">
        <v>900</v>
      </c>
      <c r="H71" s="13" t="n">
        <v>0.003</v>
      </c>
      <c r="I71" s="18" t="n">
        <v>10950</v>
      </c>
      <c r="J71" s="20" t="n">
        <v>11</v>
      </c>
      <c r="K71" s="19">
        <f>(F71*G71*E71*J71)/(D71*I71)</f>
        <v/>
      </c>
      <c r="L71" s="2">
        <f>(F71*G71*E71*5)/(D71*I71)</f>
        <v/>
      </c>
      <c r="M71" s="2">
        <f>(F71*G71*E71*10)/(D71*I71)</f>
        <v/>
      </c>
      <c r="N71" s="2">
        <f>(F71*G71*E71*15)/(D71*I71)</f>
        <v/>
      </c>
      <c r="O71" s="2">
        <f>(F71*G71*E71*20)/(D71*I71)</f>
        <v/>
      </c>
      <c r="P71" s="2">
        <f>(F71*G71*E71*25)/(D71*I71)</f>
        <v/>
      </c>
      <c r="Q71" s="2">
        <f>(F71*G71*E71*30)/(D71*I71)</f>
        <v/>
      </c>
      <c r="R71" s="2">
        <f>K71/H71</f>
        <v/>
      </c>
      <c r="S71" s="2">
        <f>L71/H71</f>
        <v/>
      </c>
      <c r="T71" s="2">
        <f>M71/H71</f>
        <v/>
      </c>
      <c r="U71" s="2">
        <f>N71/H71</f>
        <v/>
      </c>
      <c r="V71" s="2">
        <f>O71/H71</f>
        <v/>
      </c>
      <c r="W71" s="2">
        <f>P71/H71</f>
        <v/>
      </c>
      <c r="X71" s="2">
        <f>Q71/H71</f>
        <v/>
      </c>
      <c r="Y71" s="5">
        <f>IF(R71&gt;1,"1","2")</f>
        <v/>
      </c>
      <c r="Z71" s="5">
        <f>IF(S71&gt;1,"1","2")</f>
        <v/>
      </c>
      <c r="AA71" s="5">
        <f>IF(T71&gt;1,"1","2")</f>
        <v/>
      </c>
      <c r="AB71" s="5">
        <f>IF(U71&gt;1,"1","2")</f>
        <v/>
      </c>
      <c r="AC71" s="5">
        <f>IF(V71&gt;1,"1","2")</f>
        <v/>
      </c>
      <c r="AD71" s="5">
        <f>IF(W71&gt;1,"1","2")</f>
        <v/>
      </c>
      <c r="AE71" s="5">
        <f>IF(X71&gt;1,"1","2")</f>
        <v/>
      </c>
      <c r="AF71" t="n">
        <v>-5.14705</v>
      </c>
      <c r="AG71" t="n">
        <v>119.431001</v>
      </c>
    </row>
    <row r="72" ht="14.4" customHeight="1">
      <c r="A72" s="14" t="n">
        <v>69</v>
      </c>
      <c r="B72" s="15" t="inlineStr">
        <is>
          <t>Idbp</t>
        </is>
      </c>
      <c r="C72" s="10" t="n">
        <v>11</v>
      </c>
      <c r="D72" s="10" t="n">
        <v>29</v>
      </c>
      <c r="E72" s="17" t="n">
        <v>365</v>
      </c>
      <c r="F72" s="21" t="n">
        <v>0.0018</v>
      </c>
      <c r="G72" s="10" t="n">
        <v>1200</v>
      </c>
      <c r="H72" s="13" t="n">
        <v>0.003</v>
      </c>
      <c r="I72" s="18" t="n">
        <v>10950</v>
      </c>
      <c r="J72" s="20" t="n">
        <v>11</v>
      </c>
      <c r="K72" s="19">
        <f>(F72*G72*E72*J72)/(D72*I72)</f>
        <v/>
      </c>
      <c r="L72" s="2">
        <f>(F72*G72*E72*5)/(D72*I72)</f>
        <v/>
      </c>
      <c r="M72" s="2">
        <f>(F72*G72*E72*10)/(D72*I72)</f>
        <v/>
      </c>
      <c r="N72" s="2">
        <f>(F72*G72*E72*15)/(D72*I72)</f>
        <v/>
      </c>
      <c r="O72" s="2">
        <f>(F72*G72*E72*20)/(D72*I72)</f>
        <v/>
      </c>
      <c r="P72" s="2">
        <f>(F72*G72*E72*25)/(D72*I72)</f>
        <v/>
      </c>
      <c r="Q72" s="2">
        <f>(F72*G72*E72*30)/(D72*I72)</f>
        <v/>
      </c>
      <c r="R72" s="2">
        <f>K72/H72</f>
        <v/>
      </c>
      <c r="S72" s="2">
        <f>L72/H72</f>
        <v/>
      </c>
      <c r="T72" s="2">
        <f>M72/H72</f>
        <v/>
      </c>
      <c r="U72" s="2">
        <f>N72/H72</f>
        <v/>
      </c>
      <c r="V72" s="2">
        <f>O72/H72</f>
        <v/>
      </c>
      <c r="W72" s="2">
        <f>P72/H72</f>
        <v/>
      </c>
      <c r="X72" s="2">
        <f>Q72/H72</f>
        <v/>
      </c>
      <c r="Y72" s="5">
        <f>IF(R72&gt;1,"1","2")</f>
        <v/>
      </c>
      <c r="Z72" s="5">
        <f>IF(S72&gt;1,"1","2")</f>
        <v/>
      </c>
      <c r="AA72" s="5">
        <f>IF(T72&gt;1,"1","2")</f>
        <v/>
      </c>
      <c r="AB72" s="5">
        <f>IF(U72&gt;1,"1","2")</f>
        <v/>
      </c>
      <c r="AC72" s="5">
        <f>IF(V72&gt;1,"1","2")</f>
        <v/>
      </c>
      <c r="AD72" s="5">
        <f>IF(W72&gt;1,"1","2")</f>
        <v/>
      </c>
      <c r="AE72" s="5">
        <f>IF(X72&gt;1,"1","2")</f>
        <v/>
      </c>
      <c r="AF72" t="n">
        <v>-5.157063</v>
      </c>
      <c r="AG72" t="n">
        <v>119.429718</v>
      </c>
    </row>
    <row r="73" ht="14.4" customHeight="1">
      <c r="A73" s="14" t="n">
        <v>70</v>
      </c>
      <c r="B73" s="15" t="inlineStr">
        <is>
          <t>Raf</t>
        </is>
      </c>
      <c r="C73" s="10" t="n">
        <v>11</v>
      </c>
      <c r="D73" s="10" t="n">
        <v>29</v>
      </c>
      <c r="E73" s="17" t="n">
        <v>365</v>
      </c>
      <c r="F73" s="21" t="n">
        <v>0.0018</v>
      </c>
      <c r="G73" s="10" t="n">
        <v>1200</v>
      </c>
      <c r="H73" s="13" t="n">
        <v>0.003</v>
      </c>
      <c r="I73" s="18" t="n">
        <v>10950</v>
      </c>
      <c r="J73" s="20" t="n">
        <v>11</v>
      </c>
      <c r="K73" s="19">
        <f>(F73*G73*E73*J73)/(D73*I73)</f>
        <v/>
      </c>
      <c r="L73" s="2">
        <f>(F73*G73*E73*5)/(D73*I73)</f>
        <v/>
      </c>
      <c r="M73" s="2">
        <f>(F73*G73*E73*10)/(D73*I73)</f>
        <v/>
      </c>
      <c r="N73" s="2">
        <f>(F73*G73*E73*15)/(D73*I73)</f>
        <v/>
      </c>
      <c r="O73" s="2">
        <f>(F73*G73*E73*20)/(D73*I73)</f>
        <v/>
      </c>
      <c r="P73" s="2">
        <f>(F73*G73*E73*25)/(D73*I73)</f>
        <v/>
      </c>
      <c r="Q73" s="2">
        <f>(F73*G73*E73*30)/(D73*I73)</f>
        <v/>
      </c>
      <c r="R73" s="2">
        <f>K73/H73</f>
        <v/>
      </c>
      <c r="S73" s="2">
        <f>L73/H73</f>
        <v/>
      </c>
      <c r="T73" s="2">
        <f>M73/H73</f>
        <v/>
      </c>
      <c r="U73" s="2">
        <f>N73/H73</f>
        <v/>
      </c>
      <c r="V73" s="2">
        <f>O73/H73</f>
        <v/>
      </c>
      <c r="W73" s="2">
        <f>P73/H73</f>
        <v/>
      </c>
      <c r="X73" s="2">
        <f>Q73/H73</f>
        <v/>
      </c>
      <c r="Y73" s="5">
        <f>IF(R73&gt;1,"1","2")</f>
        <v/>
      </c>
      <c r="Z73" s="5">
        <f>IF(S73&gt;1,"1","2")</f>
        <v/>
      </c>
      <c r="AA73" s="5">
        <f>IF(T73&gt;1,"1","2")</f>
        <v/>
      </c>
      <c r="AB73" s="5">
        <f>IF(U73&gt;1,"1","2")</f>
        <v/>
      </c>
      <c r="AC73" s="5">
        <f>IF(V73&gt;1,"1","2")</f>
        <v/>
      </c>
      <c r="AD73" s="5">
        <f>IF(W73&gt;1,"1","2")</f>
        <v/>
      </c>
      <c r="AE73" s="5">
        <f>IF(X73&gt;1,"1","2")</f>
        <v/>
      </c>
      <c r="AF73" t="n">
        <v>-5.148807</v>
      </c>
      <c r="AG73" t="n">
        <v>119.425107</v>
      </c>
    </row>
    <row r="74" ht="14.4" customHeight="1">
      <c r="A74" s="14" t="n">
        <v>71</v>
      </c>
      <c r="B74" s="15" t="inlineStr">
        <is>
          <t>Igp</t>
        </is>
      </c>
      <c r="C74" s="10" t="n">
        <v>11</v>
      </c>
      <c r="D74" s="10" t="n">
        <v>20</v>
      </c>
      <c r="E74" s="17" t="n">
        <v>365</v>
      </c>
      <c r="F74" s="21" t="n">
        <v>0.0024</v>
      </c>
      <c r="G74" s="10" t="n">
        <v>900</v>
      </c>
      <c r="H74" s="13" t="n">
        <v>0.003</v>
      </c>
      <c r="I74" s="18" t="n">
        <v>10950</v>
      </c>
      <c r="J74" s="20" t="n">
        <v>1</v>
      </c>
      <c r="K74" s="19">
        <f>(F74*G74*E74*J74)/(D74*I74)</f>
        <v/>
      </c>
      <c r="L74" s="2">
        <f>(F74*G74*E74*5)/(D74*I74)</f>
        <v/>
      </c>
      <c r="M74" s="2">
        <f>(F74*G74*E74*10)/(D74*I74)</f>
        <v/>
      </c>
      <c r="N74" s="2">
        <f>(F74*G74*E74*15)/(D74*I74)</f>
        <v/>
      </c>
      <c r="O74" s="2">
        <f>(F74*G74*E74*20)/(D74*I74)</f>
        <v/>
      </c>
      <c r="P74" s="2">
        <f>(F74*G74*E74*25)/(D74*I74)</f>
        <v/>
      </c>
      <c r="Q74" s="2">
        <f>(F74*G74*E74*30)/(D74*I74)</f>
        <v/>
      </c>
      <c r="R74" s="2">
        <f>K74/H74</f>
        <v/>
      </c>
      <c r="S74" s="2">
        <f>L74/H74</f>
        <v/>
      </c>
      <c r="T74" s="2">
        <f>M74/H74</f>
        <v/>
      </c>
      <c r="U74" s="2">
        <f>N74/H74</f>
        <v/>
      </c>
      <c r="V74" s="2">
        <f>O74/H74</f>
        <v/>
      </c>
      <c r="W74" s="2">
        <f>P74/H74</f>
        <v/>
      </c>
      <c r="X74" s="2">
        <f>Q74/H74</f>
        <v/>
      </c>
      <c r="Y74" s="5">
        <f>IF(R74&gt;1,"1","2")</f>
        <v/>
      </c>
      <c r="Z74" s="5">
        <f>IF(S74&gt;1,"1","2")</f>
        <v/>
      </c>
      <c r="AA74" s="5">
        <f>IF(T74&gt;1,"1","2")</f>
        <v/>
      </c>
      <c r="AB74" s="5">
        <f>IF(U74&gt;1,"1","2")</f>
        <v/>
      </c>
      <c r="AC74" s="5">
        <f>IF(V74&gt;1,"1","2")</f>
        <v/>
      </c>
      <c r="AD74" s="5">
        <f>IF(W74&gt;1,"1","2")</f>
        <v/>
      </c>
      <c r="AE74" s="5">
        <f>IF(X74&gt;1,"1","2")</f>
        <v/>
      </c>
      <c r="AF74" t="n">
        <v>-5.125611</v>
      </c>
      <c r="AG74" t="n">
        <v>119.425764</v>
      </c>
    </row>
    <row r="75" ht="14.4" customHeight="1">
      <c r="A75" s="14" t="n">
        <v>72</v>
      </c>
      <c r="B75" s="15" t="inlineStr">
        <is>
          <t>Kbi</t>
        </is>
      </c>
      <c r="C75" s="10" t="n">
        <v>11</v>
      </c>
      <c r="D75" s="10" t="n">
        <v>26</v>
      </c>
      <c r="E75" s="17" t="n">
        <v>365</v>
      </c>
      <c r="F75" s="21" t="n">
        <v>0.0014</v>
      </c>
      <c r="G75" s="10" t="n">
        <v>900</v>
      </c>
      <c r="H75" s="13" t="n">
        <v>0.003</v>
      </c>
      <c r="I75" s="18" t="n">
        <v>10950</v>
      </c>
      <c r="J75" s="20" t="n">
        <v>1</v>
      </c>
      <c r="K75" s="19">
        <f>(F75*G75*E75*J75)/(D75*I75)</f>
        <v/>
      </c>
      <c r="L75" s="2">
        <f>(F75*G75*E75*5)/(D75*I75)</f>
        <v/>
      </c>
      <c r="M75" s="2">
        <f>(F75*G75*E75*10)/(D75*I75)</f>
        <v/>
      </c>
      <c r="N75" s="2">
        <f>(F75*G75*E75*15)/(D75*I75)</f>
        <v/>
      </c>
      <c r="O75" s="2">
        <f>(F75*G75*E75*20)/(D75*I75)</f>
        <v/>
      </c>
      <c r="P75" s="2">
        <f>(F75*G75*E75*25)/(D75*I75)</f>
        <v/>
      </c>
      <c r="Q75" s="2">
        <f>(F75*G75*E75*30)/(D75*I75)</f>
        <v/>
      </c>
      <c r="R75" s="2">
        <f>K75/H75</f>
        <v/>
      </c>
      <c r="S75" s="2">
        <f>L75/H75</f>
        <v/>
      </c>
      <c r="T75" s="2">
        <f>M75/H75</f>
        <v/>
      </c>
      <c r="U75" s="2">
        <f>N75/H75</f>
        <v/>
      </c>
      <c r="V75" s="2">
        <f>O75/H75</f>
        <v/>
      </c>
      <c r="W75" s="2">
        <f>P75/H75</f>
        <v/>
      </c>
      <c r="X75" s="2">
        <f>Q75/H75</f>
        <v/>
      </c>
      <c r="Y75" s="5">
        <f>IF(R75&gt;1,"1","2")</f>
        <v/>
      </c>
      <c r="Z75" s="5">
        <f>IF(S75&gt;1,"1","2")</f>
        <v/>
      </c>
      <c r="AA75" s="5">
        <f>IF(T75&gt;1,"1","2")</f>
        <v/>
      </c>
      <c r="AB75" s="5">
        <f>IF(U75&gt;1,"1","2")</f>
        <v/>
      </c>
      <c r="AC75" s="5">
        <f>IF(V75&gt;1,"1","2")</f>
        <v/>
      </c>
      <c r="AD75" s="5">
        <f>IF(W75&gt;1,"1","2")</f>
        <v/>
      </c>
      <c r="AE75" s="5">
        <f>IF(X75&gt;1,"1","2")</f>
        <v/>
      </c>
      <c r="AF75" t="n">
        <v>-5.141966</v>
      </c>
      <c r="AG75" t="n">
        <v>119.421831</v>
      </c>
    </row>
    <row r="76" ht="14.4" customHeight="1">
      <c r="A76" s="14" t="n">
        <v>73</v>
      </c>
      <c r="B76" s="15" t="inlineStr">
        <is>
          <t>Iwp</t>
        </is>
      </c>
      <c r="C76" s="10" t="n">
        <v>11</v>
      </c>
      <c r="D76" s="10" t="n">
        <v>31</v>
      </c>
      <c r="E76" s="17" t="n">
        <v>365</v>
      </c>
      <c r="F76" s="21" t="n">
        <v>0.0031</v>
      </c>
      <c r="G76" s="10" t="n">
        <v>1200</v>
      </c>
      <c r="H76" s="13" t="n">
        <v>0.003</v>
      </c>
      <c r="I76" s="18" t="n">
        <v>10950</v>
      </c>
      <c r="J76" s="20" t="n">
        <v>11</v>
      </c>
      <c r="K76" s="19">
        <f>(F76*G76*E76*J76)/(D76*I76)</f>
        <v/>
      </c>
      <c r="L76" s="2">
        <f>(F76*G76*E76*5)/(D76*I76)</f>
        <v/>
      </c>
      <c r="M76" s="2">
        <f>(F76*G76*E76*10)/(D76*I76)</f>
        <v/>
      </c>
      <c r="N76" s="2">
        <f>(F76*G76*E76*15)/(D76*I76)</f>
        <v/>
      </c>
      <c r="O76" s="2">
        <f>(F76*G76*E76*20)/(D76*I76)</f>
        <v/>
      </c>
      <c r="P76" s="2">
        <f>(F76*G76*E76*25)/(D76*I76)</f>
        <v/>
      </c>
      <c r="Q76" s="2">
        <f>(F76*G76*E76*30)/(D76*I76)</f>
        <v/>
      </c>
      <c r="R76" s="2">
        <f>K76/H76</f>
        <v/>
      </c>
      <c r="S76" s="2">
        <f>L76/H76</f>
        <v/>
      </c>
      <c r="T76" s="2">
        <f>M76/H76</f>
        <v/>
      </c>
      <c r="U76" s="2">
        <f>N76/H76</f>
        <v/>
      </c>
      <c r="V76" s="2">
        <f>O76/H76</f>
        <v/>
      </c>
      <c r="W76" s="2">
        <f>P76/H76</f>
        <v/>
      </c>
      <c r="X76" s="2">
        <f>Q76/H76</f>
        <v/>
      </c>
      <c r="Y76" s="5">
        <f>IF(R76&gt;1,"1","2")</f>
        <v/>
      </c>
      <c r="Z76" s="5">
        <f>IF(S76&gt;1,"1","2")</f>
        <v/>
      </c>
      <c r="AA76" s="5">
        <f>IF(T76&gt;1,"1","2")</f>
        <v/>
      </c>
      <c r="AB76" s="5">
        <f>IF(U76&gt;1,"1","2")</f>
        <v/>
      </c>
      <c r="AC76" s="5">
        <f>IF(V76&gt;1,"1","2")</f>
        <v/>
      </c>
      <c r="AD76" s="5">
        <f>IF(W76&gt;1,"1","2")</f>
        <v/>
      </c>
      <c r="AE76" s="5">
        <f>IF(X76&gt;1,"1","2")</f>
        <v/>
      </c>
      <c r="AF76" t="n">
        <v>-5.145178</v>
      </c>
      <c r="AG76" t="n">
        <v>119.447509</v>
      </c>
    </row>
    <row r="77" ht="14.4" customHeight="1">
      <c r="A77" s="14" t="n">
        <v>74</v>
      </c>
      <c r="B77" s="15" t="inlineStr">
        <is>
          <t>Suk</t>
        </is>
      </c>
      <c r="C77" s="10" t="n">
        <v>11</v>
      </c>
      <c r="D77" s="10" t="n">
        <v>28</v>
      </c>
      <c r="E77" s="17" t="n">
        <v>365</v>
      </c>
      <c r="F77" s="21" t="n">
        <v>0.0031</v>
      </c>
      <c r="G77" s="10" t="n">
        <v>1200</v>
      </c>
      <c r="H77" s="13" t="n">
        <v>0.003</v>
      </c>
      <c r="I77" s="18" t="n">
        <v>10950</v>
      </c>
      <c r="J77" s="20" t="n">
        <v>11</v>
      </c>
      <c r="K77" s="19">
        <f>(F77*G77*E77*J77)/(D77*I77)</f>
        <v/>
      </c>
      <c r="L77" s="2">
        <f>(F77*G77*E77*5)/(D77*I77)</f>
        <v/>
      </c>
      <c r="M77" s="2">
        <f>(F77*G77*E77*10)/(D77*I77)</f>
        <v/>
      </c>
      <c r="N77" s="2">
        <f>(F77*G77*E77*15)/(D77*I77)</f>
        <v/>
      </c>
      <c r="O77" s="2">
        <f>(F77*G77*E77*20)/(D77*I77)</f>
        <v/>
      </c>
      <c r="P77" s="2">
        <f>(F77*G77*E77*25)/(D77*I77)</f>
        <v/>
      </c>
      <c r="Q77" s="2">
        <f>(F77*G77*E77*30)/(D77*I77)</f>
        <v/>
      </c>
      <c r="R77" s="2">
        <f>K77/H77</f>
        <v/>
      </c>
      <c r="S77" s="2">
        <f>L77/H77</f>
        <v/>
      </c>
      <c r="T77" s="2">
        <f>M77/H77</f>
        <v/>
      </c>
      <c r="U77" s="2">
        <f>N77/H77</f>
        <v/>
      </c>
      <c r="V77" s="2">
        <f>O77/H77</f>
        <v/>
      </c>
      <c r="W77" s="2">
        <f>P77/H77</f>
        <v/>
      </c>
      <c r="X77" s="2">
        <f>Q77/H77</f>
        <v/>
      </c>
      <c r="Y77" s="5">
        <f>IF(R77&gt;1,"1","2")</f>
        <v/>
      </c>
      <c r="Z77" s="5">
        <f>IF(S77&gt;1,"1","2")</f>
        <v/>
      </c>
      <c r="AA77" s="5">
        <f>IF(T77&gt;1,"1","2")</f>
        <v/>
      </c>
      <c r="AB77" s="5">
        <f>IF(U77&gt;1,"1","2")</f>
        <v/>
      </c>
      <c r="AC77" s="5">
        <f>IF(V77&gt;1,"1","2")</f>
        <v/>
      </c>
      <c r="AD77" s="5">
        <f>IF(W77&gt;1,"1","2")</f>
        <v/>
      </c>
      <c r="AE77" s="5">
        <f>IF(X77&gt;1,"1","2")</f>
        <v/>
      </c>
      <c r="AF77" t="n">
        <v>-5.128035</v>
      </c>
      <c r="AG77" t="n">
        <v>119.416295</v>
      </c>
    </row>
    <row r="78" ht="14.4" customHeight="1">
      <c r="A78" s="14" t="n">
        <v>75</v>
      </c>
      <c r="B78" s="15" t="inlineStr">
        <is>
          <t>Tyr</t>
        </is>
      </c>
      <c r="C78" s="10" t="n">
        <v>11</v>
      </c>
      <c r="D78" s="10" t="n">
        <v>35</v>
      </c>
      <c r="E78" s="17" t="n">
        <v>365</v>
      </c>
      <c r="F78" s="21" t="n">
        <v>0.0031</v>
      </c>
      <c r="G78" s="10" t="n">
        <v>900</v>
      </c>
      <c r="H78" s="13" t="n">
        <v>0.003</v>
      </c>
      <c r="I78" s="18" t="n">
        <v>10950</v>
      </c>
      <c r="J78" s="20" t="n">
        <v>6</v>
      </c>
      <c r="K78" s="19">
        <f>(F78*G78*E78*J78)/(D78*I78)</f>
        <v/>
      </c>
      <c r="L78" s="2">
        <f>(F78*G78*E78*5)/(D78*I78)</f>
        <v/>
      </c>
      <c r="M78" s="2">
        <f>(F78*G78*E78*10)/(D78*I78)</f>
        <v/>
      </c>
      <c r="N78" s="2">
        <f>(F78*G78*E78*15)/(D78*I78)</f>
        <v/>
      </c>
      <c r="O78" s="2">
        <f>(F78*G78*E78*20)/(D78*I78)</f>
        <v/>
      </c>
      <c r="P78" s="2">
        <f>(F78*G78*E78*25)/(D78*I78)</f>
        <v/>
      </c>
      <c r="Q78" s="2">
        <f>(F78*G78*E78*30)/(D78*I78)</f>
        <v/>
      </c>
      <c r="R78" s="2">
        <f>K78/H78</f>
        <v/>
      </c>
      <c r="S78" s="2">
        <f>L78/H78</f>
        <v/>
      </c>
      <c r="T78" s="2">
        <f>M78/H78</f>
        <v/>
      </c>
      <c r="U78" s="2">
        <f>N78/H78</f>
        <v/>
      </c>
      <c r="V78" s="2">
        <f>O78/H78</f>
        <v/>
      </c>
      <c r="W78" s="2">
        <f>P78/H78</f>
        <v/>
      </c>
      <c r="X78" s="2">
        <f>Q78/H78</f>
        <v/>
      </c>
      <c r="Y78" s="5">
        <f>IF(R78&gt;1,"1","2")</f>
        <v/>
      </c>
      <c r="Z78" s="5">
        <f>IF(S78&gt;1,"1","2")</f>
        <v/>
      </c>
      <c r="AA78" s="5">
        <f>IF(T78&gt;1,"1","2")</f>
        <v/>
      </c>
      <c r="AB78" s="5">
        <f>IF(U78&gt;1,"1","2")</f>
        <v/>
      </c>
      <c r="AC78" s="5">
        <f>IF(V78&gt;1,"1","2")</f>
        <v/>
      </c>
      <c r="AD78" s="5">
        <f>IF(W78&gt;1,"1","2")</f>
        <v/>
      </c>
      <c r="AE78" s="5">
        <f>IF(X78&gt;1,"1","2")</f>
        <v/>
      </c>
      <c r="AF78" t="n">
        <v>-5.127421</v>
      </c>
      <c r="AG78" t="n">
        <v>119.404801</v>
      </c>
    </row>
    <row r="79" ht="14.4" customHeight="1">
      <c r="A79" s="14" t="n">
        <v>76</v>
      </c>
      <c r="B79" s="15" t="inlineStr">
        <is>
          <t>Iwd</t>
        </is>
      </c>
      <c r="C79" s="10" t="n">
        <v>11</v>
      </c>
      <c r="D79" s="10" t="n">
        <v>31</v>
      </c>
      <c r="E79" s="17" t="n">
        <v>365</v>
      </c>
      <c r="F79" s="21" t="n">
        <v>0.0063</v>
      </c>
      <c r="G79" s="10" t="n">
        <v>1200</v>
      </c>
      <c r="H79" s="13" t="n">
        <v>0.003</v>
      </c>
      <c r="I79" s="18" t="n">
        <v>10950</v>
      </c>
      <c r="J79" s="20" t="n">
        <v>11</v>
      </c>
      <c r="K79" s="19">
        <f>(F79*G79*E79*J79)/(D79*I79)</f>
        <v/>
      </c>
      <c r="L79" s="2">
        <f>(F79*G79*E79*5)/(D79*I79)</f>
        <v/>
      </c>
      <c r="M79" s="2">
        <f>(F79*G79*E79*10)/(D79*I79)</f>
        <v/>
      </c>
      <c r="N79" s="2">
        <f>(F79*G79*E79*15)/(D79*I79)</f>
        <v/>
      </c>
      <c r="O79" s="2">
        <f>(F79*G79*E79*20)/(D79*I79)</f>
        <v/>
      </c>
      <c r="P79" s="2">
        <f>(F79*G79*E79*25)/(D79*I79)</f>
        <v/>
      </c>
      <c r="Q79" s="2">
        <f>(F79*G79*E79*30)/(D79*I79)</f>
        <v/>
      </c>
      <c r="R79" s="2">
        <f>K79/H79</f>
        <v/>
      </c>
      <c r="S79" s="2">
        <f>L79/H79</f>
        <v/>
      </c>
      <c r="T79" s="2">
        <f>M79/H79</f>
        <v/>
      </c>
      <c r="U79" s="2">
        <f>N79/H79</f>
        <v/>
      </c>
      <c r="V79" s="2">
        <f>O79/H79</f>
        <v/>
      </c>
      <c r="W79" s="2">
        <f>P79/H79</f>
        <v/>
      </c>
      <c r="X79" s="2">
        <f>Q79/H79</f>
        <v/>
      </c>
      <c r="Y79" s="5">
        <f>IF(R79&gt;1,"1","2")</f>
        <v/>
      </c>
      <c r="Z79" s="5">
        <f>IF(S79&gt;1,"1","2")</f>
        <v/>
      </c>
      <c r="AA79" s="5">
        <f>IF(T79&gt;1,"1","2")</f>
        <v/>
      </c>
      <c r="AB79" s="5">
        <f>IF(U79&gt;1,"1","2")</f>
        <v/>
      </c>
      <c r="AC79" s="5">
        <f>IF(V79&gt;1,"1","2")</f>
        <v/>
      </c>
      <c r="AD79" s="5">
        <f>IF(W79&gt;1,"1","2")</f>
        <v/>
      </c>
      <c r="AE79" s="5">
        <f>IF(X79&gt;1,"1","2")</f>
        <v/>
      </c>
      <c r="AF79" t="n">
        <v>-5.154187</v>
      </c>
      <c r="AG79" t="n">
        <v>119.417476</v>
      </c>
    </row>
    <row r="80" ht="14.4" customHeight="1">
      <c r="A80" s="14" t="n">
        <v>77</v>
      </c>
      <c r="B80" s="15" t="inlineStr">
        <is>
          <t>Gbt</t>
        </is>
      </c>
      <c r="C80" s="10" t="n">
        <v>11</v>
      </c>
      <c r="D80" s="10" t="n">
        <v>20</v>
      </c>
      <c r="E80" s="17" t="n">
        <v>365</v>
      </c>
      <c r="F80" s="21" t="n">
        <v>0.0005999999999999999</v>
      </c>
      <c r="G80" s="10" t="n">
        <v>900</v>
      </c>
      <c r="H80" s="13" t="n">
        <v>0.003</v>
      </c>
      <c r="I80" s="18" t="n">
        <v>10950</v>
      </c>
      <c r="J80" s="20" t="n">
        <v>1</v>
      </c>
      <c r="K80" s="19">
        <f>(F80*G80*E80*J80)/(D80*I80)</f>
        <v/>
      </c>
      <c r="L80" s="2">
        <f>(F80*G80*E80*5)/(D80*I80)</f>
        <v/>
      </c>
      <c r="M80" s="2">
        <f>(F80*G80*E80*10)/(D80*I80)</f>
        <v/>
      </c>
      <c r="N80" s="2">
        <f>(F80*G80*E80*15)/(D80*I80)</f>
        <v/>
      </c>
      <c r="O80" s="2">
        <f>(F80*G80*E80*20)/(D80*I80)</f>
        <v/>
      </c>
      <c r="P80" s="2">
        <f>(F80*G80*E80*25)/(D80*I80)</f>
        <v/>
      </c>
      <c r="Q80" s="2">
        <f>(F80*G80*E80*30)/(D80*I80)</f>
        <v/>
      </c>
      <c r="R80" s="2">
        <f>K80/H80</f>
        <v/>
      </c>
      <c r="S80" s="2">
        <f>L80/H80</f>
        <v/>
      </c>
      <c r="T80" s="2">
        <f>M80/H80</f>
        <v/>
      </c>
      <c r="U80" s="2">
        <f>N80/H80</f>
        <v/>
      </c>
      <c r="V80" s="2">
        <f>O80/H80</f>
        <v/>
      </c>
      <c r="W80" s="2">
        <f>P80/H80</f>
        <v/>
      </c>
      <c r="X80" s="2">
        <f>Q80/H80</f>
        <v/>
      </c>
      <c r="Y80" s="5">
        <f>IF(R80&gt;1,"1","2")</f>
        <v/>
      </c>
      <c r="Z80" s="5">
        <f>IF(S80&gt;1,"1","2")</f>
        <v/>
      </c>
      <c r="AA80" s="5">
        <f>IF(T80&gt;1,"1","2")</f>
        <v/>
      </c>
      <c r="AB80" s="5">
        <f>IF(U80&gt;1,"1","2")</f>
        <v/>
      </c>
      <c r="AC80" s="5">
        <f>IF(V80&gt;1,"1","2")</f>
        <v/>
      </c>
      <c r="AD80" s="5">
        <f>IF(W80&gt;1,"1","2")</f>
        <v/>
      </c>
      <c r="AE80" s="5">
        <f>IF(X80&gt;1,"1","2")</f>
        <v/>
      </c>
      <c r="AF80" t="n">
        <v>-5.14914</v>
      </c>
      <c r="AG80" t="n">
        <v>119.427095</v>
      </c>
    </row>
    <row r="81" ht="14.4" customHeight="1">
      <c r="A81" s="14" t="n">
        <v>78</v>
      </c>
      <c r="B81" s="15" t="inlineStr">
        <is>
          <t>Put</t>
        </is>
      </c>
      <c r="C81" s="10" t="n">
        <v>11</v>
      </c>
      <c r="D81" s="10" t="n">
        <v>33</v>
      </c>
      <c r="E81" s="17" t="n">
        <v>365</v>
      </c>
      <c r="F81" s="21" t="n">
        <v>0.0011</v>
      </c>
      <c r="G81" s="10" t="n">
        <v>900</v>
      </c>
      <c r="H81" s="13" t="n">
        <v>0.003</v>
      </c>
      <c r="I81" s="18" t="n">
        <v>10950</v>
      </c>
      <c r="J81" s="20" t="n">
        <v>11</v>
      </c>
      <c r="K81" s="19">
        <f>(F81*G81*E81*J81)/(D81*I81)</f>
        <v/>
      </c>
      <c r="L81" s="2">
        <f>(F81*G81*E81*5)/(D81*I81)</f>
        <v/>
      </c>
      <c r="M81" s="2">
        <f>(F81*G81*E81*10)/(D81*I81)</f>
        <v/>
      </c>
      <c r="N81" s="2">
        <f>(F81*G81*E81*15)/(D81*I81)</f>
        <v/>
      </c>
      <c r="O81" s="2">
        <f>(F81*G81*E81*20)/(D81*I81)</f>
        <v/>
      </c>
      <c r="P81" s="2">
        <f>(F81*G81*E81*25)/(D81*I81)</f>
        <v/>
      </c>
      <c r="Q81" s="2">
        <f>(F81*G81*E81*30)/(D81*I81)</f>
        <v/>
      </c>
      <c r="R81" s="2">
        <f>K81/H81</f>
        <v/>
      </c>
      <c r="S81" s="2">
        <f>L81/H81</f>
        <v/>
      </c>
      <c r="T81" s="2">
        <f>M81/H81</f>
        <v/>
      </c>
      <c r="U81" s="2">
        <f>N81/H81</f>
        <v/>
      </c>
      <c r="V81" s="2">
        <f>O81/H81</f>
        <v/>
      </c>
      <c r="W81" s="2">
        <f>P81/H81</f>
        <v/>
      </c>
      <c r="X81" s="2">
        <f>Q81/H81</f>
        <v/>
      </c>
      <c r="Y81" s="5">
        <f>IF(R81&gt;1,"1","2")</f>
        <v/>
      </c>
      <c r="Z81" s="5">
        <f>IF(S81&gt;1,"1","2")</f>
        <v/>
      </c>
      <c r="AA81" s="5">
        <f>IF(T81&gt;1,"1","2")</f>
        <v/>
      </c>
      <c r="AB81" s="5">
        <f>IF(U81&gt;1,"1","2")</f>
        <v/>
      </c>
      <c r="AC81" s="5">
        <f>IF(V81&gt;1,"1","2")</f>
        <v/>
      </c>
      <c r="AD81" s="5">
        <f>IF(W81&gt;1,"1","2")</f>
        <v/>
      </c>
      <c r="AE81" s="5">
        <f>IF(X81&gt;1,"1","2")</f>
        <v/>
      </c>
      <c r="AF81" t="n">
        <v>-5.139762</v>
      </c>
      <c r="AG81" t="n">
        <v>119.422664</v>
      </c>
    </row>
    <row r="82" ht="14.4" customHeight="1">
      <c r="A82" s="14" t="n">
        <v>79</v>
      </c>
      <c r="B82" s="15" t="inlineStr">
        <is>
          <t>Bak</t>
        </is>
      </c>
      <c r="C82" s="10" t="n">
        <v>11</v>
      </c>
      <c r="D82" s="10" t="n">
        <v>32</v>
      </c>
      <c r="E82" s="17" t="n">
        <v>365</v>
      </c>
      <c r="F82" s="21" t="n">
        <v>0.0016</v>
      </c>
      <c r="G82" s="10" t="n">
        <v>900</v>
      </c>
      <c r="H82" s="13" t="n">
        <v>0.003</v>
      </c>
      <c r="I82" s="18" t="n">
        <v>10950</v>
      </c>
      <c r="J82" s="20" t="n">
        <v>11</v>
      </c>
      <c r="K82" s="19">
        <f>(F82*G82*E82*J82)/(D82*I82)</f>
        <v/>
      </c>
      <c r="L82" s="2">
        <f>(F82*G82*E82*5)/(D82*I82)</f>
        <v/>
      </c>
      <c r="M82" s="2">
        <f>(F82*G82*E82*10)/(D82*I82)</f>
        <v/>
      </c>
      <c r="N82" s="2">
        <f>(F82*G82*E82*15)/(D82*I82)</f>
        <v/>
      </c>
      <c r="O82" s="2">
        <f>(F82*G82*E82*20)/(D82*I82)</f>
        <v/>
      </c>
      <c r="P82" s="2">
        <f>(F82*G82*E82*25)/(D82*I82)</f>
        <v/>
      </c>
      <c r="Q82" s="2">
        <f>(F82*G82*E82*30)/(D82*I82)</f>
        <v/>
      </c>
      <c r="R82" s="2">
        <f>K82/H82</f>
        <v/>
      </c>
      <c r="S82" s="2">
        <f>L82/H82</f>
        <v/>
      </c>
      <c r="T82" s="2">
        <f>M82/H82</f>
        <v/>
      </c>
      <c r="U82" s="2">
        <f>N82/H82</f>
        <v/>
      </c>
      <c r="V82" s="2">
        <f>O82/H82</f>
        <v/>
      </c>
      <c r="W82" s="2">
        <f>P82/H82</f>
        <v/>
      </c>
      <c r="X82" s="2">
        <f>Q82/H82</f>
        <v/>
      </c>
      <c r="Y82" s="5">
        <f>IF(R82&gt;1,"1","2")</f>
        <v/>
      </c>
      <c r="Z82" s="5">
        <f>IF(S82&gt;1,"1","2")</f>
        <v/>
      </c>
      <c r="AA82" s="5">
        <f>IF(T82&gt;1,"1","2")</f>
        <v/>
      </c>
      <c r="AB82" s="5">
        <f>IF(U82&gt;1,"1","2")</f>
        <v/>
      </c>
      <c r="AC82" s="5">
        <f>IF(V82&gt;1,"1","2")</f>
        <v/>
      </c>
      <c r="AD82" s="5">
        <f>IF(W82&gt;1,"1","2")</f>
        <v/>
      </c>
      <c r="AE82" s="5">
        <f>IF(X82&gt;1,"1","2")</f>
        <v/>
      </c>
      <c r="AF82" t="n">
        <v>-5.154211</v>
      </c>
      <c r="AG82" t="n">
        <v>119.424495</v>
      </c>
    </row>
    <row r="83" ht="14.4" customHeight="1">
      <c r="A83" s="14" t="n">
        <v>80</v>
      </c>
      <c r="B83" s="15" t="inlineStr">
        <is>
          <t>Aik</t>
        </is>
      </c>
      <c r="C83" s="10" t="n">
        <v>11</v>
      </c>
      <c r="D83" s="10" t="n">
        <v>23</v>
      </c>
      <c r="E83" s="17" t="n">
        <v>365</v>
      </c>
      <c r="F83" s="21" t="n">
        <v>0.0003</v>
      </c>
      <c r="G83" s="10" t="n">
        <v>900</v>
      </c>
      <c r="H83" s="13" t="n">
        <v>0.003</v>
      </c>
      <c r="I83" s="18" t="n">
        <v>10950</v>
      </c>
      <c r="J83" s="20" t="n">
        <v>11</v>
      </c>
      <c r="K83" s="19">
        <f>(F83*G83*E83*J83)/(D83*I83)</f>
        <v/>
      </c>
      <c r="L83" s="2">
        <f>(F83*G83*E83*5)/(D83*I83)</f>
        <v/>
      </c>
      <c r="M83" s="2">
        <f>(F83*G83*E83*10)/(D83*I83)</f>
        <v/>
      </c>
      <c r="N83" s="2">
        <f>(F83*G83*E83*15)/(D83*I83)</f>
        <v/>
      </c>
      <c r="O83" s="2">
        <f>(F83*G83*E83*20)/(D83*I83)</f>
        <v/>
      </c>
      <c r="P83" s="2">
        <f>(F83*G83*E83*25)/(D83*I83)</f>
        <v/>
      </c>
      <c r="Q83" s="2">
        <f>(F83*G83*E83*30)/(D83*I83)</f>
        <v/>
      </c>
      <c r="R83" s="2">
        <f>K83/H83</f>
        <v/>
      </c>
      <c r="S83" s="2">
        <f>L83/H83</f>
        <v/>
      </c>
      <c r="T83" s="2">
        <f>M83/H83</f>
        <v/>
      </c>
      <c r="U83" s="2">
        <f>N83/H83</f>
        <v/>
      </c>
      <c r="V83" s="2">
        <f>O83/H83</f>
        <v/>
      </c>
      <c r="W83" s="2">
        <f>P83/H83</f>
        <v/>
      </c>
      <c r="X83" s="2">
        <f>Q83/H83</f>
        <v/>
      </c>
      <c r="Y83" s="5">
        <f>IF(R83&gt;1,"1","2")</f>
        <v/>
      </c>
      <c r="Z83" s="5">
        <f>IF(S83&gt;1,"1","2")</f>
        <v/>
      </c>
      <c r="AA83" s="5">
        <f>IF(T83&gt;1,"1","2")</f>
        <v/>
      </c>
      <c r="AB83" s="5">
        <f>IF(U83&gt;1,"1","2")</f>
        <v/>
      </c>
      <c r="AC83" s="5">
        <f>IF(V83&gt;1,"1","2")</f>
        <v/>
      </c>
      <c r="AD83" s="5">
        <f>IF(W83&gt;1,"1","2")</f>
        <v/>
      </c>
      <c r="AE83" s="5">
        <f>IF(X83&gt;1,"1","2")</f>
        <v/>
      </c>
      <c r="AF83" t="n">
        <v>-5.140154</v>
      </c>
      <c r="AG83" t="n">
        <v>119.442838</v>
      </c>
    </row>
    <row r="84" ht="14.4" customHeight="1">
      <c r="A84" s="14" t="n">
        <v>81</v>
      </c>
      <c r="B84" s="15" t="inlineStr">
        <is>
          <t>Aul</t>
        </is>
      </c>
      <c r="C84" s="10" t="n">
        <v>11</v>
      </c>
      <c r="D84" s="10" t="n">
        <v>34</v>
      </c>
      <c r="E84" s="17" t="n">
        <v>365</v>
      </c>
      <c r="F84" s="21" t="n">
        <v>0.0003</v>
      </c>
      <c r="G84" s="10" t="n">
        <v>1200</v>
      </c>
      <c r="H84" s="13" t="n">
        <v>0.003</v>
      </c>
      <c r="I84" s="18" t="n">
        <v>10950</v>
      </c>
      <c r="J84" s="20" t="n">
        <v>11</v>
      </c>
      <c r="K84" s="19">
        <f>(F84*G84*E84*J84)/(D84*I84)</f>
        <v/>
      </c>
      <c r="L84" s="2">
        <f>(F84*G84*E84*5)/(D84*I84)</f>
        <v/>
      </c>
      <c r="M84" s="2">
        <f>(F84*G84*E84*10)/(D84*I84)</f>
        <v/>
      </c>
      <c r="N84" s="2">
        <f>(F84*G84*E84*15)/(D84*I84)</f>
        <v/>
      </c>
      <c r="O84" s="2">
        <f>(F84*G84*E84*20)/(D84*I84)</f>
        <v/>
      </c>
      <c r="P84" s="2">
        <f>(F84*G84*E84*25)/(D84*I84)</f>
        <v/>
      </c>
      <c r="Q84" s="2">
        <f>(F84*G84*E84*30)/(D84*I84)</f>
        <v/>
      </c>
      <c r="R84" s="2">
        <f>K84/H84</f>
        <v/>
      </c>
      <c r="S84" s="2">
        <f>L84/H84</f>
        <v/>
      </c>
      <c r="T84" s="2">
        <f>M84/H84</f>
        <v/>
      </c>
      <c r="U84" s="2">
        <f>N84/H84</f>
        <v/>
      </c>
      <c r="V84" s="2">
        <f>O84/H84</f>
        <v/>
      </c>
      <c r="W84" s="2">
        <f>P84/H84</f>
        <v/>
      </c>
      <c r="X84" s="2">
        <f>Q84/H84</f>
        <v/>
      </c>
      <c r="Y84" s="5">
        <f>IF(R84&gt;1,"1","2")</f>
        <v/>
      </c>
      <c r="Z84" s="5">
        <f>IF(S84&gt;1,"1","2")</f>
        <v/>
      </c>
      <c r="AA84" s="5">
        <f>IF(T84&gt;1,"1","2")</f>
        <v/>
      </c>
      <c r="AB84" s="5">
        <f>IF(U84&gt;1,"1","2")</f>
        <v/>
      </c>
      <c r="AC84" s="5">
        <f>IF(V84&gt;1,"1","2")</f>
        <v/>
      </c>
      <c r="AD84" s="5">
        <f>IF(W84&gt;1,"1","2")</f>
        <v/>
      </c>
      <c r="AE84" s="5">
        <f>IF(X84&gt;1,"1","2")</f>
        <v/>
      </c>
      <c r="AF84" t="n">
        <v>-5.130739</v>
      </c>
      <c r="AG84" t="n">
        <v>119.445703</v>
      </c>
    </row>
    <row r="85" ht="14.4" customHeight="1">
      <c r="A85" s="14" t="n">
        <v>82</v>
      </c>
      <c r="B85" s="15" t="inlineStr">
        <is>
          <t>Ari</t>
        </is>
      </c>
      <c r="C85" s="10" t="n">
        <v>11</v>
      </c>
      <c r="D85" s="10" t="n">
        <v>32</v>
      </c>
      <c r="E85" s="17" t="n">
        <v>365</v>
      </c>
      <c r="F85" s="21" t="n">
        <v>0.0035</v>
      </c>
      <c r="G85" s="10" t="n">
        <v>900</v>
      </c>
      <c r="H85" s="13" t="n">
        <v>0.003</v>
      </c>
      <c r="I85" s="18" t="n">
        <v>10950</v>
      </c>
      <c r="J85" s="20" t="n">
        <v>11</v>
      </c>
      <c r="K85" s="19">
        <f>(F85*G85*E85*J85)/(D85*I85)</f>
        <v/>
      </c>
      <c r="L85" s="2">
        <f>(F85*G85*E85*5)/(D85*I85)</f>
        <v/>
      </c>
      <c r="M85" s="2">
        <f>(F85*G85*E85*10)/(D85*I85)</f>
        <v/>
      </c>
      <c r="N85" s="2">
        <f>(F85*G85*E85*15)/(D85*I85)</f>
        <v/>
      </c>
      <c r="O85" s="2">
        <f>(F85*G85*E85*20)/(D85*I85)</f>
        <v/>
      </c>
      <c r="P85" s="2">
        <f>(F85*G85*E85*25)/(D85*I85)</f>
        <v/>
      </c>
      <c r="Q85" s="2">
        <f>(F85*G85*E85*30)/(D85*I85)</f>
        <v/>
      </c>
      <c r="R85" s="2">
        <f>K85/H85</f>
        <v/>
      </c>
      <c r="S85" s="2">
        <f>L85/H85</f>
        <v/>
      </c>
      <c r="T85" s="2">
        <f>M85/H85</f>
        <v/>
      </c>
      <c r="U85" s="2">
        <f>N85/H85</f>
        <v/>
      </c>
      <c r="V85" s="2">
        <f>O85/H85</f>
        <v/>
      </c>
      <c r="W85" s="2">
        <f>P85/H85</f>
        <v/>
      </c>
      <c r="X85" s="2">
        <f>Q85/H85</f>
        <v/>
      </c>
      <c r="Y85" s="5">
        <f>IF(R85&gt;1,"1","2")</f>
        <v/>
      </c>
      <c r="Z85" s="5">
        <f>IF(S85&gt;1,"1","2")</f>
        <v/>
      </c>
      <c r="AA85" s="5">
        <f>IF(T85&gt;1,"1","2")</f>
        <v/>
      </c>
      <c r="AB85" s="5">
        <f>IF(U85&gt;1,"1","2")</f>
        <v/>
      </c>
      <c r="AC85" s="5">
        <f>IF(V85&gt;1,"1","2")</f>
        <v/>
      </c>
      <c r="AD85" s="5">
        <f>IF(W85&gt;1,"1","2")</f>
        <v/>
      </c>
      <c r="AE85" s="5">
        <f>IF(X85&gt;1,"1","2")</f>
        <v/>
      </c>
      <c r="AF85" t="n">
        <v>-5.152016</v>
      </c>
      <c r="AG85" t="n">
        <v>119.430753</v>
      </c>
    </row>
    <row r="86" ht="14.4" customHeight="1">
      <c r="A86" s="14" t="n">
        <v>83</v>
      </c>
      <c r="B86" s="15" t="inlineStr">
        <is>
          <t>Tia</t>
        </is>
      </c>
      <c r="C86" s="10" t="n">
        <v>11</v>
      </c>
      <c r="D86" s="10" t="n">
        <v>35</v>
      </c>
      <c r="E86" s="17" t="n">
        <v>365</v>
      </c>
      <c r="F86" s="21" t="n">
        <v>0.0013</v>
      </c>
      <c r="G86" s="10" t="n">
        <v>900</v>
      </c>
      <c r="H86" s="13" t="n">
        <v>0.003</v>
      </c>
      <c r="I86" s="18" t="n">
        <v>10950</v>
      </c>
      <c r="J86" s="20" t="n">
        <v>6</v>
      </c>
      <c r="K86" s="19">
        <f>(F86*G86*E86*J86)/(D86*I86)</f>
        <v/>
      </c>
      <c r="L86" s="2">
        <f>(F86*G86*E86*5)/(D86*I86)</f>
        <v/>
      </c>
      <c r="M86" s="2">
        <f>(F86*G86*E86*10)/(D86*I86)</f>
        <v/>
      </c>
      <c r="N86" s="2">
        <f>(F86*G86*E86*15)/(D86*I86)</f>
        <v/>
      </c>
      <c r="O86" s="2">
        <f>(F86*G86*E86*20)/(D86*I86)</f>
        <v/>
      </c>
      <c r="P86" s="2">
        <f>(F86*G86*E86*25)/(D86*I86)</f>
        <v/>
      </c>
      <c r="Q86" s="2">
        <f>(F86*G86*E86*30)/(D86*I86)</f>
        <v/>
      </c>
      <c r="R86" s="2">
        <f>K86/H86</f>
        <v/>
      </c>
      <c r="S86" s="2">
        <f>L86/H86</f>
        <v/>
      </c>
      <c r="T86" s="2">
        <f>M86/H86</f>
        <v/>
      </c>
      <c r="U86" s="2">
        <f>N86/H86</f>
        <v/>
      </c>
      <c r="V86" s="2">
        <f>O86/H86</f>
        <v/>
      </c>
      <c r="W86" s="2">
        <f>P86/H86</f>
        <v/>
      </c>
      <c r="X86" s="2">
        <f>Q86/H86</f>
        <v/>
      </c>
      <c r="Y86" s="5">
        <f>IF(R86&gt;1,"1","2")</f>
        <v/>
      </c>
      <c r="Z86" s="5">
        <f>IF(S86&gt;1,"1","2")</f>
        <v/>
      </c>
      <c r="AA86" s="5">
        <f>IF(T86&gt;1,"1","2")</f>
        <v/>
      </c>
      <c r="AB86" s="5">
        <f>IF(U86&gt;1,"1","2")</f>
        <v/>
      </c>
      <c r="AC86" s="5">
        <f>IF(V86&gt;1,"1","2")</f>
        <v/>
      </c>
      <c r="AD86" s="5">
        <f>IF(W86&gt;1,"1","2")</f>
        <v/>
      </c>
      <c r="AE86" s="5">
        <f>IF(X86&gt;1,"1","2")</f>
        <v/>
      </c>
      <c r="AF86" t="n">
        <v>-5.128339</v>
      </c>
      <c r="AG86" t="n">
        <v>119.401552</v>
      </c>
    </row>
    <row r="87" ht="14.4" customHeight="1">
      <c r="A87" s="14" t="n">
        <v>84</v>
      </c>
      <c r="B87" s="15" t="inlineStr">
        <is>
          <t>Aft</t>
        </is>
      </c>
      <c r="C87" s="10" t="n">
        <v>12</v>
      </c>
      <c r="D87" s="10" t="n">
        <v>28</v>
      </c>
      <c r="E87" s="17" t="n">
        <v>365</v>
      </c>
      <c r="F87" s="21" t="n">
        <v>0.0044</v>
      </c>
      <c r="G87" s="10" t="n">
        <v>900</v>
      </c>
      <c r="H87" s="13" t="n">
        <v>0.003</v>
      </c>
      <c r="I87" s="18" t="n">
        <v>10950</v>
      </c>
      <c r="J87" s="20" t="n">
        <v>12</v>
      </c>
      <c r="K87" s="19">
        <f>(F87*G87*E87*J87)/(D87*I87)</f>
        <v/>
      </c>
      <c r="L87" s="2">
        <f>(F87*G87*E87*5)/(D87*I87)</f>
        <v/>
      </c>
      <c r="M87" s="2">
        <f>(F87*G87*E87*10)/(D87*I87)</f>
        <v/>
      </c>
      <c r="N87" s="2">
        <f>(F87*G87*E87*15)/(D87*I87)</f>
        <v/>
      </c>
      <c r="O87" s="2">
        <f>(F87*G87*E87*20)/(D87*I87)</f>
        <v/>
      </c>
      <c r="P87" s="2">
        <f>(F87*G87*E87*25)/(D87*I87)</f>
        <v/>
      </c>
      <c r="Q87" s="2">
        <f>(F87*G87*E87*30)/(D87*I87)</f>
        <v/>
      </c>
      <c r="R87" s="2">
        <f>K87/H87</f>
        <v/>
      </c>
      <c r="S87" s="2">
        <f>L87/H87</f>
        <v/>
      </c>
      <c r="T87" s="2">
        <f>M87/H87</f>
        <v/>
      </c>
      <c r="U87" s="2">
        <f>N87/H87</f>
        <v/>
      </c>
      <c r="V87" s="2">
        <f>O87/H87</f>
        <v/>
      </c>
      <c r="W87" s="2">
        <f>P87/H87</f>
        <v/>
      </c>
      <c r="X87" s="2">
        <f>Q87/H87</f>
        <v/>
      </c>
      <c r="Y87" s="5">
        <f>IF(R87&gt;1,"1","2")</f>
        <v/>
      </c>
      <c r="Z87" s="5">
        <f>IF(S87&gt;1,"1","2")</f>
        <v/>
      </c>
      <c r="AA87" s="5">
        <f>IF(T87&gt;1,"1","2")</f>
        <v/>
      </c>
      <c r="AB87" s="5">
        <f>IF(U87&gt;1,"1","2")</f>
        <v/>
      </c>
      <c r="AC87" s="5">
        <f>IF(V87&gt;1,"1","2")</f>
        <v/>
      </c>
      <c r="AD87" s="5">
        <f>IF(W87&gt;1,"1","2")</f>
        <v/>
      </c>
      <c r="AE87" s="5">
        <f>IF(X87&gt;1,"1","2")</f>
        <v/>
      </c>
      <c r="AF87" t="n">
        <v>-5.154162</v>
      </c>
      <c r="AG87" t="n">
        <v>119.409459</v>
      </c>
    </row>
    <row r="88" ht="14.4" customHeight="1">
      <c r="A88" s="14" t="n">
        <v>85</v>
      </c>
      <c r="B88" s="15" t="inlineStr">
        <is>
          <t>NM</t>
        </is>
      </c>
      <c r="C88" s="10" t="n">
        <v>12</v>
      </c>
      <c r="D88" s="10" t="n">
        <v>28</v>
      </c>
      <c r="E88" s="17" t="n">
        <v>365</v>
      </c>
      <c r="F88" s="21" t="n">
        <v>0.0044</v>
      </c>
      <c r="G88" s="10" t="n">
        <v>900</v>
      </c>
      <c r="H88" s="13" t="n">
        <v>0.003</v>
      </c>
      <c r="I88" s="18" t="n">
        <v>10950</v>
      </c>
      <c r="J88" s="20" t="n">
        <v>12</v>
      </c>
      <c r="K88" s="19">
        <f>(F88*G88*E88*J88)/(D88*I88)</f>
        <v/>
      </c>
      <c r="L88" s="2">
        <f>(F88*G88*E88*5)/(D88*I88)</f>
        <v/>
      </c>
      <c r="M88" s="2">
        <f>(F88*G88*E88*10)/(D88*I88)</f>
        <v/>
      </c>
      <c r="N88" s="2">
        <f>(F88*G88*E88*15)/(D88*I88)</f>
        <v/>
      </c>
      <c r="O88" s="2">
        <f>(F88*G88*E88*20)/(D88*I88)</f>
        <v/>
      </c>
      <c r="P88" s="2">
        <f>(F88*G88*E88*25)/(D88*I88)</f>
        <v/>
      </c>
      <c r="Q88" s="2">
        <f>(F88*G88*E88*30)/(D88*I88)</f>
        <v/>
      </c>
      <c r="R88" s="2">
        <f>K88/H88</f>
        <v/>
      </c>
      <c r="S88" s="2">
        <f>L88/H88</f>
        <v/>
      </c>
      <c r="T88" s="2">
        <f>M88/H88</f>
        <v/>
      </c>
      <c r="U88" s="2">
        <f>N88/H88</f>
        <v/>
      </c>
      <c r="V88" s="2">
        <f>O88/H88</f>
        <v/>
      </c>
      <c r="W88" s="2">
        <f>P88/H88</f>
        <v/>
      </c>
      <c r="X88" s="2">
        <f>Q88/H88</f>
        <v/>
      </c>
      <c r="Y88" s="5">
        <f>IF(R88&gt;1,"1","2")</f>
        <v/>
      </c>
      <c r="Z88" s="5">
        <f>IF(S88&gt;1,"1","2")</f>
        <v/>
      </c>
      <c r="AA88" s="5">
        <f>IF(T88&gt;1,"1","2")</f>
        <v/>
      </c>
      <c r="AB88" s="5">
        <f>IF(U88&gt;1,"1","2")</f>
        <v/>
      </c>
      <c r="AC88" s="5">
        <f>IF(V88&gt;1,"1","2")</f>
        <v/>
      </c>
      <c r="AD88" s="5">
        <f>IF(W88&gt;1,"1","2")</f>
        <v/>
      </c>
      <c r="AE88" s="5">
        <f>IF(X88&gt;1,"1","2")</f>
        <v/>
      </c>
      <c r="AF88" t="n">
        <v>-5.1441</v>
      </c>
      <c r="AG88" t="n">
        <v>119.409476</v>
      </c>
    </row>
    <row r="89" ht="14.4" customHeight="1">
      <c r="A89" s="14" t="n">
        <v>86</v>
      </c>
      <c r="B89" s="15" t="inlineStr">
        <is>
          <t>Cna</t>
        </is>
      </c>
      <c r="C89" s="10" t="n">
        <v>12</v>
      </c>
      <c r="D89" s="10" t="n">
        <v>40</v>
      </c>
      <c r="E89" s="17" t="n">
        <v>365</v>
      </c>
      <c r="F89" s="21" t="n">
        <v>0.0044</v>
      </c>
      <c r="G89" s="10" t="n">
        <v>1800</v>
      </c>
      <c r="H89" s="13" t="n">
        <v>0.003</v>
      </c>
      <c r="I89" s="18" t="n">
        <v>10950</v>
      </c>
      <c r="J89" s="20" t="n">
        <v>5</v>
      </c>
      <c r="K89" s="19">
        <f>(F89*G89*E89*J89)/(D89*I89)</f>
        <v/>
      </c>
      <c r="L89" s="2">
        <f>(F89*G89*E89*5)/(D89*I89)</f>
        <v/>
      </c>
      <c r="M89" s="2">
        <f>(F89*G89*E89*10)/(D89*I89)</f>
        <v/>
      </c>
      <c r="N89" s="2">
        <f>(F89*G89*E89*15)/(D89*I89)</f>
        <v/>
      </c>
      <c r="O89" s="2">
        <f>(F89*G89*E89*20)/(D89*I89)</f>
        <v/>
      </c>
      <c r="P89" s="2">
        <f>(F89*G89*E89*25)/(D89*I89)</f>
        <v/>
      </c>
      <c r="Q89" s="2">
        <f>(F89*G89*E89*30)/(D89*I89)</f>
        <v/>
      </c>
      <c r="R89" s="2">
        <f>K89/H89</f>
        <v/>
      </c>
      <c r="S89" s="2">
        <f>L89/H89</f>
        <v/>
      </c>
      <c r="T89" s="2">
        <f>M89/H89</f>
        <v/>
      </c>
      <c r="U89" s="2">
        <f>N89/H89</f>
        <v/>
      </c>
      <c r="V89" s="2">
        <f>O89/H89</f>
        <v/>
      </c>
      <c r="W89" s="2">
        <f>P89/H89</f>
        <v/>
      </c>
      <c r="X89" s="2">
        <f>Q89/H89</f>
        <v/>
      </c>
      <c r="Y89" s="5">
        <f>IF(R89&gt;1,"1","2")</f>
        <v/>
      </c>
      <c r="Z89" s="5">
        <f>IF(S89&gt;1,"1","2")</f>
        <v/>
      </c>
      <c r="AA89" s="5">
        <f>IF(T89&gt;1,"1","2")</f>
        <v/>
      </c>
      <c r="AB89" s="5">
        <f>IF(U89&gt;1,"1","2")</f>
        <v/>
      </c>
      <c r="AC89" s="5">
        <f>IF(V89&gt;1,"1","2")</f>
        <v/>
      </c>
      <c r="AD89" s="5">
        <f>IF(W89&gt;1,"1","2")</f>
        <v/>
      </c>
      <c r="AE89" s="5">
        <f>IF(X89&gt;1,"1","2")</f>
        <v/>
      </c>
      <c r="AF89" t="n">
        <v>-5.156756</v>
      </c>
      <c r="AG89" t="n">
        <v>119.43034</v>
      </c>
    </row>
    <row r="90" ht="14.4" customHeight="1">
      <c r="A90" s="14" t="n">
        <v>87</v>
      </c>
      <c r="B90" s="15" t="inlineStr">
        <is>
          <t>Srp</t>
        </is>
      </c>
      <c r="C90" s="10" t="n">
        <v>12</v>
      </c>
      <c r="D90" s="10" t="n">
        <v>23</v>
      </c>
      <c r="E90" s="17" t="n">
        <v>365</v>
      </c>
      <c r="F90" s="21" t="n">
        <v>0.0002</v>
      </c>
      <c r="G90" s="10" t="n">
        <v>900</v>
      </c>
      <c r="H90" s="13" t="n">
        <v>0.003</v>
      </c>
      <c r="I90" s="18" t="n">
        <v>10950</v>
      </c>
      <c r="J90" s="20" t="n">
        <v>12</v>
      </c>
      <c r="K90" s="19">
        <f>(F90*G90*E90*J90)/(D90*I90)</f>
        <v/>
      </c>
      <c r="L90" s="2">
        <f>(F90*G90*E90*5)/(D90*I90)</f>
        <v/>
      </c>
      <c r="M90" s="2">
        <f>(F90*G90*E90*10)/(D90*I90)</f>
        <v/>
      </c>
      <c r="N90" s="2">
        <f>(F90*G90*E90*15)/(D90*I90)</f>
        <v/>
      </c>
      <c r="O90" s="2">
        <f>(F90*G90*E90*20)/(D90*I90)</f>
        <v/>
      </c>
      <c r="P90" s="2">
        <f>(F90*G90*E90*25)/(D90*I90)</f>
        <v/>
      </c>
      <c r="Q90" s="2">
        <f>(F90*G90*E90*30)/(D90*I90)</f>
        <v/>
      </c>
      <c r="R90" s="2">
        <f>K90/H90</f>
        <v/>
      </c>
      <c r="S90" s="2">
        <f>L90/H90</f>
        <v/>
      </c>
      <c r="T90" s="2">
        <f>M90/H90</f>
        <v/>
      </c>
      <c r="U90" s="2">
        <f>N90/H90</f>
        <v/>
      </c>
      <c r="V90" s="2">
        <f>O90/H90</f>
        <v/>
      </c>
      <c r="W90" s="2">
        <f>P90/H90</f>
        <v/>
      </c>
      <c r="X90" s="2">
        <f>Q90/H90</f>
        <v/>
      </c>
      <c r="Y90" s="5">
        <f>IF(R90&gt;1,"1","2")</f>
        <v/>
      </c>
      <c r="Z90" s="5">
        <f>IF(S90&gt;1,"1","2")</f>
        <v/>
      </c>
      <c r="AA90" s="5">
        <f>IF(T90&gt;1,"1","2")</f>
        <v/>
      </c>
      <c r="AB90" s="5">
        <f>IF(U90&gt;1,"1","2")</f>
        <v/>
      </c>
      <c r="AC90" s="5">
        <f>IF(V90&gt;1,"1","2")</f>
        <v/>
      </c>
      <c r="AD90" s="5">
        <f>IF(W90&gt;1,"1","2")</f>
        <v/>
      </c>
      <c r="AE90" s="5">
        <f>IF(X90&gt;1,"1","2")</f>
        <v/>
      </c>
      <c r="AF90" t="n">
        <v>-5.151853</v>
      </c>
      <c r="AG90" t="n">
        <v>119.404635</v>
      </c>
    </row>
    <row r="91" ht="14.4" customHeight="1">
      <c r="A91" s="14" t="n">
        <v>88</v>
      </c>
      <c r="B91" s="15" t="inlineStr">
        <is>
          <t>Srp</t>
        </is>
      </c>
      <c r="C91" s="10" t="n">
        <v>12</v>
      </c>
      <c r="D91" s="10" t="n">
        <v>23</v>
      </c>
      <c r="E91" s="17" t="n">
        <v>365</v>
      </c>
      <c r="F91" s="21" t="n">
        <v>0.0003</v>
      </c>
      <c r="G91" s="10" t="n">
        <v>900</v>
      </c>
      <c r="H91" s="13" t="n">
        <v>0.003</v>
      </c>
      <c r="I91" s="18" t="n">
        <v>10950</v>
      </c>
      <c r="J91" s="20" t="n">
        <v>12</v>
      </c>
      <c r="K91" s="19">
        <f>(F91*G91*E91*J91)/(D91*I91)</f>
        <v/>
      </c>
      <c r="L91" s="2">
        <f>(F91*G91*E91*5)/(D91*I91)</f>
        <v/>
      </c>
      <c r="M91" s="2">
        <f>(F91*G91*E91*10)/(D91*I91)</f>
        <v/>
      </c>
      <c r="N91" s="2">
        <f>(F91*G91*E91*15)/(D91*I91)</f>
        <v/>
      </c>
      <c r="O91" s="2">
        <f>(F91*G91*E91*20)/(D91*I91)</f>
        <v/>
      </c>
      <c r="P91" s="2">
        <f>(F91*G91*E91*25)/(D91*I91)</f>
        <v/>
      </c>
      <c r="Q91" s="2">
        <f>(F91*G91*E91*30)/(D91*I91)</f>
        <v/>
      </c>
      <c r="R91" s="2">
        <f>K91/H91</f>
        <v/>
      </c>
      <c r="S91" s="2">
        <f>L91/H91</f>
        <v/>
      </c>
      <c r="T91" s="2">
        <f>M91/H91</f>
        <v/>
      </c>
      <c r="U91" s="2">
        <f>N91/H91</f>
        <v/>
      </c>
      <c r="V91" s="2">
        <f>O91/H91</f>
        <v/>
      </c>
      <c r="W91" s="2">
        <f>P91/H91</f>
        <v/>
      </c>
      <c r="X91" s="2">
        <f>Q91/H91</f>
        <v/>
      </c>
      <c r="Y91" s="5">
        <f>IF(R91&gt;1,"1","2")</f>
        <v/>
      </c>
      <c r="Z91" s="5">
        <f>IF(S91&gt;1,"1","2")</f>
        <v/>
      </c>
      <c r="AA91" s="5">
        <f>IF(T91&gt;1,"1","2")</f>
        <v/>
      </c>
      <c r="AB91" s="5">
        <f>IF(U91&gt;1,"1","2")</f>
        <v/>
      </c>
      <c r="AC91" s="5">
        <f>IF(V91&gt;1,"1","2")</f>
        <v/>
      </c>
      <c r="AD91" s="5">
        <f>IF(W91&gt;1,"1","2")</f>
        <v/>
      </c>
      <c r="AE91" s="5">
        <f>IF(X91&gt;1,"1","2")</f>
        <v/>
      </c>
      <c r="AF91" t="n">
        <v>-5.156659</v>
      </c>
      <c r="AG91" t="n">
        <v>119.408619</v>
      </c>
    </row>
    <row r="92" ht="14.4" customHeight="1">
      <c r="A92" s="14" t="n">
        <v>89</v>
      </c>
      <c r="B92" s="15" t="inlineStr">
        <is>
          <t>Mhp</t>
        </is>
      </c>
      <c r="C92" s="10" t="n">
        <v>12</v>
      </c>
      <c r="D92" s="10" t="n">
        <v>25</v>
      </c>
      <c r="E92" s="17" t="n">
        <v>365</v>
      </c>
      <c r="F92" s="21" t="n">
        <v>0.0003</v>
      </c>
      <c r="G92" s="10" t="n">
        <v>1200</v>
      </c>
      <c r="H92" s="13" t="n">
        <v>0.003</v>
      </c>
      <c r="I92" s="18" t="n">
        <v>10950</v>
      </c>
      <c r="J92" s="20" t="n">
        <v>12</v>
      </c>
      <c r="K92" s="19">
        <f>(F92*G92*E92*J92)/(D92*I92)</f>
        <v/>
      </c>
      <c r="L92" s="2">
        <f>(F92*G92*E92*5)/(D92*I92)</f>
        <v/>
      </c>
      <c r="M92" s="2">
        <f>(F92*G92*E92*10)/(D92*I92)</f>
        <v/>
      </c>
      <c r="N92" s="2">
        <f>(F92*G92*E92*15)/(D92*I92)</f>
        <v/>
      </c>
      <c r="O92" s="2">
        <f>(F92*G92*E92*20)/(D92*I92)</f>
        <v/>
      </c>
      <c r="P92" s="2">
        <f>(F92*G92*E92*25)/(D92*I92)</f>
        <v/>
      </c>
      <c r="Q92" s="2">
        <f>(F92*G92*E92*30)/(D92*I92)</f>
        <v/>
      </c>
      <c r="R92" s="2">
        <f>K92/H92</f>
        <v/>
      </c>
      <c r="S92" s="2">
        <f>L92/H92</f>
        <v/>
      </c>
      <c r="T92" s="2">
        <f>M92/H92</f>
        <v/>
      </c>
      <c r="U92" s="2">
        <f>N92/H92</f>
        <v/>
      </c>
      <c r="V92" s="2">
        <f>O92/H92</f>
        <v/>
      </c>
      <c r="W92" s="2">
        <f>P92/H92</f>
        <v/>
      </c>
      <c r="X92" s="2">
        <f>Q92/H92</f>
        <v/>
      </c>
      <c r="Y92" s="5">
        <f>IF(R92&gt;1,"1","2")</f>
        <v/>
      </c>
      <c r="Z92" s="5">
        <f>IF(S92&gt;1,"1","2")</f>
        <v/>
      </c>
      <c r="AA92" s="5">
        <f>IF(T92&gt;1,"1","2")</f>
        <v/>
      </c>
      <c r="AB92" s="5">
        <f>IF(U92&gt;1,"1","2")</f>
        <v/>
      </c>
      <c r="AC92" s="5">
        <f>IF(V92&gt;1,"1","2")</f>
        <v/>
      </c>
      <c r="AD92" s="5">
        <f>IF(W92&gt;1,"1","2")</f>
        <v/>
      </c>
      <c r="AE92" s="5">
        <f>IF(X92&gt;1,"1","2")</f>
        <v/>
      </c>
      <c r="AF92" t="n">
        <v>-5.143158</v>
      </c>
      <c r="AG92" t="n">
        <v>119.428246</v>
      </c>
    </row>
    <row r="93" ht="14.4" customHeight="1">
      <c r="A93" s="14" t="n">
        <v>90</v>
      </c>
      <c r="B93" s="15" t="inlineStr">
        <is>
          <t>Ydh</t>
        </is>
      </c>
      <c r="C93" s="10" t="n">
        <v>12</v>
      </c>
      <c r="D93" s="10" t="n">
        <v>28</v>
      </c>
      <c r="E93" s="17" t="n">
        <v>365</v>
      </c>
      <c r="F93" s="21" t="n">
        <v>0.0098</v>
      </c>
      <c r="G93" s="10" t="n">
        <v>1800</v>
      </c>
      <c r="H93" s="13" t="n">
        <v>0.003</v>
      </c>
      <c r="I93" s="18" t="n">
        <v>10950</v>
      </c>
      <c r="J93" s="20" t="n">
        <v>12</v>
      </c>
      <c r="K93" s="19">
        <f>(F93*G93*E93*J93)/(D93*I93)</f>
        <v/>
      </c>
      <c r="L93" s="2">
        <f>(F93*G93*E93*5)/(D93*I93)</f>
        <v/>
      </c>
      <c r="M93" s="2">
        <f>(F93*G93*E93*10)/(D93*I93)</f>
        <v/>
      </c>
      <c r="N93" s="2">
        <f>(F93*G93*E93*15)/(D93*I93)</f>
        <v/>
      </c>
      <c r="O93" s="2">
        <f>(F93*G93*E93*20)/(D93*I93)</f>
        <v/>
      </c>
      <c r="P93" s="2">
        <f>(F93*G93*E93*25)/(D93*I93)</f>
        <v/>
      </c>
      <c r="Q93" s="2">
        <f>(F93*G93*E93*30)/(D93*I93)</f>
        <v/>
      </c>
      <c r="R93" s="2">
        <f>K93/H93</f>
        <v/>
      </c>
      <c r="S93" s="2">
        <f>L93/H93</f>
        <v/>
      </c>
      <c r="T93" s="2">
        <f>M93/H93</f>
        <v/>
      </c>
      <c r="U93" s="2">
        <f>N93/H93</f>
        <v/>
      </c>
      <c r="V93" s="2">
        <f>O93/H93</f>
        <v/>
      </c>
      <c r="W93" s="2">
        <f>P93/H93</f>
        <v/>
      </c>
      <c r="X93" s="2">
        <f>Q93/H93</f>
        <v/>
      </c>
      <c r="Y93" s="5">
        <f>IF(R93&gt;1,"1","2")</f>
        <v/>
      </c>
      <c r="Z93" s="5">
        <f>IF(S93&gt;1,"1","2")</f>
        <v/>
      </c>
      <c r="AA93" s="5">
        <f>IF(T93&gt;1,"1","2")</f>
        <v/>
      </c>
      <c r="AB93" s="5">
        <f>IF(U93&gt;1,"1","2")</f>
        <v/>
      </c>
      <c r="AC93" s="5">
        <f>IF(V93&gt;1,"1","2")</f>
        <v/>
      </c>
      <c r="AD93" s="5">
        <f>IF(W93&gt;1,"1","2")</f>
        <v/>
      </c>
      <c r="AE93" s="5">
        <f>IF(X93&gt;1,"1","2")</f>
        <v/>
      </c>
      <c r="AF93" t="n">
        <v>-5.123506</v>
      </c>
      <c r="AG93" t="n">
        <v>119.424717</v>
      </c>
    </row>
    <row r="94" ht="14.4" customHeight="1">
      <c r="A94" s="14" t="n">
        <v>91</v>
      </c>
      <c r="B94" s="15" t="inlineStr">
        <is>
          <t>Nur</t>
        </is>
      </c>
      <c r="C94" s="10" t="n">
        <v>12</v>
      </c>
      <c r="D94" s="10" t="n">
        <v>28</v>
      </c>
      <c r="E94" s="17" t="n">
        <v>365</v>
      </c>
      <c r="F94" s="21" t="n">
        <v>0.0022</v>
      </c>
      <c r="G94" s="10" t="n">
        <v>900</v>
      </c>
      <c r="H94" s="13" t="n">
        <v>0.003</v>
      </c>
      <c r="I94" s="18" t="n">
        <v>10950</v>
      </c>
      <c r="J94" s="20" t="n">
        <v>12</v>
      </c>
      <c r="K94" s="19">
        <f>(F94*G94*E94*J94)/(D94*I94)</f>
        <v/>
      </c>
      <c r="L94" s="2">
        <f>(F94*G94*E94*5)/(D94*I94)</f>
        <v/>
      </c>
      <c r="M94" s="2">
        <f>(F94*G94*E94*10)/(D94*I94)</f>
        <v/>
      </c>
      <c r="N94" s="2">
        <f>(F94*G94*E94*15)/(D94*I94)</f>
        <v/>
      </c>
      <c r="O94" s="2">
        <f>(F94*G94*E94*20)/(D94*I94)</f>
        <v/>
      </c>
      <c r="P94" s="2">
        <f>(F94*G94*E94*25)/(D94*I94)</f>
        <v/>
      </c>
      <c r="Q94" s="2">
        <f>(F94*G94*E94*30)/(D94*I94)</f>
        <v/>
      </c>
      <c r="R94" s="2">
        <f>K94/H94</f>
        <v/>
      </c>
      <c r="S94" s="2">
        <f>L94/H94</f>
        <v/>
      </c>
      <c r="T94" s="2">
        <f>M94/H94</f>
        <v/>
      </c>
      <c r="U94" s="2">
        <f>N94/H94</f>
        <v/>
      </c>
      <c r="V94" s="2">
        <f>O94/H94</f>
        <v/>
      </c>
      <c r="W94" s="2">
        <f>P94/H94</f>
        <v/>
      </c>
      <c r="X94" s="2">
        <f>Q94/H94</f>
        <v/>
      </c>
      <c r="Y94" s="5">
        <f>IF(R94&gt;1,"1","2")</f>
        <v/>
      </c>
      <c r="Z94" s="5">
        <f>IF(S94&gt;1,"1","2")</f>
        <v/>
      </c>
      <c r="AA94" s="5">
        <f>IF(T94&gt;1,"1","2")</f>
        <v/>
      </c>
      <c r="AB94" s="5">
        <f>IF(U94&gt;1,"1","2")</f>
        <v/>
      </c>
      <c r="AC94" s="5">
        <f>IF(V94&gt;1,"1","2")</f>
        <v/>
      </c>
      <c r="AD94" s="5">
        <f>IF(W94&gt;1,"1","2")</f>
        <v/>
      </c>
      <c r="AE94" s="5">
        <f>IF(X94&gt;1,"1","2")</f>
        <v/>
      </c>
      <c r="AF94" t="n">
        <v>-5.138128</v>
      </c>
      <c r="AG94" t="n">
        <v>119.406206</v>
      </c>
    </row>
    <row r="95" ht="14.4" customHeight="1">
      <c r="A95" s="14" t="n">
        <v>92</v>
      </c>
      <c r="B95" s="15" t="inlineStr">
        <is>
          <t>Cah</t>
        </is>
      </c>
      <c r="C95" s="10" t="n">
        <v>12</v>
      </c>
      <c r="D95" s="10" t="n">
        <v>40</v>
      </c>
      <c r="E95" s="17" t="n">
        <v>365</v>
      </c>
      <c r="F95" s="21" t="n">
        <v>0.0022</v>
      </c>
      <c r="G95" s="10" t="n">
        <v>1800</v>
      </c>
      <c r="H95" s="13" t="n">
        <v>0.003</v>
      </c>
      <c r="I95" s="18" t="n">
        <v>10950</v>
      </c>
      <c r="J95" s="20" t="n">
        <v>5</v>
      </c>
      <c r="K95" s="19">
        <f>(F95*G95*E95*J95)/(D95*I95)</f>
        <v/>
      </c>
      <c r="L95" s="2">
        <f>(F95*G95*E95*5)/(D95*I95)</f>
        <v/>
      </c>
      <c r="M95" s="2">
        <f>(F95*G95*E95*10)/(D95*I95)</f>
        <v/>
      </c>
      <c r="N95" s="2">
        <f>(F95*G95*E95*15)/(D95*I95)</f>
        <v/>
      </c>
      <c r="O95" s="2">
        <f>(F95*G95*E95*20)/(D95*I95)</f>
        <v/>
      </c>
      <c r="P95" s="2">
        <f>(F95*G95*E95*25)/(D95*I95)</f>
        <v/>
      </c>
      <c r="Q95" s="2">
        <f>(F95*G95*E95*30)/(D95*I95)</f>
        <v/>
      </c>
      <c r="R95" s="2">
        <f>K95/H95</f>
        <v/>
      </c>
      <c r="S95" s="2">
        <f>L95/H95</f>
        <v/>
      </c>
      <c r="T95" s="2">
        <f>M95/H95</f>
        <v/>
      </c>
      <c r="U95" s="2">
        <f>N95/H95</f>
        <v/>
      </c>
      <c r="V95" s="2">
        <f>O95/H95</f>
        <v/>
      </c>
      <c r="W95" s="2">
        <f>P95/H95</f>
        <v/>
      </c>
      <c r="X95" s="2">
        <f>Q95/H95</f>
        <v/>
      </c>
      <c r="Y95" s="5">
        <f>IF(R95&gt;1,"1","2")</f>
        <v/>
      </c>
      <c r="Z95" s="5">
        <f>IF(S95&gt;1,"1","2")</f>
        <v/>
      </c>
      <c r="AA95" s="5">
        <f>IF(T95&gt;1,"1","2")</f>
        <v/>
      </c>
      <c r="AB95" s="5">
        <f>IF(U95&gt;1,"1","2")</f>
        <v/>
      </c>
      <c r="AC95" s="5">
        <f>IF(V95&gt;1,"1","2")</f>
        <v/>
      </c>
      <c r="AD95" s="5">
        <f>IF(W95&gt;1,"1","2")</f>
        <v/>
      </c>
      <c r="AE95" s="5">
        <f>IF(X95&gt;1,"1","2")</f>
        <v/>
      </c>
      <c r="AF95" t="n">
        <v>-5.129594</v>
      </c>
      <c r="AG95" t="n">
        <v>119.425691</v>
      </c>
    </row>
    <row r="96" ht="14.4" customHeight="1">
      <c r="A96" s="14" t="n">
        <v>93</v>
      </c>
      <c r="B96" s="15" t="inlineStr">
        <is>
          <t>Srl</t>
        </is>
      </c>
      <c r="C96" s="10" t="n">
        <v>12</v>
      </c>
      <c r="D96" s="10" t="n">
        <v>23</v>
      </c>
      <c r="E96" s="17" t="n">
        <v>365</v>
      </c>
      <c r="F96" s="21" t="n">
        <v>0.0007</v>
      </c>
      <c r="G96" s="10" t="n">
        <v>900</v>
      </c>
      <c r="H96" s="13" t="n">
        <v>0.003</v>
      </c>
      <c r="I96" s="18" t="n">
        <v>10950</v>
      </c>
      <c r="J96" s="20" t="n">
        <v>12</v>
      </c>
      <c r="K96" s="19">
        <f>(F96*G96*E96*J96)/(D96*I96)</f>
        <v/>
      </c>
      <c r="L96" s="2">
        <f>(F96*G96*E96*5)/(D96*I96)</f>
        <v/>
      </c>
      <c r="M96" s="2">
        <f>(F96*G96*E96*10)/(D96*I96)</f>
        <v/>
      </c>
      <c r="N96" s="2">
        <f>(F96*G96*E96*15)/(D96*I96)</f>
        <v/>
      </c>
      <c r="O96" s="2">
        <f>(F96*G96*E96*20)/(D96*I96)</f>
        <v/>
      </c>
      <c r="P96" s="2">
        <f>(F96*G96*E96*25)/(D96*I96)</f>
        <v/>
      </c>
      <c r="Q96" s="2">
        <f>(F96*G96*E96*30)/(D96*I96)</f>
        <v/>
      </c>
      <c r="R96" s="2">
        <f>K96/H96</f>
        <v/>
      </c>
      <c r="S96" s="2">
        <f>L96/H96</f>
        <v/>
      </c>
      <c r="T96" s="2">
        <f>M96/H96</f>
        <v/>
      </c>
      <c r="U96" s="2">
        <f>N96/H96</f>
        <v/>
      </c>
      <c r="V96" s="2">
        <f>O96/H96</f>
        <v/>
      </c>
      <c r="W96" s="2">
        <f>P96/H96</f>
        <v/>
      </c>
      <c r="X96" s="2">
        <f>Q96/H96</f>
        <v/>
      </c>
      <c r="Y96" s="5">
        <f>IF(R96&gt;1,"1","2")</f>
        <v/>
      </c>
      <c r="Z96" s="5">
        <f>IF(S96&gt;1,"1","2")</f>
        <v/>
      </c>
      <c r="AA96" s="5">
        <f>IF(T96&gt;1,"1","2")</f>
        <v/>
      </c>
      <c r="AB96" s="5">
        <f>IF(U96&gt;1,"1","2")</f>
        <v/>
      </c>
      <c r="AC96" s="5">
        <f>IF(V96&gt;1,"1","2")</f>
        <v/>
      </c>
      <c r="AD96" s="5">
        <f>IF(W96&gt;1,"1","2")</f>
        <v/>
      </c>
      <c r="AE96" s="5">
        <f>IF(X96&gt;1,"1","2")</f>
        <v/>
      </c>
      <c r="AF96" t="n">
        <v>-5.145176</v>
      </c>
      <c r="AG96" t="n">
        <v>119.445381</v>
      </c>
    </row>
    <row r="97" ht="14.4" customHeight="1">
      <c r="A97" s="14" t="n">
        <v>94</v>
      </c>
      <c r="B97" s="15" t="inlineStr">
        <is>
          <t>Afn</t>
        </is>
      </c>
      <c r="C97" s="10" t="n">
        <v>12</v>
      </c>
      <c r="D97" s="10" t="n">
        <v>25</v>
      </c>
      <c r="E97" s="17" t="n">
        <v>365</v>
      </c>
      <c r="F97" s="21" t="n">
        <v>0.0005999999999999999</v>
      </c>
      <c r="G97" s="10" t="n">
        <v>900</v>
      </c>
      <c r="H97" s="13" t="n">
        <v>0.003</v>
      </c>
      <c r="I97" s="18" t="n">
        <v>10950</v>
      </c>
      <c r="J97" s="20" t="n">
        <v>12</v>
      </c>
      <c r="K97" s="19">
        <f>(F97*G97*E97*J97)/(D97*I97)</f>
        <v/>
      </c>
      <c r="L97" s="2">
        <f>(F97*G97*E97*5)/(D97*I97)</f>
        <v/>
      </c>
      <c r="M97" s="2">
        <f>(F97*G97*E97*10)/(D97*I97)</f>
        <v/>
      </c>
      <c r="N97" s="2">
        <f>(F97*G97*E97*15)/(D97*I97)</f>
        <v/>
      </c>
      <c r="O97" s="2">
        <f>(F97*G97*E97*20)/(D97*I97)</f>
        <v/>
      </c>
      <c r="P97" s="2">
        <f>(F97*G97*E97*25)/(D97*I97)</f>
        <v/>
      </c>
      <c r="Q97" s="2">
        <f>(F97*G97*E97*30)/(D97*I97)</f>
        <v/>
      </c>
      <c r="R97" s="2">
        <f>K97/H97</f>
        <v/>
      </c>
      <c r="S97" s="2">
        <f>L97/H97</f>
        <v/>
      </c>
      <c r="T97" s="2">
        <f>M97/H97</f>
        <v/>
      </c>
      <c r="U97" s="2">
        <f>N97/H97</f>
        <v/>
      </c>
      <c r="V97" s="2">
        <f>O97/H97</f>
        <v/>
      </c>
      <c r="W97" s="2">
        <f>P97/H97</f>
        <v/>
      </c>
      <c r="X97" s="2">
        <f>Q97/H97</f>
        <v/>
      </c>
      <c r="Y97" s="5">
        <f>IF(R97&gt;1,"1","2")</f>
        <v/>
      </c>
      <c r="Z97" s="5">
        <f>IF(S97&gt;1,"1","2")</f>
        <v/>
      </c>
      <c r="AA97" s="5">
        <f>IF(T97&gt;1,"1","2")</f>
        <v/>
      </c>
      <c r="AB97" s="5">
        <f>IF(U97&gt;1,"1","2")</f>
        <v/>
      </c>
      <c r="AC97" s="5">
        <f>IF(V97&gt;1,"1","2")</f>
        <v/>
      </c>
      <c r="AD97" s="5">
        <f>IF(W97&gt;1,"1","2")</f>
        <v/>
      </c>
      <c r="AE97" s="5">
        <f>IF(X97&gt;1,"1","2")</f>
        <v/>
      </c>
      <c r="AF97" t="n">
        <v>-5.152219</v>
      </c>
      <c r="AG97" t="n">
        <v>119.440304</v>
      </c>
    </row>
    <row r="98" ht="14.4" customHeight="1">
      <c r="A98" s="14" t="n">
        <v>95</v>
      </c>
      <c r="B98" s="15" t="inlineStr">
        <is>
          <t>Mad</t>
        </is>
      </c>
      <c r="C98" s="10" t="n">
        <v>12</v>
      </c>
      <c r="D98" s="10" t="n">
        <v>28</v>
      </c>
      <c r="E98" s="17" t="n">
        <v>365</v>
      </c>
      <c r="F98" s="21" t="n">
        <v>0.0011</v>
      </c>
      <c r="G98" s="10" t="n">
        <v>900</v>
      </c>
      <c r="H98" s="13" t="n">
        <v>0.003</v>
      </c>
      <c r="I98" s="18" t="n">
        <v>10950</v>
      </c>
      <c r="J98" s="20" t="n">
        <v>12</v>
      </c>
      <c r="K98" s="19">
        <f>(F98*G98*E98*J98)/(D98*I98)</f>
        <v/>
      </c>
      <c r="L98" s="2">
        <f>(F98*G98*E98*5)/(D98*I98)</f>
        <v/>
      </c>
      <c r="M98" s="2">
        <f>(F98*G98*E98*10)/(D98*I98)</f>
        <v/>
      </c>
      <c r="N98" s="2">
        <f>(F98*G98*E98*15)/(D98*I98)</f>
        <v/>
      </c>
      <c r="O98" s="2">
        <f>(F98*G98*E98*20)/(D98*I98)</f>
        <v/>
      </c>
      <c r="P98" s="2">
        <f>(F98*G98*E98*25)/(D98*I98)</f>
        <v/>
      </c>
      <c r="Q98" s="2">
        <f>(F98*G98*E98*30)/(D98*I98)</f>
        <v/>
      </c>
      <c r="R98" s="2">
        <f>K98/H98</f>
        <v/>
      </c>
      <c r="S98" s="2">
        <f>L98/H98</f>
        <v/>
      </c>
      <c r="T98" s="2">
        <f>M98/H98</f>
        <v/>
      </c>
      <c r="U98" s="2">
        <f>N98/H98</f>
        <v/>
      </c>
      <c r="V98" s="2">
        <f>O98/H98</f>
        <v/>
      </c>
      <c r="W98" s="2">
        <f>P98/H98</f>
        <v/>
      </c>
      <c r="X98" s="2">
        <f>Q98/H98</f>
        <v/>
      </c>
      <c r="Y98" s="5">
        <f>IF(R98&gt;1,"1","2")</f>
        <v/>
      </c>
      <c r="Z98" s="5">
        <f>IF(S98&gt;1,"1","2")</f>
        <v/>
      </c>
      <c r="AA98" s="5">
        <f>IF(T98&gt;1,"1","2")</f>
        <v/>
      </c>
      <c r="AB98" s="5">
        <f>IF(U98&gt;1,"1","2")</f>
        <v/>
      </c>
      <c r="AC98" s="5">
        <f>IF(V98&gt;1,"1","2")</f>
        <v/>
      </c>
      <c r="AD98" s="5">
        <f>IF(W98&gt;1,"1","2")</f>
        <v/>
      </c>
      <c r="AE98" s="5">
        <f>IF(X98&gt;1,"1","2")</f>
        <v/>
      </c>
      <c r="AF98" t="n">
        <v>-5.145744</v>
      </c>
      <c r="AG98" t="n">
        <v>119.441558</v>
      </c>
    </row>
    <row r="99" ht="14.4" customHeight="1">
      <c r="A99" s="14" t="n">
        <v>96</v>
      </c>
      <c r="B99" s="15" t="inlineStr">
        <is>
          <t>Nas</t>
        </is>
      </c>
      <c r="C99" s="10" t="n">
        <v>12</v>
      </c>
      <c r="D99" s="10" t="n">
        <v>40</v>
      </c>
      <c r="E99" s="17" t="n">
        <v>365</v>
      </c>
      <c r="F99" s="21" t="n">
        <v>0.0011</v>
      </c>
      <c r="G99" s="10" t="n">
        <v>1800</v>
      </c>
      <c r="H99" s="13" t="n">
        <v>0.003</v>
      </c>
      <c r="I99" s="18" t="n">
        <v>10950</v>
      </c>
      <c r="J99" s="20" t="n">
        <v>5</v>
      </c>
      <c r="K99" s="19">
        <f>(F99*G99*E99*J99)/(D99*I99)</f>
        <v/>
      </c>
      <c r="L99" s="2">
        <f>(F99*G99*E99*5)/(D99*I99)</f>
        <v/>
      </c>
      <c r="M99" s="2">
        <f>(F99*G99*E99*10)/(D99*I99)</f>
        <v/>
      </c>
      <c r="N99" s="2">
        <f>(F99*G99*E99*15)/(D99*I99)</f>
        <v/>
      </c>
      <c r="O99" s="2">
        <f>(F99*G99*E99*20)/(D99*I99)</f>
        <v/>
      </c>
      <c r="P99" s="2">
        <f>(F99*G99*E99*25)/(D99*I99)</f>
        <v/>
      </c>
      <c r="Q99" s="2">
        <f>(F99*G99*E99*30)/(D99*I99)</f>
        <v/>
      </c>
      <c r="R99" s="2">
        <f>K99/H99</f>
        <v/>
      </c>
      <c r="S99" s="2">
        <f>L99/H99</f>
        <v/>
      </c>
      <c r="T99" s="2">
        <f>M99/H99</f>
        <v/>
      </c>
      <c r="U99" s="2">
        <f>N99/H99</f>
        <v/>
      </c>
      <c r="V99" s="2">
        <f>O99/H99</f>
        <v/>
      </c>
      <c r="W99" s="2">
        <f>P99/H99</f>
        <v/>
      </c>
      <c r="X99" s="2">
        <f>Q99/H99</f>
        <v/>
      </c>
      <c r="Y99" s="5">
        <f>IF(R99&gt;1,"1","2")</f>
        <v/>
      </c>
      <c r="Z99" s="5">
        <f>IF(S99&gt;1,"1","2")</f>
        <v/>
      </c>
      <c r="AA99" s="5">
        <f>IF(T99&gt;1,"1","2")</f>
        <v/>
      </c>
      <c r="AB99" s="5">
        <f>IF(U99&gt;1,"1","2")</f>
        <v/>
      </c>
      <c r="AC99" s="5">
        <f>IF(V99&gt;1,"1","2")</f>
        <v/>
      </c>
      <c r="AD99" s="5">
        <f>IF(W99&gt;1,"1","2")</f>
        <v/>
      </c>
      <c r="AE99" s="5">
        <f>IF(X99&gt;1,"1","2")</f>
        <v/>
      </c>
      <c r="AF99" t="n">
        <v>-5.143841</v>
      </c>
      <c r="AG99" t="n">
        <v>119.410004</v>
      </c>
    </row>
    <row r="100" ht="14.4" customHeight="1">
      <c r="A100" s="14" t="n">
        <v>97</v>
      </c>
      <c r="B100" s="15" t="inlineStr">
        <is>
          <t>Dat</t>
        </is>
      </c>
      <c r="C100" s="10" t="n">
        <v>12</v>
      </c>
      <c r="D100" s="10" t="n">
        <v>28</v>
      </c>
      <c r="E100" s="17" t="n">
        <v>365</v>
      </c>
      <c r="F100" s="21" t="n">
        <v>0.0011</v>
      </c>
      <c r="G100" s="10" t="n">
        <v>900</v>
      </c>
      <c r="H100" s="13" t="n">
        <v>0.003</v>
      </c>
      <c r="I100" s="18" t="n">
        <v>10950</v>
      </c>
      <c r="J100" s="20" t="n">
        <v>12</v>
      </c>
      <c r="K100" s="19">
        <f>(F100*G100*E100*J100)/(D100*I100)</f>
        <v/>
      </c>
      <c r="L100" s="2">
        <f>(F100*G100*E100*5)/(D100*I100)</f>
        <v/>
      </c>
      <c r="M100" s="2">
        <f>(F100*G100*E100*10)/(D100*I100)</f>
        <v/>
      </c>
      <c r="N100" s="2">
        <f>(F100*G100*E100*15)/(D100*I100)</f>
        <v/>
      </c>
      <c r="O100" s="2">
        <f>(F100*G100*E100*20)/(D100*I100)</f>
        <v/>
      </c>
      <c r="P100" s="2">
        <f>(F100*G100*E100*25)/(D100*I100)</f>
        <v/>
      </c>
      <c r="Q100" s="2">
        <f>(F100*G100*E100*30)/(D100*I100)</f>
        <v/>
      </c>
      <c r="R100" s="2">
        <f>K100/H100</f>
        <v/>
      </c>
      <c r="S100" s="2">
        <f>L100/H100</f>
        <v/>
      </c>
      <c r="T100" s="2">
        <f>M100/H100</f>
        <v/>
      </c>
      <c r="U100" s="2">
        <f>N100/H100</f>
        <v/>
      </c>
      <c r="V100" s="2">
        <f>O100/H100</f>
        <v/>
      </c>
      <c r="W100" s="2">
        <f>P100/H100</f>
        <v/>
      </c>
      <c r="X100" s="2">
        <f>Q100/H100</f>
        <v/>
      </c>
      <c r="Y100" s="5">
        <f>IF(R100&gt;1,"1","2")</f>
        <v/>
      </c>
      <c r="Z100" s="5">
        <f>IF(S100&gt;1,"1","2")</f>
        <v/>
      </c>
      <c r="AA100" s="5">
        <f>IF(T100&gt;1,"1","2")</f>
        <v/>
      </c>
      <c r="AB100" s="5">
        <f>IF(U100&gt;1,"1","2")</f>
        <v/>
      </c>
      <c r="AC100" s="5">
        <f>IF(V100&gt;1,"1","2")</f>
        <v/>
      </c>
      <c r="AD100" s="5">
        <f>IF(W100&gt;1,"1","2")</f>
        <v/>
      </c>
      <c r="AE100" s="5">
        <f>IF(X100&gt;1,"1","2")</f>
        <v/>
      </c>
      <c r="AF100" t="n">
        <v>-5.154173</v>
      </c>
      <c r="AG100" t="n">
        <v>119.422746</v>
      </c>
    </row>
    <row r="101" ht="14.4" customHeight="1">
      <c r="A101" s="14" t="n">
        <v>98</v>
      </c>
      <c r="B101" s="15" t="inlineStr">
        <is>
          <t>Nas</t>
        </is>
      </c>
      <c r="C101" s="10" t="n">
        <v>12</v>
      </c>
      <c r="D101" s="10" t="n">
        <v>40</v>
      </c>
      <c r="E101" s="17" t="n">
        <v>365</v>
      </c>
      <c r="F101" s="21" t="n">
        <v>0.0016</v>
      </c>
      <c r="G101" s="10" t="n">
        <v>1800</v>
      </c>
      <c r="H101" s="13" t="n">
        <v>0.003</v>
      </c>
      <c r="I101" s="18" t="n">
        <v>10950</v>
      </c>
      <c r="J101" s="20" t="n">
        <v>5</v>
      </c>
      <c r="K101" s="19">
        <f>(F101*G101*E101*J101)/(D101*I101)</f>
        <v/>
      </c>
      <c r="L101" s="2">
        <f>(F101*G101*E101*5)/(D101*I101)</f>
        <v/>
      </c>
      <c r="M101" s="2">
        <f>(F101*G101*E101*10)/(D101*I101)</f>
        <v/>
      </c>
      <c r="N101" s="2">
        <f>(F101*G101*E101*15)/(D101*I101)</f>
        <v/>
      </c>
      <c r="O101" s="2">
        <f>(F101*G101*E101*20)/(D101*I101)</f>
        <v/>
      </c>
      <c r="P101" s="2">
        <f>(F101*G101*E101*25)/(D101*I101)</f>
        <v/>
      </c>
      <c r="Q101" s="2">
        <f>(F101*G101*E101*30)/(D101*I101)</f>
        <v/>
      </c>
      <c r="R101" s="2">
        <f>K101/H101</f>
        <v/>
      </c>
      <c r="S101" s="2">
        <f>L101/H101</f>
        <v/>
      </c>
      <c r="T101" s="2">
        <f>M101/H101</f>
        <v/>
      </c>
      <c r="U101" s="2">
        <f>N101/H101</f>
        <v/>
      </c>
      <c r="V101" s="2">
        <f>O101/H101</f>
        <v/>
      </c>
      <c r="W101" s="2">
        <f>P101/H101</f>
        <v/>
      </c>
      <c r="X101" s="2">
        <f>Q101/H101</f>
        <v/>
      </c>
      <c r="Y101" s="5">
        <f>IF(R101&gt;1,"1","2")</f>
        <v/>
      </c>
      <c r="Z101" s="5">
        <f>IF(S101&gt;1,"1","2")</f>
        <v/>
      </c>
      <c r="AA101" s="5">
        <f>IF(T101&gt;1,"1","2")</f>
        <v/>
      </c>
      <c r="AB101" s="5">
        <f>IF(U101&gt;1,"1","2")</f>
        <v/>
      </c>
      <c r="AC101" s="5">
        <f>IF(V101&gt;1,"1","2")</f>
        <v/>
      </c>
      <c r="AD101" s="5">
        <f>IF(W101&gt;1,"1","2")</f>
        <v/>
      </c>
      <c r="AE101" s="5">
        <f>IF(X101&gt;1,"1","2")</f>
        <v/>
      </c>
      <c r="AF101" t="n">
        <v>-5.136754</v>
      </c>
      <c r="AG101" t="n">
        <v>119.409738</v>
      </c>
    </row>
    <row r="102" ht="14.4" customHeight="1">
      <c r="A102" s="14" t="n">
        <v>99</v>
      </c>
      <c r="B102" s="15" t="inlineStr">
        <is>
          <t>Dan</t>
        </is>
      </c>
      <c r="C102" s="10" t="n">
        <v>12</v>
      </c>
      <c r="D102" s="10" t="n">
        <v>28</v>
      </c>
      <c r="E102" s="17" t="n">
        <v>365</v>
      </c>
      <c r="F102" s="21" t="n">
        <v>0.0003</v>
      </c>
      <c r="G102" s="10" t="n">
        <v>1800</v>
      </c>
      <c r="H102" s="13" t="n">
        <v>0.003</v>
      </c>
      <c r="I102" s="18" t="n">
        <v>10950</v>
      </c>
      <c r="J102" s="20" t="n">
        <v>12</v>
      </c>
      <c r="K102" s="19">
        <f>(F102*G102*E102*J102)/(D102*I102)</f>
        <v/>
      </c>
      <c r="L102" s="2">
        <f>(F102*G102*E102*5)/(D102*I102)</f>
        <v/>
      </c>
      <c r="M102" s="2">
        <f>(F102*G102*E102*10)/(D102*I102)</f>
        <v/>
      </c>
      <c r="N102" s="2">
        <f>(F102*G102*E102*15)/(D102*I102)</f>
        <v/>
      </c>
      <c r="O102" s="2">
        <f>(F102*G102*E102*20)/(D102*I102)</f>
        <v/>
      </c>
      <c r="P102" s="2">
        <f>(F102*G102*E102*25)/(D102*I102)</f>
        <v/>
      </c>
      <c r="Q102" s="2">
        <f>(F102*G102*E102*30)/(D102*I102)</f>
        <v/>
      </c>
      <c r="R102" s="2">
        <f>K102/H102</f>
        <v/>
      </c>
      <c r="S102" s="2">
        <f>L102/H102</f>
        <v/>
      </c>
      <c r="T102" s="2">
        <f>M102/H102</f>
        <v/>
      </c>
      <c r="U102" s="2">
        <f>N102/H102</f>
        <v/>
      </c>
      <c r="V102" s="2">
        <f>O102/H102</f>
        <v/>
      </c>
      <c r="W102" s="2">
        <f>P102/H102</f>
        <v/>
      </c>
      <c r="X102" s="2">
        <f>Q102/H102</f>
        <v/>
      </c>
      <c r="Y102" s="5">
        <f>IF(R102&gt;1,"1","2")</f>
        <v/>
      </c>
      <c r="Z102" s="5">
        <f>IF(S102&gt;1,"1","2")</f>
        <v/>
      </c>
      <c r="AA102" s="5">
        <f>IF(T102&gt;1,"1","2")</f>
        <v/>
      </c>
      <c r="AB102" s="5">
        <f>IF(U102&gt;1,"1","2")</f>
        <v/>
      </c>
      <c r="AC102" s="5">
        <f>IF(V102&gt;1,"1","2")</f>
        <v/>
      </c>
      <c r="AD102" s="5">
        <f>IF(W102&gt;1,"1","2")</f>
        <v/>
      </c>
      <c r="AE102" s="5">
        <f>IF(X102&gt;1,"1","2")</f>
        <v/>
      </c>
      <c r="AF102" t="n">
        <v>-5.154073</v>
      </c>
      <c r="AG102" t="n">
        <v>119.430798</v>
      </c>
    </row>
    <row r="103" ht="14.4" customHeight="1">
      <c r="A103" s="14" t="n">
        <v>100</v>
      </c>
      <c r="B103" s="15" t="inlineStr">
        <is>
          <t>Adm</t>
        </is>
      </c>
      <c r="C103" s="10" t="n">
        <v>12</v>
      </c>
      <c r="D103" s="10" t="n">
        <v>28</v>
      </c>
      <c r="E103" s="17" t="n">
        <v>365</v>
      </c>
      <c r="F103" s="21" t="n">
        <v>0.0013</v>
      </c>
      <c r="G103" s="10" t="n">
        <v>900</v>
      </c>
      <c r="H103" s="13" t="n">
        <v>0.003</v>
      </c>
      <c r="I103" s="18" t="n">
        <v>10950</v>
      </c>
      <c r="J103" s="20" t="n">
        <v>12</v>
      </c>
      <c r="K103" s="19">
        <f>(F103*G103*E103*J103)/(D103*I103)</f>
        <v/>
      </c>
      <c r="L103" s="2">
        <f>(F103*G103*E103*5)/(D103*I103)</f>
        <v/>
      </c>
      <c r="M103" s="2">
        <f>(F103*G103*E103*10)/(D103*I103)</f>
        <v/>
      </c>
      <c r="N103" s="2">
        <f>(F103*G103*E103*15)/(D103*I103)</f>
        <v/>
      </c>
      <c r="O103" s="2">
        <f>(F103*G103*E103*20)/(D103*I103)</f>
        <v/>
      </c>
      <c r="P103" s="2">
        <f>(F103*G103*E103*25)/(D103*I103)</f>
        <v/>
      </c>
      <c r="Q103" s="2">
        <f>(F103*G103*E103*30)/(D103*I103)</f>
        <v/>
      </c>
      <c r="R103" s="2">
        <f>K103/H103</f>
        <v/>
      </c>
      <c r="S103" s="2">
        <f>L103/H103</f>
        <v/>
      </c>
      <c r="T103" s="2">
        <f>M103/H103</f>
        <v/>
      </c>
      <c r="U103" s="2">
        <f>N103/H103</f>
        <v/>
      </c>
      <c r="V103" s="2">
        <f>O103/H103</f>
        <v/>
      </c>
      <c r="W103" s="2">
        <f>P103/H103</f>
        <v/>
      </c>
      <c r="X103" s="2">
        <f>Q103/H103</f>
        <v/>
      </c>
      <c r="Y103" s="5">
        <f>IF(R103&gt;1,"1","2")</f>
        <v/>
      </c>
      <c r="Z103" s="5">
        <f>IF(S103&gt;1,"1","2")</f>
        <v/>
      </c>
      <c r="AA103" s="5">
        <f>IF(T103&gt;1,"1","2")</f>
        <v/>
      </c>
      <c r="AB103" s="5">
        <f>IF(U103&gt;1,"1","2")</f>
        <v/>
      </c>
      <c r="AC103" s="5">
        <f>IF(V103&gt;1,"1","2")</f>
        <v/>
      </c>
      <c r="AD103" s="5">
        <f>IF(W103&gt;1,"1","2")</f>
        <v/>
      </c>
      <c r="AE103" s="5">
        <f>IF(X103&gt;1,"1","2")</f>
        <v/>
      </c>
      <c r="AF103" t="n">
        <v>-5.120838</v>
      </c>
      <c r="AG103" t="n">
        <v>119.422815</v>
      </c>
    </row>
    <row r="104"/>
    <row r="105">
      <c r="A105" s="3" t="inlineStr">
        <is>
          <t>Interpretasi RQ</t>
        </is>
      </c>
      <c r="AF105" t="n">
        <v>-5.124876</v>
      </c>
      <c r="AG105" t="n">
        <v>119.417456</v>
      </c>
    </row>
    <row r="106">
      <c r="A106" s="3" t="inlineStr">
        <is>
          <t>1: Tidak aman</t>
        </is>
      </c>
      <c r="AF106" t="n">
        <v>-5.131573</v>
      </c>
      <c r="AG106" t="n">
        <v>119.445055</v>
      </c>
    </row>
    <row r="107">
      <c r="A107" s="3" t="inlineStr">
        <is>
          <t>2: Aman</t>
        </is>
      </c>
      <c r="AF107" t="n">
        <v>-5.150141</v>
      </c>
      <c r="AG107" t="n">
        <v>119.429064</v>
      </c>
    </row>
  </sheetData>
  <mergeCells count="31">
    <mergeCell ref="AB1:AB2"/>
    <mergeCell ref="AD1:AD2"/>
    <mergeCell ref="C1:C2"/>
    <mergeCell ref="V1:V2"/>
    <mergeCell ref="K1:K2"/>
    <mergeCell ref="E1:E2"/>
    <mergeCell ref="M1:M2"/>
    <mergeCell ref="O1:O2"/>
    <mergeCell ref="Q1:Q2"/>
    <mergeCell ref="W1:W2"/>
    <mergeCell ref="Y1:Y2"/>
    <mergeCell ref="AA1:AA2"/>
    <mergeCell ref="B1:B2"/>
    <mergeCell ref="AC1:AC2"/>
    <mergeCell ref="L1:L2"/>
    <mergeCell ref="N1:N2"/>
    <mergeCell ref="AE1:AE2"/>
    <mergeCell ref="T1:T2"/>
    <mergeCell ref="X1:X2"/>
    <mergeCell ref="G1:G2"/>
    <mergeCell ref="Z1:Z2"/>
    <mergeCell ref="I1:I2"/>
    <mergeCell ref="S1:S2"/>
    <mergeCell ref="U1:U2"/>
    <mergeCell ref="D1:D2"/>
    <mergeCell ref="R1:R2"/>
    <mergeCell ref="F1:F2"/>
    <mergeCell ref="H1:H2"/>
    <mergeCell ref="J1:J2"/>
    <mergeCell ref="P1:P2"/>
    <mergeCell ref="A1:A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ZJ107"/>
  <sheetViews>
    <sheetView workbookViewId="0">
      <selection activeCell="F4" sqref="F4"/>
    </sheetView>
  </sheetViews>
  <sheetFormatPr baseColWidth="8" defaultColWidth="9.109375" defaultRowHeight="13.8"/>
  <cols>
    <col width="5.33203125" customWidth="1" style="3" min="1" max="1"/>
    <col width="15.6640625" customWidth="1" style="3" min="2" max="2"/>
    <col width="8.33203125" customWidth="1" style="3" min="3" max="4"/>
    <col width="5" customWidth="1" style="6" min="5" max="5"/>
    <col width="10.6640625" customWidth="1" style="3" min="6" max="6"/>
    <col width="9.109375" customWidth="1" style="3" min="7" max="10"/>
    <col width="10" bestFit="1" customWidth="1" style="3" min="11" max="11"/>
    <col width="10.88671875" customWidth="1" style="3" min="12" max="25"/>
    <col width="9.5546875" bestFit="1" customWidth="1" style="3" min="26" max="26"/>
    <col width="9.109375" customWidth="1" style="3" min="27" max="16384"/>
  </cols>
  <sheetData>
    <row r="1" ht="15" customHeight="1">
      <c r="A1" s="25" t="inlineStr">
        <is>
          <t>No</t>
        </is>
      </c>
      <c r="B1" s="26" t="inlineStr">
        <is>
          <t>Responden</t>
        </is>
      </c>
      <c r="C1" s="26" t="inlineStr">
        <is>
          <t>Umur</t>
        </is>
      </c>
      <c r="D1" s="26" t="inlineStr">
        <is>
          <t>Wb</t>
        </is>
      </c>
      <c r="E1" s="26" t="inlineStr">
        <is>
          <t>f</t>
        </is>
      </c>
      <c r="F1" s="23" t="inlineStr">
        <is>
          <t>C</t>
        </is>
      </c>
      <c r="G1" s="23" t="inlineStr">
        <is>
          <t>R</t>
        </is>
      </c>
      <c r="H1" s="23" t="inlineStr">
        <is>
          <t>RfD</t>
        </is>
      </c>
      <c r="I1" s="26" t="inlineStr">
        <is>
          <t>tavg</t>
        </is>
      </c>
      <c r="J1" s="23" t="inlineStr">
        <is>
          <t>Dt (realtime)</t>
        </is>
      </c>
      <c r="K1" s="23" t="inlineStr">
        <is>
          <t>Intake (Dt= realtime)</t>
        </is>
      </c>
      <c r="L1" s="23" t="inlineStr">
        <is>
          <t>Intake (Dt=5th)</t>
        </is>
      </c>
      <c r="M1" s="23" t="inlineStr">
        <is>
          <t>Intake (Dt=10th)</t>
        </is>
      </c>
      <c r="N1" s="23" t="inlineStr">
        <is>
          <t>Intake (Dt=15th)</t>
        </is>
      </c>
      <c r="O1" s="23" t="inlineStr">
        <is>
          <t>Intake (Dt=20th)</t>
        </is>
      </c>
      <c r="P1" s="23" t="inlineStr">
        <is>
          <t>Intake (Dt=25th)</t>
        </is>
      </c>
      <c r="Q1" s="23" t="inlineStr">
        <is>
          <t>Intake (Dt=30th)</t>
        </is>
      </c>
      <c r="R1" s="23" t="inlineStr">
        <is>
          <t>RQ (Dt=realtime)</t>
        </is>
      </c>
      <c r="S1" s="23" t="inlineStr">
        <is>
          <t>RQ (Dt=5th)</t>
        </is>
      </c>
      <c r="T1" s="23" t="inlineStr">
        <is>
          <t>RQ (Dt=10th)</t>
        </is>
      </c>
      <c r="U1" s="23" t="inlineStr">
        <is>
          <t>RQ (Dt=15th)</t>
        </is>
      </c>
      <c r="V1" s="23" t="inlineStr">
        <is>
          <t>RQ (Dt=20th)</t>
        </is>
      </c>
      <c r="W1" s="23" t="inlineStr">
        <is>
          <t>RQ (Dt=25th)</t>
        </is>
      </c>
      <c r="X1" s="23" t="inlineStr">
        <is>
          <t>RQ (Dt=30th)</t>
        </is>
      </c>
      <c r="Y1" s="23" t="inlineStr">
        <is>
          <t>Interpretasi RQ (realtime)</t>
        </is>
      </c>
      <c r="Z1" s="23" t="inlineStr">
        <is>
          <t>Interpretasi RQ (5 tahun)</t>
        </is>
      </c>
      <c r="AA1" s="23" t="inlineStr">
        <is>
          <t>Interpretasi RQ (10 tahun)</t>
        </is>
      </c>
      <c r="AB1" s="23" t="inlineStr">
        <is>
          <t>Interpretasi RQ (15 tahun)</t>
        </is>
      </c>
      <c r="AC1" s="23" t="inlineStr">
        <is>
          <t>Interpretasi RQ (20 tahun)</t>
        </is>
      </c>
      <c r="AD1" s="23" t="inlineStr">
        <is>
          <t>Interpretasi RQ (25 tahun)</t>
        </is>
      </c>
      <c r="AE1" s="23" t="inlineStr">
        <is>
          <t>Interpretasi RQ (30 tahun)</t>
        </is>
      </c>
      <c r="AF1" t="inlineStr">
        <is>
          <t>Latitude</t>
        </is>
      </c>
      <c r="AG1" t="inlineStr">
        <is>
          <t>Longitude</t>
        </is>
      </c>
    </row>
    <row r="2" ht="30.75" customHeight="1">
      <c r="A2" s="29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</row>
    <row r="3" ht="13.2" customFormat="1" customHeight="1" s="9">
      <c r="A3" s="7" t="n">
        <v>1</v>
      </c>
      <c r="B3" s="8" t="n">
        <v>2</v>
      </c>
      <c r="C3" s="7" t="n">
        <v>3</v>
      </c>
      <c r="D3" s="8" t="n">
        <v>4</v>
      </c>
      <c r="E3" s="7" t="n">
        <v>5</v>
      </c>
      <c r="F3" s="8" t="n">
        <v>6</v>
      </c>
      <c r="G3" s="7" t="n">
        <v>7</v>
      </c>
      <c r="H3" s="8" t="n">
        <v>8</v>
      </c>
      <c r="I3" s="7" t="n">
        <v>9</v>
      </c>
      <c r="J3" s="8" t="n">
        <v>10</v>
      </c>
      <c r="K3" s="7" t="n">
        <v>11</v>
      </c>
      <c r="L3" s="8" t="n">
        <v>12</v>
      </c>
      <c r="M3" s="7" t="n">
        <v>13</v>
      </c>
      <c r="N3" s="8" t="n">
        <v>14</v>
      </c>
      <c r="O3" s="7" t="n">
        <v>15</v>
      </c>
      <c r="P3" s="8" t="n">
        <v>16</v>
      </c>
      <c r="Q3" s="7" t="n">
        <v>17</v>
      </c>
      <c r="R3" s="8" t="n">
        <v>18</v>
      </c>
      <c r="S3" s="7" t="n">
        <v>19</v>
      </c>
      <c r="T3" s="8" t="n">
        <v>20</v>
      </c>
      <c r="U3" s="7" t="n">
        <v>21</v>
      </c>
      <c r="V3" s="8" t="n">
        <v>22</v>
      </c>
      <c r="W3" s="7" t="n">
        <v>23</v>
      </c>
      <c r="X3" s="8" t="n">
        <v>24</v>
      </c>
      <c r="Y3" s="7" t="n">
        <v>25</v>
      </c>
      <c r="Z3" s="8" t="n">
        <v>26</v>
      </c>
      <c r="AA3" s="7" t="n">
        <v>27</v>
      </c>
      <c r="AB3" s="8" t="n">
        <v>28</v>
      </c>
      <c r="AC3" s="7" t="n">
        <v>29</v>
      </c>
      <c r="AD3" s="8" t="n">
        <v>30</v>
      </c>
      <c r="AE3" s="7" t="n">
        <v>31</v>
      </c>
      <c r="AF3" s="11" t="n">
        <v>-5.150481</v>
      </c>
      <c r="AG3" s="11" t="n">
        <v>119.427211</v>
      </c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n"/>
      <c r="CD3" s="11" t="n"/>
      <c r="CE3" s="11" t="n"/>
      <c r="CF3" s="11" t="n"/>
      <c r="CG3" s="11" t="n"/>
      <c r="CH3" s="11" t="n"/>
      <c r="CI3" s="11" t="n"/>
      <c r="CJ3" s="11" t="n"/>
      <c r="CK3" s="11" t="n"/>
      <c r="CL3" s="11" t="n"/>
      <c r="CM3" s="11" t="n"/>
      <c r="CN3" s="11" t="n"/>
      <c r="CO3" s="11" t="n"/>
      <c r="CP3" s="11" t="n"/>
      <c r="CQ3" s="11" t="n"/>
      <c r="CR3" s="11" t="n"/>
      <c r="CS3" s="11" t="n"/>
      <c r="CT3" s="11" t="n"/>
      <c r="CU3" s="11" t="n"/>
      <c r="CV3" s="11" t="n"/>
      <c r="CW3" s="11" t="n"/>
      <c r="CX3" s="11" t="n"/>
      <c r="CY3" s="11" t="n"/>
      <c r="CZ3" s="11" t="n"/>
      <c r="DA3" s="11" t="n"/>
      <c r="DB3" s="11" t="n"/>
      <c r="DC3" s="11" t="n"/>
      <c r="DD3" s="11" t="n"/>
      <c r="DE3" s="11" t="n"/>
      <c r="DF3" s="11" t="n"/>
      <c r="DG3" s="11" t="n"/>
      <c r="DH3" s="11" t="n"/>
      <c r="DI3" s="11" t="n"/>
      <c r="DJ3" s="11" t="n"/>
      <c r="DK3" s="11" t="n"/>
      <c r="DL3" s="11" t="n"/>
      <c r="DM3" s="11" t="n"/>
      <c r="DN3" s="11" t="n"/>
      <c r="DO3" s="11" t="n"/>
      <c r="DP3" s="11" t="n"/>
      <c r="DQ3" s="11" t="n"/>
      <c r="DR3" s="11" t="n"/>
      <c r="DS3" s="11" t="n"/>
      <c r="DT3" s="11" t="n"/>
      <c r="DU3" s="11" t="n"/>
      <c r="DV3" s="11" t="n"/>
      <c r="DW3" s="11" t="n"/>
      <c r="DX3" s="11" t="n"/>
      <c r="DY3" s="11" t="n"/>
      <c r="DZ3" s="11" t="n"/>
      <c r="EA3" s="11" t="n"/>
      <c r="EB3" s="11" t="n"/>
      <c r="EC3" s="11" t="n"/>
      <c r="ED3" s="11" t="n"/>
      <c r="EE3" s="11" t="n"/>
      <c r="EF3" s="11" t="n"/>
      <c r="EG3" s="11" t="n"/>
      <c r="EH3" s="11" t="n"/>
      <c r="EI3" s="11" t="n"/>
      <c r="EJ3" s="11" t="n"/>
      <c r="EK3" s="11" t="n"/>
      <c r="EL3" s="11" t="n"/>
      <c r="EM3" s="11" t="n"/>
      <c r="EN3" s="11" t="n"/>
      <c r="EO3" s="11" t="n"/>
      <c r="EP3" s="11" t="n"/>
      <c r="EQ3" s="11" t="n"/>
      <c r="ER3" s="11" t="n"/>
      <c r="ES3" s="11" t="n"/>
      <c r="ET3" s="11" t="n"/>
      <c r="EU3" s="11" t="n"/>
      <c r="EV3" s="11" t="n"/>
      <c r="EW3" s="11" t="n"/>
      <c r="EX3" s="11" t="n"/>
      <c r="EY3" s="11" t="n"/>
      <c r="EZ3" s="11" t="n"/>
      <c r="FA3" s="11" t="n"/>
      <c r="FB3" s="11" t="n"/>
      <c r="FC3" s="11" t="n"/>
      <c r="FD3" s="11" t="n"/>
      <c r="FE3" s="11" t="n"/>
      <c r="FF3" s="11" t="n"/>
      <c r="FG3" s="11" t="n"/>
      <c r="FH3" s="11" t="n"/>
      <c r="FI3" s="11" t="n"/>
      <c r="FJ3" s="11" t="n"/>
      <c r="FK3" s="11" t="n"/>
      <c r="FL3" s="11" t="n"/>
      <c r="FM3" s="11" t="n"/>
      <c r="FN3" s="11" t="n"/>
      <c r="FO3" s="11" t="n"/>
      <c r="FP3" s="11" t="n"/>
      <c r="FQ3" s="11" t="n"/>
      <c r="FR3" s="11" t="n"/>
      <c r="FS3" s="11" t="n"/>
      <c r="FT3" s="11" t="n"/>
      <c r="FU3" s="11" t="n"/>
      <c r="FV3" s="11" t="n"/>
      <c r="FW3" s="11" t="n"/>
      <c r="FX3" s="11" t="n"/>
      <c r="FY3" s="11" t="n"/>
      <c r="FZ3" s="11" t="n"/>
      <c r="GA3" s="11" t="n"/>
      <c r="GB3" s="11" t="n"/>
      <c r="GC3" s="11" t="n"/>
      <c r="GD3" s="11" t="n"/>
      <c r="GE3" s="11" t="n"/>
      <c r="GF3" s="11" t="n"/>
      <c r="GG3" s="11" t="n"/>
      <c r="GH3" s="11" t="n"/>
      <c r="GI3" s="11" t="n"/>
      <c r="GJ3" s="11" t="n"/>
      <c r="GK3" s="11" t="n"/>
      <c r="GL3" s="11" t="n"/>
      <c r="GM3" s="11" t="n"/>
      <c r="GN3" s="11" t="n"/>
      <c r="GO3" s="11" t="n"/>
      <c r="GP3" s="11" t="n"/>
      <c r="GQ3" s="11" t="n"/>
      <c r="GR3" s="11" t="n"/>
      <c r="GS3" s="11" t="n"/>
      <c r="GT3" s="11" t="n"/>
      <c r="GU3" s="11" t="n"/>
      <c r="GV3" s="11" t="n"/>
      <c r="GW3" s="11" t="n"/>
      <c r="GX3" s="11" t="n"/>
      <c r="GY3" s="11" t="n"/>
      <c r="GZ3" s="11" t="n"/>
      <c r="HA3" s="11" t="n"/>
      <c r="HB3" s="11" t="n"/>
      <c r="HC3" s="11" t="n"/>
      <c r="HD3" s="11" t="n"/>
      <c r="HE3" s="11" t="n"/>
      <c r="HF3" s="11" t="n"/>
      <c r="HG3" s="11" t="n"/>
      <c r="HH3" s="11" t="n"/>
      <c r="HI3" s="11" t="n"/>
      <c r="HJ3" s="11" t="n"/>
      <c r="HK3" s="11" t="n"/>
      <c r="HL3" s="11" t="n"/>
      <c r="HM3" s="11" t="n"/>
      <c r="HN3" s="11" t="n"/>
      <c r="HO3" s="11" t="n"/>
      <c r="HP3" s="11" t="n"/>
      <c r="HQ3" s="11" t="n"/>
      <c r="HR3" s="11" t="n"/>
      <c r="HS3" s="11" t="n"/>
      <c r="HT3" s="11" t="n"/>
      <c r="HU3" s="11" t="n"/>
      <c r="HV3" s="11" t="n"/>
      <c r="HW3" s="11" t="n"/>
      <c r="HX3" s="11" t="n"/>
      <c r="HY3" s="11" t="n"/>
      <c r="HZ3" s="11" t="n"/>
      <c r="IA3" s="11" t="n"/>
      <c r="IB3" s="11" t="n"/>
      <c r="IC3" s="11" t="n"/>
      <c r="ID3" s="11" t="n"/>
      <c r="IE3" s="11" t="n"/>
      <c r="IF3" s="11" t="n"/>
      <c r="IG3" s="11" t="n"/>
      <c r="IH3" s="11" t="n"/>
      <c r="II3" s="11" t="n"/>
      <c r="IJ3" s="11" t="n"/>
      <c r="IK3" s="11" t="n"/>
      <c r="IL3" s="11" t="n"/>
      <c r="IM3" s="11" t="n"/>
      <c r="IN3" s="11" t="n"/>
      <c r="IO3" s="11" t="n"/>
      <c r="IP3" s="11" t="n"/>
      <c r="IQ3" s="11" t="n"/>
      <c r="IR3" s="11" t="n"/>
      <c r="IS3" s="11" t="n"/>
      <c r="IT3" s="11" t="n"/>
      <c r="IU3" s="11" t="n"/>
      <c r="IV3" s="11" t="n"/>
      <c r="IW3" s="11" t="n"/>
      <c r="IX3" s="11" t="n"/>
      <c r="IY3" s="11" t="n"/>
      <c r="IZ3" s="11" t="n"/>
      <c r="JA3" s="11" t="n"/>
      <c r="JB3" s="11" t="n"/>
      <c r="JC3" s="11" t="n"/>
      <c r="JD3" s="11" t="n"/>
      <c r="JE3" s="11" t="n"/>
      <c r="JF3" s="11" t="n"/>
      <c r="JG3" s="11" t="n"/>
      <c r="JH3" s="11" t="n"/>
      <c r="JI3" s="11" t="n"/>
      <c r="JJ3" s="11" t="n"/>
      <c r="JK3" s="11" t="n"/>
      <c r="JL3" s="11" t="n"/>
      <c r="JM3" s="11" t="n"/>
      <c r="JN3" s="11" t="n"/>
      <c r="JO3" s="11" t="n"/>
      <c r="JP3" s="11" t="n"/>
      <c r="JQ3" s="11" t="n"/>
      <c r="JR3" s="11" t="n"/>
      <c r="JS3" s="11" t="n"/>
      <c r="JT3" s="11" t="n"/>
      <c r="JU3" s="11" t="n"/>
      <c r="JV3" s="11" t="n"/>
      <c r="JW3" s="11" t="n"/>
      <c r="JX3" s="11" t="n"/>
      <c r="JY3" s="11" t="n"/>
      <c r="JZ3" s="11" t="n"/>
      <c r="KA3" s="11" t="n"/>
      <c r="KB3" s="11" t="n"/>
      <c r="KC3" s="11" t="n"/>
      <c r="KD3" s="11" t="n"/>
      <c r="KE3" s="11" t="n"/>
      <c r="KF3" s="11" t="n"/>
      <c r="KG3" s="11" t="n"/>
      <c r="KH3" s="11" t="n"/>
      <c r="KI3" s="11" t="n"/>
      <c r="KJ3" s="11" t="n"/>
      <c r="KK3" s="11" t="n"/>
      <c r="KL3" s="11" t="n"/>
      <c r="KM3" s="11" t="n"/>
      <c r="KN3" s="11" t="n"/>
      <c r="KO3" s="11" t="n"/>
      <c r="KP3" s="11" t="n"/>
      <c r="KQ3" s="11" t="n"/>
      <c r="KR3" s="11" t="n"/>
      <c r="KS3" s="11" t="n"/>
      <c r="KT3" s="11" t="n"/>
      <c r="KU3" s="11" t="n"/>
      <c r="KV3" s="11" t="n"/>
      <c r="KW3" s="11" t="n"/>
      <c r="KX3" s="11" t="n"/>
      <c r="KY3" s="11" t="n"/>
      <c r="KZ3" s="11" t="n"/>
      <c r="LA3" s="11" t="n"/>
      <c r="LB3" s="11" t="n"/>
      <c r="LC3" s="11" t="n"/>
      <c r="LD3" s="11" t="n"/>
      <c r="LE3" s="11" t="n"/>
      <c r="LF3" s="11" t="n"/>
      <c r="LG3" s="11" t="n"/>
      <c r="LH3" s="11" t="n"/>
      <c r="LI3" s="11" t="n"/>
      <c r="LJ3" s="11" t="n"/>
      <c r="LK3" s="11" t="n"/>
      <c r="LL3" s="11" t="n"/>
      <c r="LM3" s="11" t="n"/>
      <c r="LN3" s="11" t="n"/>
      <c r="LO3" s="11" t="n"/>
      <c r="LP3" s="11" t="n"/>
      <c r="LQ3" s="11" t="n"/>
      <c r="LR3" s="11" t="n"/>
      <c r="LS3" s="11" t="n"/>
      <c r="LT3" s="11" t="n"/>
      <c r="LU3" s="11" t="n"/>
      <c r="LV3" s="11" t="n"/>
      <c r="LW3" s="11" t="n"/>
      <c r="LX3" s="11" t="n"/>
      <c r="LY3" s="11" t="n"/>
      <c r="LZ3" s="11" t="n"/>
      <c r="MA3" s="11" t="n"/>
      <c r="MB3" s="11" t="n"/>
      <c r="MC3" s="11" t="n"/>
      <c r="MD3" s="11" t="n"/>
      <c r="ME3" s="11" t="n"/>
      <c r="MF3" s="11" t="n"/>
      <c r="MG3" s="11" t="n"/>
      <c r="MH3" s="11" t="n"/>
      <c r="MI3" s="11" t="n"/>
      <c r="MJ3" s="11" t="n"/>
      <c r="MK3" s="11" t="n"/>
      <c r="ML3" s="11" t="n"/>
      <c r="MM3" s="11" t="n"/>
      <c r="MN3" s="11" t="n"/>
      <c r="MO3" s="11" t="n"/>
      <c r="MP3" s="11" t="n"/>
      <c r="MQ3" s="11" t="n"/>
      <c r="MR3" s="11" t="n"/>
      <c r="MS3" s="11" t="n"/>
      <c r="MT3" s="11" t="n"/>
      <c r="MU3" s="11" t="n"/>
      <c r="MV3" s="11" t="n"/>
      <c r="MW3" s="11" t="n"/>
      <c r="MX3" s="11" t="n"/>
      <c r="MY3" s="11" t="n"/>
      <c r="MZ3" s="11" t="n"/>
      <c r="NA3" s="11" t="n"/>
      <c r="NB3" s="11" t="n"/>
      <c r="NC3" s="11" t="n"/>
      <c r="ND3" s="11" t="n"/>
      <c r="NE3" s="11" t="n"/>
      <c r="NF3" s="11" t="n"/>
      <c r="NG3" s="11" t="n"/>
      <c r="NH3" s="11" t="n"/>
      <c r="NI3" s="11" t="n"/>
      <c r="NJ3" s="11" t="n"/>
      <c r="NK3" s="11" t="n"/>
      <c r="NL3" s="11" t="n"/>
      <c r="NM3" s="11" t="n"/>
      <c r="NN3" s="11" t="n"/>
      <c r="NO3" s="11" t="n"/>
      <c r="NP3" s="11" t="n"/>
      <c r="NQ3" s="11" t="n"/>
      <c r="NR3" s="11" t="n"/>
      <c r="NS3" s="11" t="n"/>
      <c r="NT3" s="11" t="n"/>
      <c r="NU3" s="11" t="n"/>
      <c r="NV3" s="11" t="n"/>
      <c r="NW3" s="11" t="n"/>
      <c r="NX3" s="11" t="n"/>
      <c r="NY3" s="11" t="n"/>
      <c r="NZ3" s="11" t="n"/>
      <c r="OA3" s="11" t="n"/>
      <c r="OB3" s="11" t="n"/>
      <c r="OC3" s="11" t="n"/>
      <c r="OD3" s="11" t="n"/>
      <c r="OE3" s="11" t="n"/>
      <c r="OF3" s="11" t="n"/>
      <c r="OG3" s="11" t="n"/>
      <c r="OH3" s="11" t="n"/>
      <c r="OI3" s="11" t="n"/>
      <c r="OJ3" s="11" t="n"/>
      <c r="OK3" s="11" t="n"/>
      <c r="OL3" s="11" t="n"/>
      <c r="OM3" s="11" t="n"/>
      <c r="ON3" s="11" t="n"/>
      <c r="OO3" s="11" t="n"/>
      <c r="OP3" s="11" t="n"/>
      <c r="OQ3" s="11" t="n"/>
      <c r="OR3" s="11" t="n"/>
      <c r="OS3" s="11" t="n"/>
      <c r="OT3" s="11" t="n"/>
      <c r="OU3" s="11" t="n"/>
      <c r="OV3" s="11" t="n"/>
      <c r="OW3" s="11" t="n"/>
      <c r="OX3" s="11" t="n"/>
      <c r="OY3" s="11" t="n"/>
      <c r="OZ3" s="11" t="n"/>
      <c r="PA3" s="11" t="n"/>
      <c r="PB3" s="11" t="n"/>
      <c r="PC3" s="11" t="n"/>
      <c r="PD3" s="11" t="n"/>
      <c r="PE3" s="11" t="n"/>
      <c r="PF3" s="11" t="n"/>
      <c r="PG3" s="11" t="n"/>
      <c r="PH3" s="11" t="n"/>
      <c r="PI3" s="11" t="n"/>
      <c r="PJ3" s="11" t="n"/>
      <c r="PK3" s="11" t="n"/>
      <c r="PL3" s="11" t="n"/>
      <c r="PM3" s="11" t="n"/>
      <c r="PN3" s="11" t="n"/>
      <c r="PO3" s="11" t="n"/>
      <c r="PP3" s="11" t="n"/>
      <c r="PQ3" s="11" t="n"/>
      <c r="PR3" s="11" t="n"/>
      <c r="PS3" s="11" t="n"/>
      <c r="PT3" s="11" t="n"/>
      <c r="PU3" s="11" t="n"/>
      <c r="PV3" s="11" t="n"/>
      <c r="PW3" s="11" t="n"/>
      <c r="PX3" s="11" t="n"/>
      <c r="PY3" s="11" t="n"/>
      <c r="PZ3" s="11" t="n"/>
      <c r="QA3" s="11" t="n"/>
      <c r="QB3" s="11" t="n"/>
      <c r="QC3" s="11" t="n"/>
      <c r="QD3" s="11" t="n"/>
      <c r="QE3" s="11" t="n"/>
      <c r="QF3" s="11" t="n"/>
      <c r="QG3" s="11" t="n"/>
      <c r="QH3" s="11" t="n"/>
      <c r="QI3" s="11" t="n"/>
      <c r="QJ3" s="11" t="n"/>
      <c r="QK3" s="11" t="n"/>
      <c r="QL3" s="11" t="n"/>
      <c r="QM3" s="11" t="n"/>
      <c r="QN3" s="11" t="n"/>
      <c r="QO3" s="11" t="n"/>
      <c r="QP3" s="11" t="n"/>
      <c r="QQ3" s="11" t="n"/>
      <c r="QR3" s="11" t="n"/>
      <c r="QS3" s="11" t="n"/>
      <c r="QT3" s="11" t="n"/>
      <c r="QU3" s="11" t="n"/>
      <c r="QV3" s="11" t="n"/>
      <c r="QW3" s="11" t="n"/>
      <c r="QX3" s="11" t="n"/>
      <c r="QY3" s="11" t="n"/>
      <c r="QZ3" s="11" t="n"/>
      <c r="RA3" s="11" t="n"/>
      <c r="RB3" s="11" t="n"/>
      <c r="RC3" s="11" t="n"/>
      <c r="RD3" s="11" t="n"/>
      <c r="RE3" s="11" t="n"/>
      <c r="RF3" s="11" t="n"/>
      <c r="RG3" s="11" t="n"/>
      <c r="RH3" s="11" t="n"/>
      <c r="RI3" s="11" t="n"/>
      <c r="RJ3" s="11" t="n"/>
      <c r="RK3" s="11" t="n"/>
      <c r="RL3" s="11" t="n"/>
      <c r="RM3" s="11" t="n"/>
      <c r="RN3" s="11" t="n"/>
      <c r="RO3" s="11" t="n"/>
      <c r="RP3" s="11" t="n"/>
      <c r="RQ3" s="11" t="n"/>
      <c r="RR3" s="11" t="n"/>
      <c r="RS3" s="11" t="n"/>
      <c r="RT3" s="11" t="n"/>
      <c r="RU3" s="11" t="n"/>
      <c r="RV3" s="11" t="n"/>
      <c r="RW3" s="11" t="n"/>
      <c r="RX3" s="11" t="n"/>
      <c r="RY3" s="11" t="n"/>
      <c r="RZ3" s="11" t="n"/>
      <c r="SA3" s="11" t="n"/>
      <c r="SB3" s="11" t="n"/>
      <c r="SC3" s="11" t="n"/>
      <c r="SD3" s="11" t="n"/>
      <c r="SE3" s="11" t="n"/>
      <c r="SF3" s="11" t="n"/>
      <c r="SG3" s="11" t="n"/>
      <c r="SH3" s="11" t="n"/>
      <c r="SI3" s="11" t="n"/>
      <c r="SJ3" s="11" t="n"/>
      <c r="SK3" s="11" t="n"/>
      <c r="SL3" s="11" t="n"/>
      <c r="SM3" s="11" t="n"/>
      <c r="SN3" s="11" t="n"/>
      <c r="SO3" s="11" t="n"/>
      <c r="SP3" s="11" t="n"/>
      <c r="SQ3" s="11" t="n"/>
      <c r="SR3" s="11" t="n"/>
      <c r="SS3" s="11" t="n"/>
      <c r="ST3" s="11" t="n"/>
      <c r="SU3" s="11" t="n"/>
      <c r="SV3" s="11" t="n"/>
      <c r="SW3" s="11" t="n"/>
      <c r="SX3" s="11" t="n"/>
      <c r="SY3" s="11" t="n"/>
      <c r="SZ3" s="11" t="n"/>
      <c r="TA3" s="11" t="n"/>
      <c r="TB3" s="11" t="n"/>
      <c r="TC3" s="11" t="n"/>
      <c r="TD3" s="11" t="n"/>
      <c r="TE3" s="11" t="n"/>
      <c r="TF3" s="11" t="n"/>
      <c r="TG3" s="11" t="n"/>
      <c r="TH3" s="11" t="n"/>
      <c r="TI3" s="11" t="n"/>
      <c r="TJ3" s="11" t="n"/>
      <c r="TK3" s="11" t="n"/>
      <c r="TL3" s="11" t="n"/>
      <c r="TM3" s="11" t="n"/>
      <c r="TN3" s="11" t="n"/>
      <c r="TO3" s="11" t="n"/>
      <c r="TP3" s="11" t="n"/>
      <c r="TQ3" s="11" t="n"/>
      <c r="TR3" s="11" t="n"/>
      <c r="TS3" s="11" t="n"/>
      <c r="TT3" s="11" t="n"/>
      <c r="TU3" s="11" t="n"/>
      <c r="TV3" s="11" t="n"/>
      <c r="TW3" s="11" t="n"/>
      <c r="TX3" s="11" t="n"/>
      <c r="TY3" s="11" t="n"/>
      <c r="TZ3" s="11" t="n"/>
      <c r="UA3" s="11" t="n"/>
      <c r="UB3" s="11" t="n"/>
      <c r="UC3" s="11" t="n"/>
      <c r="UD3" s="11" t="n"/>
      <c r="UE3" s="11" t="n"/>
      <c r="UF3" s="11" t="n"/>
      <c r="UG3" s="11" t="n"/>
      <c r="UH3" s="11" t="n"/>
      <c r="UI3" s="11" t="n"/>
      <c r="UJ3" s="11" t="n"/>
      <c r="UK3" s="11" t="n"/>
      <c r="UL3" s="11" t="n"/>
      <c r="UM3" s="11" t="n"/>
      <c r="UN3" s="11" t="n"/>
      <c r="UO3" s="11" t="n"/>
      <c r="UP3" s="11" t="n"/>
      <c r="UQ3" s="11" t="n"/>
      <c r="UR3" s="11" t="n"/>
      <c r="US3" s="11" t="n"/>
      <c r="UT3" s="11" t="n"/>
      <c r="UU3" s="11" t="n"/>
      <c r="UV3" s="11" t="n"/>
      <c r="UW3" s="11" t="n"/>
      <c r="UX3" s="11" t="n"/>
      <c r="UY3" s="11" t="n"/>
      <c r="UZ3" s="11" t="n"/>
      <c r="VA3" s="11" t="n"/>
      <c r="VB3" s="11" t="n"/>
      <c r="VC3" s="11" t="n"/>
      <c r="VD3" s="11" t="n"/>
      <c r="VE3" s="11" t="n"/>
      <c r="VF3" s="11" t="n"/>
      <c r="VG3" s="11" t="n"/>
      <c r="VH3" s="11" t="n"/>
      <c r="VI3" s="11" t="n"/>
      <c r="VJ3" s="11" t="n"/>
      <c r="VK3" s="11" t="n"/>
      <c r="VL3" s="11" t="n"/>
      <c r="VM3" s="11" t="n"/>
      <c r="VN3" s="11" t="n"/>
      <c r="VO3" s="11" t="n"/>
      <c r="VP3" s="11" t="n"/>
      <c r="VQ3" s="11" t="n"/>
      <c r="VR3" s="11" t="n"/>
      <c r="VS3" s="11" t="n"/>
      <c r="VT3" s="11" t="n"/>
      <c r="VU3" s="11" t="n"/>
      <c r="VV3" s="11" t="n"/>
      <c r="VW3" s="11" t="n"/>
      <c r="VX3" s="11" t="n"/>
      <c r="VY3" s="11" t="n"/>
      <c r="VZ3" s="11" t="n"/>
      <c r="WA3" s="11" t="n"/>
      <c r="WB3" s="11" t="n"/>
      <c r="WC3" s="11" t="n"/>
      <c r="WD3" s="11" t="n"/>
      <c r="WE3" s="11" t="n"/>
      <c r="WF3" s="11" t="n"/>
      <c r="WG3" s="11" t="n"/>
      <c r="WH3" s="11" t="n"/>
      <c r="WI3" s="11" t="n"/>
      <c r="WJ3" s="11" t="n"/>
      <c r="WK3" s="11" t="n"/>
      <c r="WL3" s="11" t="n"/>
      <c r="WM3" s="11" t="n"/>
      <c r="WN3" s="11" t="n"/>
      <c r="WO3" s="11" t="n"/>
      <c r="WP3" s="11" t="n"/>
      <c r="WQ3" s="11" t="n"/>
      <c r="WR3" s="11" t="n"/>
      <c r="WS3" s="11" t="n"/>
      <c r="WT3" s="11" t="n"/>
      <c r="WU3" s="11" t="n"/>
      <c r="WV3" s="11" t="n"/>
      <c r="WW3" s="11" t="n"/>
      <c r="WX3" s="11" t="n"/>
      <c r="WY3" s="11" t="n"/>
      <c r="WZ3" s="11" t="n"/>
      <c r="XA3" s="11" t="n"/>
      <c r="XB3" s="11" t="n"/>
      <c r="XC3" s="11" t="n"/>
      <c r="XD3" s="11" t="n"/>
      <c r="XE3" s="11" t="n"/>
      <c r="XF3" s="11" t="n"/>
      <c r="XG3" s="11" t="n"/>
      <c r="XH3" s="11" t="n"/>
      <c r="XI3" s="11" t="n"/>
      <c r="XJ3" s="11" t="n"/>
      <c r="XK3" s="11" t="n"/>
      <c r="XL3" s="11" t="n"/>
      <c r="XM3" s="11" t="n"/>
      <c r="XN3" s="11" t="n"/>
      <c r="XO3" s="11" t="n"/>
      <c r="XP3" s="11" t="n"/>
      <c r="XQ3" s="11" t="n"/>
      <c r="XR3" s="11" t="n"/>
      <c r="XS3" s="11" t="n"/>
      <c r="XT3" s="11" t="n"/>
      <c r="XU3" s="11" t="n"/>
      <c r="XV3" s="11" t="n"/>
      <c r="XW3" s="11" t="n"/>
      <c r="XX3" s="11" t="n"/>
      <c r="XY3" s="11" t="n"/>
      <c r="XZ3" s="11" t="n"/>
      <c r="YA3" s="11" t="n"/>
      <c r="YB3" s="11" t="n"/>
      <c r="YC3" s="11" t="n"/>
      <c r="YD3" s="11" t="n"/>
      <c r="YE3" s="11" t="n"/>
      <c r="YF3" s="11" t="n"/>
      <c r="YG3" s="11" t="n"/>
      <c r="YH3" s="11" t="n"/>
      <c r="YI3" s="11" t="n"/>
      <c r="YJ3" s="11" t="n"/>
      <c r="YK3" s="11" t="n"/>
      <c r="YL3" s="11" t="n"/>
      <c r="YM3" s="11" t="n"/>
      <c r="YN3" s="11" t="n"/>
      <c r="YO3" s="11" t="n"/>
      <c r="YP3" s="11" t="n"/>
      <c r="YQ3" s="11" t="n"/>
      <c r="YR3" s="11" t="n"/>
      <c r="YS3" s="11" t="n"/>
      <c r="YT3" s="11" t="n"/>
      <c r="YU3" s="11" t="n"/>
      <c r="YV3" s="11" t="n"/>
      <c r="YW3" s="11" t="n"/>
      <c r="YX3" s="11" t="n"/>
      <c r="YY3" s="11" t="n"/>
      <c r="YZ3" s="11" t="n"/>
      <c r="ZA3" s="11" t="n"/>
      <c r="ZB3" s="11" t="n"/>
      <c r="ZC3" s="11" t="n"/>
      <c r="ZD3" s="11" t="n"/>
      <c r="ZE3" s="11" t="n"/>
      <c r="ZF3" s="11" t="n"/>
      <c r="ZG3" s="11" t="n"/>
      <c r="ZH3" s="11" t="n"/>
      <c r="ZI3" s="11" t="n"/>
      <c r="ZJ3" s="11" t="n"/>
      <c r="ZK3" s="11" t="n"/>
      <c r="ZL3" s="11" t="n"/>
      <c r="ZM3" s="11" t="n"/>
      <c r="ZN3" s="11" t="n"/>
      <c r="ZO3" s="11" t="n"/>
      <c r="ZP3" s="11" t="n"/>
      <c r="ZQ3" s="11" t="n"/>
      <c r="ZR3" s="11" t="n"/>
      <c r="ZS3" s="11" t="n"/>
      <c r="ZT3" s="11" t="n"/>
      <c r="ZU3" s="11" t="n"/>
      <c r="ZV3" s="11" t="n"/>
      <c r="ZW3" s="11" t="n"/>
      <c r="ZX3" s="11" t="n"/>
      <c r="ZY3" s="11" t="n"/>
      <c r="ZZ3" s="11" t="n"/>
      <c r="AAA3" s="11" t="n"/>
      <c r="AAB3" s="11" t="n"/>
      <c r="AAC3" s="11" t="n"/>
      <c r="AAD3" s="11" t="n"/>
      <c r="AAE3" s="11" t="n"/>
      <c r="AAF3" s="11" t="n"/>
      <c r="AAG3" s="11" t="n"/>
      <c r="AAH3" s="11" t="n"/>
      <c r="AAI3" s="11" t="n"/>
      <c r="AAJ3" s="11" t="n"/>
      <c r="AAK3" s="11" t="n"/>
      <c r="AAL3" s="11" t="n"/>
      <c r="AAM3" s="11" t="n"/>
      <c r="AAN3" s="11" t="n"/>
      <c r="AAO3" s="11" t="n"/>
      <c r="AAP3" s="11" t="n"/>
      <c r="AAQ3" s="11" t="n"/>
      <c r="AAR3" s="11" t="n"/>
      <c r="AAS3" s="11" t="n"/>
      <c r="AAT3" s="11" t="n"/>
      <c r="AAU3" s="11" t="n"/>
      <c r="AAV3" s="11" t="n"/>
      <c r="AAW3" s="11" t="n"/>
      <c r="AAX3" s="11" t="n"/>
      <c r="AAY3" s="11" t="n"/>
      <c r="AAZ3" s="11" t="n"/>
      <c r="ABA3" s="11" t="n"/>
      <c r="ABB3" s="11" t="n"/>
      <c r="ABC3" s="11" t="n"/>
      <c r="ABD3" s="11" t="n"/>
      <c r="ABE3" s="11" t="n"/>
      <c r="ABF3" s="11" t="n"/>
      <c r="ABG3" s="11" t="n"/>
      <c r="ABH3" s="11" t="n"/>
      <c r="ABI3" s="11" t="n"/>
      <c r="ABJ3" s="11" t="n"/>
      <c r="ABK3" s="11" t="n"/>
      <c r="ABL3" s="11" t="n"/>
      <c r="ABM3" s="11" t="n"/>
      <c r="ABN3" s="11" t="n"/>
      <c r="ABO3" s="11" t="n"/>
      <c r="ABP3" s="11" t="n"/>
      <c r="ABQ3" s="11" t="n"/>
      <c r="ABR3" s="11" t="n"/>
      <c r="ABS3" s="11" t="n"/>
      <c r="ABT3" s="11" t="n"/>
      <c r="ABU3" s="11" t="n"/>
      <c r="ABV3" s="11" t="n"/>
      <c r="ABW3" s="11" t="n"/>
      <c r="ABX3" s="11" t="n"/>
      <c r="ABY3" s="11" t="n"/>
      <c r="ABZ3" s="11" t="n"/>
      <c r="ACA3" s="11" t="n"/>
      <c r="ACB3" s="11" t="n"/>
      <c r="ACC3" s="11" t="n"/>
      <c r="ACD3" s="11" t="n"/>
      <c r="ACE3" s="11" t="n"/>
      <c r="ACF3" s="11" t="n"/>
      <c r="ACG3" s="11" t="n"/>
      <c r="ACH3" s="11" t="n"/>
      <c r="ACI3" s="11" t="n"/>
      <c r="ACJ3" s="11" t="n"/>
      <c r="ACK3" s="11" t="n"/>
      <c r="ACL3" s="11" t="n"/>
      <c r="ACM3" s="11" t="n"/>
      <c r="ACN3" s="11" t="n"/>
      <c r="ACO3" s="11" t="n"/>
      <c r="ACP3" s="11" t="n"/>
      <c r="ACQ3" s="11" t="n"/>
      <c r="ACR3" s="11" t="n"/>
      <c r="ACS3" s="11" t="n"/>
      <c r="ACT3" s="11" t="n"/>
      <c r="ACU3" s="11" t="n"/>
      <c r="ACV3" s="11" t="n"/>
      <c r="ACW3" s="11" t="n"/>
      <c r="ACX3" s="11" t="n"/>
      <c r="ACY3" s="11" t="n"/>
      <c r="ACZ3" s="11" t="n"/>
      <c r="ADA3" s="11" t="n"/>
      <c r="ADB3" s="11" t="n"/>
      <c r="ADC3" s="11" t="n"/>
      <c r="ADD3" s="11" t="n"/>
      <c r="ADE3" s="11" t="n"/>
      <c r="ADF3" s="11" t="n"/>
      <c r="ADG3" s="11" t="n"/>
      <c r="ADH3" s="11" t="n"/>
      <c r="ADI3" s="11" t="n"/>
      <c r="ADJ3" s="11" t="n"/>
      <c r="ADK3" s="11" t="n"/>
      <c r="ADL3" s="11" t="n"/>
      <c r="ADM3" s="11" t="n"/>
      <c r="ADN3" s="11" t="n"/>
      <c r="ADO3" s="11" t="n"/>
      <c r="ADP3" s="11" t="n"/>
      <c r="ADQ3" s="11" t="n"/>
      <c r="ADR3" s="11" t="n"/>
      <c r="ADS3" s="11" t="n"/>
      <c r="ADT3" s="11" t="n"/>
      <c r="ADU3" s="11" t="n"/>
      <c r="ADV3" s="11" t="n"/>
      <c r="ADW3" s="11" t="n"/>
      <c r="ADX3" s="11" t="n"/>
      <c r="ADY3" s="11" t="n"/>
      <c r="ADZ3" s="11" t="n"/>
      <c r="AEA3" s="11" t="n"/>
      <c r="AEB3" s="11" t="n"/>
      <c r="AEC3" s="11" t="n"/>
      <c r="AED3" s="11" t="n"/>
      <c r="AEE3" s="11" t="n"/>
      <c r="AEF3" s="11" t="n"/>
      <c r="AEG3" s="11" t="n"/>
      <c r="AEH3" s="11" t="n"/>
      <c r="AEI3" s="11" t="n"/>
      <c r="AEJ3" s="11" t="n"/>
      <c r="AEK3" s="11" t="n"/>
      <c r="AEL3" s="11" t="n"/>
      <c r="AEM3" s="11" t="n"/>
      <c r="AEN3" s="11" t="n"/>
      <c r="AEO3" s="11" t="n"/>
      <c r="AEP3" s="11" t="n"/>
      <c r="AEQ3" s="11" t="n"/>
      <c r="AER3" s="11" t="n"/>
      <c r="AES3" s="11" t="n"/>
      <c r="AET3" s="11" t="n"/>
      <c r="AEU3" s="11" t="n"/>
      <c r="AEV3" s="11" t="n"/>
      <c r="AEW3" s="11" t="n"/>
      <c r="AEX3" s="11" t="n"/>
      <c r="AEY3" s="11" t="n"/>
      <c r="AEZ3" s="11" t="n"/>
      <c r="AFA3" s="11" t="n"/>
      <c r="AFB3" s="11" t="n"/>
      <c r="AFC3" s="11" t="n"/>
      <c r="AFD3" s="11" t="n"/>
      <c r="AFE3" s="11" t="n"/>
      <c r="AFF3" s="11" t="n"/>
      <c r="AFG3" s="11" t="n"/>
      <c r="AFH3" s="11" t="n"/>
      <c r="AFI3" s="11" t="n"/>
      <c r="AFJ3" s="11" t="n"/>
      <c r="AFK3" s="11" t="n"/>
      <c r="AFL3" s="11" t="n"/>
      <c r="AFM3" s="11" t="n"/>
      <c r="AFN3" s="11" t="n"/>
      <c r="AFO3" s="11" t="n"/>
      <c r="AFP3" s="11" t="n"/>
      <c r="AFQ3" s="11" t="n"/>
      <c r="AFR3" s="11" t="n"/>
      <c r="AFS3" s="11" t="n"/>
      <c r="AFT3" s="11" t="n"/>
      <c r="AFU3" s="11" t="n"/>
      <c r="AFV3" s="11" t="n"/>
      <c r="AFW3" s="11" t="n"/>
      <c r="AFX3" s="11" t="n"/>
      <c r="AFY3" s="11" t="n"/>
      <c r="AFZ3" s="11" t="n"/>
      <c r="AGA3" s="11" t="n"/>
      <c r="AGB3" s="11" t="n"/>
      <c r="AGC3" s="11" t="n"/>
      <c r="AGD3" s="11" t="n"/>
      <c r="AGE3" s="11" t="n"/>
      <c r="AGF3" s="11" t="n"/>
      <c r="AGG3" s="11" t="n"/>
      <c r="AGH3" s="11" t="n"/>
      <c r="AGI3" s="11" t="n"/>
      <c r="AGJ3" s="11" t="n"/>
      <c r="AGK3" s="11" t="n"/>
      <c r="AGL3" s="11" t="n"/>
      <c r="AGM3" s="11" t="n"/>
      <c r="AGN3" s="11" t="n"/>
      <c r="AGO3" s="11" t="n"/>
      <c r="AGP3" s="11" t="n"/>
      <c r="AGQ3" s="11" t="n"/>
      <c r="AGR3" s="11" t="n"/>
      <c r="AGS3" s="11" t="n"/>
      <c r="AGT3" s="11" t="n"/>
      <c r="AGU3" s="11" t="n"/>
      <c r="AGV3" s="11" t="n"/>
      <c r="AGW3" s="11" t="n"/>
      <c r="AGX3" s="11" t="n"/>
      <c r="AGY3" s="11" t="n"/>
      <c r="AGZ3" s="11" t="n"/>
      <c r="AHA3" s="11" t="n"/>
      <c r="AHB3" s="11" t="n"/>
      <c r="AHC3" s="11" t="n"/>
      <c r="AHD3" s="11" t="n"/>
      <c r="AHE3" s="11" t="n"/>
      <c r="AHF3" s="11" t="n"/>
      <c r="AHG3" s="11" t="n"/>
      <c r="AHH3" s="11" t="n"/>
      <c r="AHI3" s="11" t="n"/>
      <c r="AHJ3" s="11" t="n"/>
      <c r="AHK3" s="11" t="n"/>
      <c r="AHL3" s="11" t="n"/>
      <c r="AHM3" s="11" t="n"/>
      <c r="AHN3" s="11" t="n"/>
      <c r="AHO3" s="11" t="n"/>
      <c r="AHP3" s="11" t="n"/>
      <c r="AHQ3" s="11" t="n"/>
      <c r="AHR3" s="11" t="n"/>
      <c r="AHS3" s="11" t="n"/>
      <c r="AHT3" s="11" t="n"/>
      <c r="AHU3" s="11" t="n"/>
      <c r="AHV3" s="11" t="n"/>
      <c r="AHW3" s="11" t="n"/>
      <c r="AHX3" s="11" t="n"/>
      <c r="AHY3" s="11" t="n"/>
      <c r="AHZ3" s="11" t="n"/>
      <c r="AIA3" s="11" t="n"/>
      <c r="AIB3" s="11" t="n"/>
      <c r="AIC3" s="11" t="n"/>
      <c r="AID3" s="11" t="n"/>
      <c r="AIE3" s="11" t="n"/>
      <c r="AIF3" s="11" t="n"/>
      <c r="AIG3" s="11" t="n"/>
      <c r="AIH3" s="11" t="n"/>
      <c r="AII3" s="11" t="n"/>
      <c r="AIJ3" s="11" t="n"/>
      <c r="AIK3" s="11" t="n"/>
      <c r="AIL3" s="11" t="n"/>
      <c r="AIM3" s="11" t="n"/>
      <c r="AIN3" s="11" t="n"/>
      <c r="AIO3" s="11" t="n"/>
      <c r="AIP3" s="11" t="n"/>
      <c r="AIQ3" s="11" t="n"/>
      <c r="AIR3" s="11" t="n"/>
      <c r="AIS3" s="11" t="n"/>
      <c r="AIT3" s="11" t="n"/>
      <c r="AIU3" s="11" t="n"/>
      <c r="AIV3" s="11" t="n"/>
      <c r="AIW3" s="11" t="n"/>
      <c r="AIX3" s="11" t="n"/>
      <c r="AIY3" s="11" t="n"/>
      <c r="AIZ3" s="11" t="n"/>
      <c r="AJA3" s="11" t="n"/>
      <c r="AJB3" s="11" t="n"/>
      <c r="AJC3" s="11" t="n"/>
      <c r="AJD3" s="11" t="n"/>
      <c r="AJE3" s="11" t="n"/>
      <c r="AJF3" s="11" t="n"/>
      <c r="AJG3" s="11" t="n"/>
      <c r="AJH3" s="11" t="n"/>
      <c r="AJI3" s="11" t="n"/>
      <c r="AJJ3" s="11" t="n"/>
      <c r="AJK3" s="11" t="n"/>
      <c r="AJL3" s="11" t="n"/>
      <c r="AJM3" s="11" t="n"/>
      <c r="AJN3" s="11" t="n"/>
      <c r="AJO3" s="11" t="n"/>
      <c r="AJP3" s="11" t="n"/>
      <c r="AJQ3" s="11" t="n"/>
      <c r="AJR3" s="11" t="n"/>
      <c r="AJS3" s="11" t="n"/>
      <c r="AJT3" s="11" t="n"/>
      <c r="AJU3" s="11" t="n"/>
      <c r="AJV3" s="11" t="n"/>
      <c r="AJW3" s="11" t="n"/>
      <c r="AJX3" s="11" t="n"/>
      <c r="AJY3" s="11" t="n"/>
      <c r="AJZ3" s="11" t="n"/>
      <c r="AKA3" s="11" t="n"/>
      <c r="AKB3" s="11" t="n"/>
      <c r="AKC3" s="11" t="n"/>
      <c r="AKD3" s="11" t="n"/>
      <c r="AKE3" s="11" t="n"/>
      <c r="AKF3" s="11" t="n"/>
      <c r="AKG3" s="11" t="n"/>
      <c r="AKH3" s="11" t="n"/>
      <c r="AKI3" s="11" t="n"/>
      <c r="AKJ3" s="11" t="n"/>
      <c r="AKK3" s="11" t="n"/>
      <c r="AKL3" s="11" t="n"/>
      <c r="AKM3" s="11" t="n"/>
      <c r="AKN3" s="11" t="n"/>
      <c r="AKO3" s="11" t="n"/>
      <c r="AKP3" s="11" t="n"/>
      <c r="AKQ3" s="11" t="n"/>
      <c r="AKR3" s="11" t="n"/>
      <c r="AKS3" s="11" t="n"/>
      <c r="AKT3" s="11" t="n"/>
      <c r="AKU3" s="11" t="n"/>
      <c r="AKV3" s="11" t="n"/>
      <c r="AKW3" s="11" t="n"/>
      <c r="AKX3" s="11" t="n"/>
      <c r="AKY3" s="11" t="n"/>
      <c r="AKZ3" s="11" t="n"/>
      <c r="ALA3" s="11" t="n"/>
      <c r="ALB3" s="11" t="n"/>
      <c r="ALC3" s="11" t="n"/>
      <c r="ALD3" s="11" t="n"/>
      <c r="ALE3" s="11" t="n"/>
      <c r="ALF3" s="11" t="n"/>
      <c r="ALG3" s="11" t="n"/>
      <c r="ALH3" s="11" t="n"/>
      <c r="ALI3" s="11" t="n"/>
      <c r="ALJ3" s="11" t="n"/>
      <c r="ALK3" s="11" t="n"/>
      <c r="ALL3" s="11" t="n"/>
      <c r="ALM3" s="11" t="n"/>
      <c r="ALN3" s="11" t="n"/>
      <c r="ALO3" s="11" t="n"/>
      <c r="ALP3" s="11" t="n"/>
      <c r="ALQ3" s="11" t="n"/>
      <c r="ALR3" s="11" t="n"/>
      <c r="ALS3" s="11" t="n"/>
      <c r="ALT3" s="11" t="n"/>
      <c r="ALU3" s="11" t="n"/>
      <c r="ALV3" s="11" t="n"/>
      <c r="ALW3" s="11" t="n"/>
      <c r="ALX3" s="11" t="n"/>
      <c r="ALY3" s="11" t="n"/>
      <c r="ALZ3" s="11" t="n"/>
      <c r="AMA3" s="11" t="n"/>
      <c r="AMB3" s="11" t="n"/>
      <c r="AMC3" s="11" t="n"/>
      <c r="AMD3" s="11" t="n"/>
      <c r="AME3" s="11" t="n"/>
      <c r="AMF3" s="11" t="n"/>
      <c r="AMG3" s="11" t="n"/>
      <c r="AMH3" s="11" t="n"/>
      <c r="AMI3" s="11" t="n"/>
      <c r="AMJ3" s="11" t="n"/>
      <c r="AMK3" s="11" t="n"/>
      <c r="AML3" s="11" t="n"/>
      <c r="AMM3" s="11" t="n"/>
      <c r="AMN3" s="11" t="n"/>
      <c r="AMO3" s="11" t="n"/>
      <c r="AMP3" s="11" t="n"/>
      <c r="AMQ3" s="11" t="n"/>
      <c r="AMR3" s="11" t="n"/>
      <c r="AMS3" s="11" t="n"/>
      <c r="AMT3" s="11" t="n"/>
      <c r="AMU3" s="11" t="n"/>
      <c r="AMV3" s="11" t="n"/>
      <c r="AMW3" s="11" t="n"/>
      <c r="AMX3" s="11" t="n"/>
      <c r="AMY3" s="11" t="n"/>
      <c r="AMZ3" s="11" t="n"/>
      <c r="ANA3" s="11" t="n"/>
      <c r="ANB3" s="11" t="n"/>
      <c r="ANC3" s="11" t="n"/>
      <c r="AND3" s="11" t="n"/>
      <c r="ANE3" s="11" t="n"/>
      <c r="ANF3" s="11" t="n"/>
      <c r="ANG3" s="11" t="n"/>
      <c r="ANH3" s="11" t="n"/>
      <c r="ANI3" s="11" t="n"/>
      <c r="ANJ3" s="11" t="n"/>
      <c r="ANK3" s="11" t="n"/>
      <c r="ANL3" s="11" t="n"/>
      <c r="ANM3" s="11" t="n"/>
      <c r="ANN3" s="11" t="n"/>
      <c r="ANO3" s="11" t="n"/>
      <c r="ANP3" s="11" t="n"/>
      <c r="ANQ3" s="11" t="n"/>
      <c r="ANR3" s="11" t="n"/>
      <c r="ANS3" s="11" t="n"/>
      <c r="ANT3" s="11" t="n"/>
      <c r="ANU3" s="11" t="n"/>
      <c r="ANV3" s="11" t="n"/>
      <c r="ANW3" s="11" t="n"/>
      <c r="ANX3" s="11" t="n"/>
      <c r="ANY3" s="11" t="n"/>
      <c r="ANZ3" s="11" t="n"/>
      <c r="AOA3" s="11" t="n"/>
      <c r="AOB3" s="11" t="n"/>
      <c r="AOC3" s="11" t="n"/>
      <c r="AOD3" s="11" t="n"/>
      <c r="AOE3" s="11" t="n"/>
      <c r="AOF3" s="11" t="n"/>
      <c r="AOG3" s="11" t="n"/>
      <c r="AOH3" s="11" t="n"/>
      <c r="AOI3" s="11" t="n"/>
      <c r="AOJ3" s="11" t="n"/>
      <c r="AOK3" s="11" t="n"/>
      <c r="AOL3" s="11" t="n"/>
      <c r="AOM3" s="11" t="n"/>
      <c r="AON3" s="11" t="n"/>
      <c r="AOO3" s="11" t="n"/>
      <c r="AOP3" s="11" t="n"/>
      <c r="AOQ3" s="11" t="n"/>
      <c r="AOR3" s="11" t="n"/>
      <c r="AOS3" s="11" t="n"/>
      <c r="AOT3" s="11" t="n"/>
      <c r="AOU3" s="11" t="n"/>
      <c r="AOV3" s="11" t="n"/>
      <c r="AOW3" s="11" t="n"/>
      <c r="AOX3" s="11" t="n"/>
      <c r="AOY3" s="11" t="n"/>
      <c r="AOZ3" s="11" t="n"/>
      <c r="APA3" s="11" t="n"/>
      <c r="APB3" s="11" t="n"/>
      <c r="APC3" s="11" t="n"/>
      <c r="APD3" s="11" t="n"/>
      <c r="APE3" s="11" t="n"/>
      <c r="APF3" s="11" t="n"/>
      <c r="APG3" s="11" t="n"/>
      <c r="APH3" s="11" t="n"/>
      <c r="API3" s="11" t="n"/>
      <c r="APJ3" s="11" t="n"/>
      <c r="APK3" s="11" t="n"/>
      <c r="APL3" s="11" t="n"/>
      <c r="APM3" s="11" t="n"/>
      <c r="APN3" s="11" t="n"/>
      <c r="APO3" s="11" t="n"/>
      <c r="APP3" s="11" t="n"/>
      <c r="APQ3" s="11" t="n"/>
      <c r="APR3" s="11" t="n"/>
      <c r="APS3" s="11" t="n"/>
      <c r="APT3" s="11" t="n"/>
      <c r="APU3" s="11" t="n"/>
      <c r="APV3" s="11" t="n"/>
      <c r="APW3" s="11" t="n"/>
      <c r="APX3" s="11" t="n"/>
      <c r="APY3" s="11" t="n"/>
      <c r="APZ3" s="11" t="n"/>
      <c r="AQA3" s="11" t="n"/>
      <c r="AQB3" s="11" t="n"/>
      <c r="AQC3" s="11" t="n"/>
      <c r="AQD3" s="11" t="n"/>
      <c r="AQE3" s="11" t="n"/>
      <c r="AQF3" s="11" t="n"/>
      <c r="AQG3" s="11" t="n"/>
      <c r="AQH3" s="11" t="n"/>
      <c r="AQI3" s="11" t="n"/>
      <c r="AQJ3" s="11" t="n"/>
      <c r="AQK3" s="11" t="n"/>
      <c r="AQL3" s="11" t="n"/>
      <c r="AQM3" s="11" t="n"/>
      <c r="AQN3" s="11" t="n"/>
      <c r="AQO3" s="11" t="n"/>
      <c r="AQP3" s="11" t="n"/>
      <c r="AQQ3" s="11" t="n"/>
      <c r="AQR3" s="11" t="n"/>
      <c r="AQS3" s="11" t="n"/>
      <c r="AQT3" s="11" t="n"/>
      <c r="AQU3" s="11" t="n"/>
      <c r="AQV3" s="11" t="n"/>
      <c r="AQW3" s="11" t="n"/>
      <c r="AQX3" s="11" t="n"/>
      <c r="AQY3" s="11" t="n"/>
      <c r="AQZ3" s="11" t="n"/>
      <c r="ARA3" s="11" t="n"/>
      <c r="ARB3" s="11" t="n"/>
      <c r="ARC3" s="11" t="n"/>
      <c r="ARD3" s="11" t="n"/>
      <c r="ARE3" s="11" t="n"/>
      <c r="ARF3" s="11" t="n"/>
      <c r="ARG3" s="11" t="n"/>
      <c r="ARH3" s="11" t="n"/>
      <c r="ARI3" s="11" t="n"/>
      <c r="ARJ3" s="11" t="n"/>
      <c r="ARK3" s="11" t="n"/>
      <c r="ARL3" s="11" t="n"/>
      <c r="ARM3" s="11" t="n"/>
      <c r="ARN3" s="11" t="n"/>
      <c r="ARO3" s="11" t="n"/>
      <c r="ARP3" s="11" t="n"/>
      <c r="ARQ3" s="11" t="n"/>
      <c r="ARR3" s="11" t="n"/>
      <c r="ARS3" s="11" t="n"/>
      <c r="ART3" s="11" t="n"/>
      <c r="ARU3" s="11" t="n"/>
      <c r="ARV3" s="11" t="n"/>
      <c r="ARW3" s="11" t="n"/>
      <c r="ARX3" s="11" t="n"/>
      <c r="ARY3" s="11" t="n"/>
      <c r="ARZ3" s="11" t="n"/>
      <c r="ASA3" s="11" t="n"/>
      <c r="ASB3" s="11" t="n"/>
      <c r="ASC3" s="11" t="n"/>
      <c r="ASD3" s="11" t="n"/>
      <c r="ASE3" s="11" t="n"/>
      <c r="ASF3" s="11" t="n"/>
      <c r="ASG3" s="11" t="n"/>
      <c r="ASH3" s="11" t="n"/>
      <c r="ASI3" s="11" t="n"/>
      <c r="ASJ3" s="11" t="n"/>
      <c r="ASK3" s="11" t="n"/>
      <c r="ASL3" s="11" t="n"/>
      <c r="ASM3" s="11" t="n"/>
      <c r="ASN3" s="11" t="n"/>
      <c r="ASO3" s="11" t="n"/>
      <c r="ASP3" s="11" t="n"/>
      <c r="ASQ3" s="11" t="n"/>
      <c r="ASR3" s="11" t="n"/>
      <c r="ASS3" s="11" t="n"/>
      <c r="AST3" s="11" t="n"/>
      <c r="ASU3" s="11" t="n"/>
      <c r="ASV3" s="11" t="n"/>
      <c r="ASW3" s="11" t="n"/>
      <c r="ASX3" s="11" t="n"/>
      <c r="ASY3" s="11" t="n"/>
      <c r="ASZ3" s="11" t="n"/>
      <c r="ATA3" s="11" t="n"/>
      <c r="ATB3" s="11" t="n"/>
      <c r="ATC3" s="11" t="n"/>
      <c r="ATD3" s="11" t="n"/>
      <c r="ATE3" s="11" t="n"/>
      <c r="ATF3" s="11" t="n"/>
      <c r="ATG3" s="11" t="n"/>
      <c r="ATH3" s="11" t="n"/>
      <c r="ATI3" s="11" t="n"/>
      <c r="ATJ3" s="11" t="n"/>
      <c r="ATK3" s="11" t="n"/>
      <c r="ATL3" s="11" t="n"/>
      <c r="ATM3" s="11" t="n"/>
      <c r="ATN3" s="11" t="n"/>
      <c r="ATO3" s="11" t="n"/>
      <c r="ATP3" s="11" t="n"/>
      <c r="ATQ3" s="11" t="n"/>
      <c r="ATR3" s="11" t="n"/>
      <c r="ATS3" s="11" t="n"/>
      <c r="ATT3" s="11" t="n"/>
      <c r="ATU3" s="11" t="n"/>
      <c r="ATV3" s="11" t="n"/>
      <c r="ATW3" s="11" t="n"/>
      <c r="ATX3" s="11" t="n"/>
      <c r="ATY3" s="11" t="n"/>
      <c r="ATZ3" s="11" t="n"/>
      <c r="AUA3" s="11" t="n"/>
      <c r="AUB3" s="11" t="n"/>
      <c r="AUC3" s="11" t="n"/>
      <c r="AUD3" s="11" t="n"/>
      <c r="AUE3" s="11" t="n"/>
      <c r="AUF3" s="11" t="n"/>
      <c r="AUG3" s="11" t="n"/>
      <c r="AUH3" s="11" t="n"/>
      <c r="AUI3" s="11" t="n"/>
      <c r="AUJ3" s="11" t="n"/>
      <c r="AUK3" s="11" t="n"/>
      <c r="AUL3" s="11" t="n"/>
      <c r="AUM3" s="11" t="n"/>
      <c r="AUN3" s="11" t="n"/>
      <c r="AUO3" s="11" t="n"/>
      <c r="AUP3" s="11" t="n"/>
      <c r="AUQ3" s="11" t="n"/>
      <c r="AUR3" s="11" t="n"/>
      <c r="AUS3" s="11" t="n"/>
      <c r="AUT3" s="11" t="n"/>
      <c r="AUU3" s="11" t="n"/>
      <c r="AUV3" s="11" t="n"/>
      <c r="AUW3" s="11" t="n"/>
      <c r="AUX3" s="11" t="n"/>
      <c r="AUY3" s="11" t="n"/>
      <c r="AUZ3" s="11" t="n"/>
      <c r="AVA3" s="11" t="n"/>
      <c r="AVB3" s="11" t="n"/>
      <c r="AVC3" s="11" t="n"/>
      <c r="AVD3" s="11" t="n"/>
      <c r="AVE3" s="11" t="n"/>
      <c r="AVF3" s="11" t="n"/>
      <c r="AVG3" s="11" t="n"/>
      <c r="AVH3" s="11" t="n"/>
      <c r="AVI3" s="11" t="n"/>
      <c r="AVJ3" s="11" t="n"/>
      <c r="AVK3" s="11" t="n"/>
      <c r="AVL3" s="11" t="n"/>
      <c r="AVM3" s="11" t="n"/>
      <c r="AVN3" s="11" t="n"/>
      <c r="AVO3" s="11" t="n"/>
      <c r="AVP3" s="11" t="n"/>
      <c r="AVQ3" s="11" t="n"/>
      <c r="AVR3" s="11" t="n"/>
      <c r="AVS3" s="11" t="n"/>
      <c r="AVT3" s="11" t="n"/>
      <c r="AVU3" s="11" t="n"/>
      <c r="AVV3" s="11" t="n"/>
      <c r="AVW3" s="11" t="n"/>
      <c r="AVX3" s="11" t="n"/>
      <c r="AVY3" s="11" t="n"/>
      <c r="AVZ3" s="11" t="n"/>
      <c r="AWA3" s="11" t="n"/>
      <c r="AWB3" s="11" t="n"/>
      <c r="AWC3" s="11" t="n"/>
      <c r="AWD3" s="11" t="n"/>
      <c r="AWE3" s="11" t="n"/>
      <c r="AWF3" s="11" t="n"/>
      <c r="AWG3" s="11" t="n"/>
      <c r="AWH3" s="11" t="n"/>
      <c r="AWI3" s="11" t="n"/>
      <c r="AWJ3" s="11" t="n"/>
      <c r="AWK3" s="11" t="n"/>
      <c r="AWL3" s="11" t="n"/>
      <c r="AWM3" s="11" t="n"/>
      <c r="AWN3" s="11" t="n"/>
      <c r="AWO3" s="11" t="n"/>
      <c r="AWP3" s="11" t="n"/>
      <c r="AWQ3" s="11" t="n"/>
      <c r="AWR3" s="11" t="n"/>
      <c r="AWS3" s="11" t="n"/>
      <c r="AWT3" s="11" t="n"/>
      <c r="AWU3" s="11" t="n"/>
      <c r="AWV3" s="11" t="n"/>
      <c r="AWW3" s="11" t="n"/>
      <c r="AWX3" s="11" t="n"/>
      <c r="AWY3" s="11" t="n"/>
      <c r="AWZ3" s="11" t="n"/>
      <c r="AXA3" s="11" t="n"/>
      <c r="AXB3" s="11" t="n"/>
      <c r="AXC3" s="11" t="n"/>
      <c r="AXD3" s="11" t="n"/>
      <c r="AXE3" s="11" t="n"/>
      <c r="AXF3" s="11" t="n"/>
      <c r="AXG3" s="11" t="n"/>
      <c r="AXH3" s="11" t="n"/>
      <c r="AXI3" s="11" t="n"/>
      <c r="AXJ3" s="11" t="n"/>
      <c r="AXK3" s="11" t="n"/>
      <c r="AXL3" s="11" t="n"/>
      <c r="AXM3" s="11" t="n"/>
      <c r="AXN3" s="11" t="n"/>
      <c r="AXO3" s="11" t="n"/>
      <c r="AXP3" s="11" t="n"/>
      <c r="AXQ3" s="11" t="n"/>
      <c r="AXR3" s="11" t="n"/>
      <c r="AXS3" s="11" t="n"/>
      <c r="AXT3" s="11" t="n"/>
      <c r="AXU3" s="11" t="n"/>
      <c r="AXV3" s="11" t="n"/>
      <c r="AXW3" s="11" t="n"/>
      <c r="AXX3" s="11" t="n"/>
      <c r="AXY3" s="11" t="n"/>
      <c r="AXZ3" s="11" t="n"/>
      <c r="AYA3" s="11" t="n"/>
      <c r="AYB3" s="11" t="n"/>
      <c r="AYC3" s="11" t="n"/>
      <c r="AYD3" s="11" t="n"/>
      <c r="AYE3" s="11" t="n"/>
      <c r="AYF3" s="11" t="n"/>
      <c r="AYG3" s="11" t="n"/>
      <c r="AYH3" s="11" t="n"/>
      <c r="AYI3" s="11" t="n"/>
      <c r="AYJ3" s="11" t="n"/>
      <c r="AYK3" s="11" t="n"/>
      <c r="AYL3" s="11" t="n"/>
      <c r="AYM3" s="11" t="n"/>
      <c r="AYN3" s="11" t="n"/>
      <c r="AYO3" s="11" t="n"/>
      <c r="AYP3" s="11" t="n"/>
      <c r="AYQ3" s="11" t="n"/>
      <c r="AYR3" s="11" t="n"/>
      <c r="AYS3" s="11" t="n"/>
      <c r="AYT3" s="11" t="n"/>
      <c r="AYU3" s="11" t="n"/>
      <c r="AYV3" s="11" t="n"/>
      <c r="AYW3" s="11" t="n"/>
      <c r="AYX3" s="11" t="n"/>
      <c r="AYY3" s="11" t="n"/>
      <c r="AYZ3" s="11" t="n"/>
      <c r="AZA3" s="11" t="n"/>
      <c r="AZB3" s="11" t="n"/>
      <c r="AZC3" s="11" t="n"/>
      <c r="AZD3" s="11" t="n"/>
      <c r="AZE3" s="11" t="n"/>
      <c r="AZF3" s="11" t="n"/>
    </row>
    <row r="4" ht="14.4" customHeight="1">
      <c r="A4" s="14" t="n">
        <v>1</v>
      </c>
      <c r="B4" s="15" t="inlineStr">
        <is>
          <t>Sp</t>
        </is>
      </c>
      <c r="C4" s="10" t="n">
        <v>9</v>
      </c>
      <c r="D4" s="10" t="n">
        <v>25</v>
      </c>
      <c r="E4" s="16" t="n">
        <v>365</v>
      </c>
      <c r="F4" s="22" t="n">
        <v>0.0001</v>
      </c>
      <c r="G4" s="10" t="n">
        <v>1500</v>
      </c>
      <c r="H4" s="13" t="n">
        <v>0.0014</v>
      </c>
      <c r="I4" s="18" t="n">
        <v>10950</v>
      </c>
      <c r="J4" s="20" t="n">
        <v>9</v>
      </c>
      <c r="K4" s="19">
        <f>(F4*G4*E4*J4)/(D4*I4)</f>
        <v/>
      </c>
      <c r="L4" s="2">
        <f>(F4*G4*E4*5)/(D4*I4)</f>
        <v/>
      </c>
      <c r="M4" s="2">
        <f>(F4*G4*E4*10)/(D4*I4)</f>
        <v/>
      </c>
      <c r="N4" s="2">
        <f>(F4*G4*E4*15)/(D4*I4)</f>
        <v/>
      </c>
      <c r="O4" s="2">
        <f>(F4*G4*E4*20)/(D4*I4)</f>
        <v/>
      </c>
      <c r="P4" s="2">
        <f>(F4*G4*E4*25)/(D4*I4)</f>
        <v/>
      </c>
      <c r="Q4" s="2">
        <f>(F4*G4*E4*30)/(D4*I4)</f>
        <v/>
      </c>
      <c r="R4" s="2">
        <f>K4/H4</f>
        <v/>
      </c>
      <c r="S4" s="2">
        <f>L4/H4</f>
        <v/>
      </c>
      <c r="T4" s="2">
        <f>M4/H4</f>
        <v/>
      </c>
      <c r="U4" s="2">
        <f>N4/H4</f>
        <v/>
      </c>
      <c r="V4" s="2">
        <f>O4/H4</f>
        <v/>
      </c>
      <c r="W4" s="2">
        <f>P4/H4</f>
        <v/>
      </c>
      <c r="X4" s="2">
        <f>Q4/H4</f>
        <v/>
      </c>
      <c r="Y4" s="5">
        <f>IF(R4&gt;1,"1","2")</f>
        <v/>
      </c>
      <c r="Z4" s="5">
        <f>IF(S4&gt;1,"1","2")</f>
        <v/>
      </c>
      <c r="AA4" s="5">
        <f>IF(T4&gt;1,"1","2")</f>
        <v/>
      </c>
      <c r="AB4" s="5">
        <f>IF(U4&gt;1,"1","2")</f>
        <v/>
      </c>
      <c r="AC4" s="5">
        <f>IF(V4&gt;1,"1","2")</f>
        <v/>
      </c>
      <c r="AD4" s="5">
        <f>IF(W4&gt;1,"1","2")</f>
        <v/>
      </c>
      <c r="AE4" s="5">
        <f>IF(X4&gt;1,"1","2")</f>
        <v/>
      </c>
      <c r="AF4" t="n">
        <v>-5.150558</v>
      </c>
      <c r="AG4" t="n">
        <v>119.405158</v>
      </c>
    </row>
    <row r="5" ht="14.4" customHeight="1">
      <c r="A5" s="14" t="n">
        <v>2</v>
      </c>
      <c r="B5" s="15" t="inlineStr">
        <is>
          <t>Gi</t>
        </is>
      </c>
      <c r="C5" s="10" t="n">
        <v>9</v>
      </c>
      <c r="D5" s="10" t="n">
        <v>25</v>
      </c>
      <c r="E5" s="16" t="n">
        <v>365</v>
      </c>
      <c r="F5" s="22" t="n">
        <v>0.0001</v>
      </c>
      <c r="G5" s="10" t="n">
        <v>900</v>
      </c>
      <c r="H5" s="13" t="n">
        <v>0.0014</v>
      </c>
      <c r="I5" s="18" t="n">
        <v>10950</v>
      </c>
      <c r="J5" s="20" t="n">
        <v>9</v>
      </c>
      <c r="K5" s="19">
        <f>(F5*G5*E5*J5)/(D5*I5)</f>
        <v/>
      </c>
      <c r="L5" s="2">
        <f>(F5*G5*E5*5)/(D5*I5)</f>
        <v/>
      </c>
      <c r="M5" s="2">
        <f>(F5*G5*E5*10)/(D5*I5)</f>
        <v/>
      </c>
      <c r="N5" s="2">
        <f>(F5*G5*E5*15)/(D5*I5)</f>
        <v/>
      </c>
      <c r="O5" s="2">
        <f>(F5*G5*E5*20)/(D5*I5)</f>
        <v/>
      </c>
      <c r="P5" s="2">
        <f>(F5*G5*E5*25)/(D5*I5)</f>
        <v/>
      </c>
      <c r="Q5" s="2">
        <f>(F5*G5*E5*30)/(D5*I5)</f>
        <v/>
      </c>
      <c r="R5" s="2">
        <f>K5/H5</f>
        <v/>
      </c>
      <c r="S5" s="2">
        <f>L5/H5</f>
        <v/>
      </c>
      <c r="T5" s="2">
        <f>M5/H5</f>
        <v/>
      </c>
      <c r="U5" s="2">
        <f>N5/H5</f>
        <v/>
      </c>
      <c r="V5" s="2">
        <f>O5/H5</f>
        <v/>
      </c>
      <c r="W5" s="2">
        <f>P5/H5</f>
        <v/>
      </c>
      <c r="X5" s="2">
        <f>Q5/H5</f>
        <v/>
      </c>
      <c r="Y5" s="5">
        <f>IF(R5&gt;1,"1","2")</f>
        <v/>
      </c>
      <c r="Z5" s="5">
        <f>IF(S5&gt;1,"1","2")</f>
        <v/>
      </c>
      <c r="AA5" s="5">
        <f>IF(T5&gt;1,"1","2")</f>
        <v/>
      </c>
      <c r="AB5" s="5">
        <f>IF(U5&gt;1,"1","2")</f>
        <v/>
      </c>
      <c r="AC5" s="5">
        <f>IF(V5&gt;1,"1","2")</f>
        <v/>
      </c>
      <c r="AD5" s="5">
        <f>IF(W5&gt;1,"1","2")</f>
        <v/>
      </c>
      <c r="AE5" s="5">
        <f>IF(X5&gt;1,"1","2")</f>
        <v/>
      </c>
      <c r="AF5" t="n">
        <v>-5.135084</v>
      </c>
      <c r="AG5" t="n">
        <v>119.437089</v>
      </c>
    </row>
    <row r="6" ht="14.4" customHeight="1">
      <c r="A6" s="14" t="n">
        <v>3</v>
      </c>
      <c r="B6" s="15" t="inlineStr">
        <is>
          <t>Gia</t>
        </is>
      </c>
      <c r="C6" s="10" t="n">
        <v>9</v>
      </c>
      <c r="D6" s="10" t="n">
        <v>25</v>
      </c>
      <c r="E6" s="16" t="n">
        <v>365</v>
      </c>
      <c r="F6" s="22" t="n">
        <v>0.0001</v>
      </c>
      <c r="G6" s="10" t="n">
        <v>900</v>
      </c>
      <c r="H6" s="13" t="n">
        <v>0.0014</v>
      </c>
      <c r="I6" s="18" t="n">
        <v>10950</v>
      </c>
      <c r="J6" s="20" t="n">
        <v>9</v>
      </c>
      <c r="K6" s="19">
        <f>(F6*G6*E6*J6)/(D6*I6)</f>
        <v/>
      </c>
      <c r="L6" s="2">
        <f>(F6*G6*E6*5)/(D6*I6)</f>
        <v/>
      </c>
      <c r="M6" s="2">
        <f>(F6*G6*E6*10)/(D6*I6)</f>
        <v/>
      </c>
      <c r="N6" s="2">
        <f>(F6*G6*E6*15)/(D6*I6)</f>
        <v/>
      </c>
      <c r="O6" s="2">
        <f>(F6*G6*E6*20)/(D6*I6)</f>
        <v/>
      </c>
      <c r="P6" s="2">
        <f>(F6*G6*E6*25)/(D6*I6)</f>
        <v/>
      </c>
      <c r="Q6" s="2">
        <f>(F6*G6*E6*30)/(D6*I6)</f>
        <v/>
      </c>
      <c r="R6" s="2">
        <f>K6/H6</f>
        <v/>
      </c>
      <c r="S6" s="2">
        <f>L6/H6</f>
        <v/>
      </c>
      <c r="T6" s="2">
        <f>M6/H6</f>
        <v/>
      </c>
      <c r="U6" s="2">
        <f>N6/H6</f>
        <v/>
      </c>
      <c r="V6" s="2">
        <f>O6/H6</f>
        <v/>
      </c>
      <c r="W6" s="2">
        <f>P6/H6</f>
        <v/>
      </c>
      <c r="X6" s="2">
        <f>Q6/H6</f>
        <v/>
      </c>
      <c r="Y6" s="5">
        <f>IF(R6&gt;1,"1","2")</f>
        <v/>
      </c>
      <c r="Z6" s="5">
        <f>IF(S6&gt;1,"1","2")</f>
        <v/>
      </c>
      <c r="AA6" s="5">
        <f>IF(T6&gt;1,"1","2")</f>
        <v/>
      </c>
      <c r="AB6" s="5">
        <f>IF(U6&gt;1,"1","2")</f>
        <v/>
      </c>
      <c r="AC6" s="5">
        <f>IF(V6&gt;1,"1","2")</f>
        <v/>
      </c>
      <c r="AD6" s="5">
        <f>IF(W6&gt;1,"1","2")</f>
        <v/>
      </c>
      <c r="AE6" s="5">
        <f>IF(X6&gt;1,"1","2")</f>
        <v/>
      </c>
      <c r="AF6" t="n">
        <v>-5.128266</v>
      </c>
      <c r="AG6" t="n">
        <v>119.441098</v>
      </c>
    </row>
    <row r="7" ht="14.4" customHeight="1">
      <c r="A7" s="14" t="n">
        <v>4</v>
      </c>
      <c r="B7" s="15" t="inlineStr">
        <is>
          <t>Rsp</t>
        </is>
      </c>
      <c r="C7" s="10" t="n">
        <v>9</v>
      </c>
      <c r="D7" s="10" t="n">
        <v>23</v>
      </c>
      <c r="E7" s="16" t="n">
        <v>365</v>
      </c>
      <c r="F7" s="22" t="n">
        <v>0.0001</v>
      </c>
      <c r="G7" s="10" t="n">
        <v>1500</v>
      </c>
      <c r="H7" s="13" t="n">
        <v>0.0014</v>
      </c>
      <c r="I7" s="18" t="n">
        <v>10950</v>
      </c>
      <c r="J7" s="20" t="n">
        <v>9</v>
      </c>
      <c r="K7" s="19">
        <f>(F7*G7*E7*J7)/(D7*I7)</f>
        <v/>
      </c>
      <c r="L7" s="2">
        <f>(F7*G7*E7*5)/(D7*I7)</f>
        <v/>
      </c>
      <c r="M7" s="2">
        <f>(F7*G7*E7*10)/(D7*I7)</f>
        <v/>
      </c>
      <c r="N7" s="2">
        <f>(F7*G7*E7*15)/(D7*I7)</f>
        <v/>
      </c>
      <c r="O7" s="2">
        <f>(F7*G7*E7*20)/(D7*I7)</f>
        <v/>
      </c>
      <c r="P7" s="2">
        <f>(F7*G7*E7*25)/(D7*I7)</f>
        <v/>
      </c>
      <c r="Q7" s="2">
        <f>(F7*G7*E7*30)/(D7*I7)</f>
        <v/>
      </c>
      <c r="R7" s="2">
        <f>K7/H7</f>
        <v/>
      </c>
      <c r="S7" s="2">
        <f>L7/H7</f>
        <v/>
      </c>
      <c r="T7" s="2">
        <f>M7/H7</f>
        <v/>
      </c>
      <c r="U7" s="2">
        <f>N7/H7</f>
        <v/>
      </c>
      <c r="V7" s="2">
        <f>O7/H7</f>
        <v/>
      </c>
      <c r="W7" s="2">
        <f>P7/H7</f>
        <v/>
      </c>
      <c r="X7" s="2">
        <f>Q7/H7</f>
        <v/>
      </c>
      <c r="Y7" s="5">
        <f>IF(R7&gt;1,"1","2")</f>
        <v/>
      </c>
      <c r="Z7" s="5">
        <f>IF(S7&gt;1,"1","2")</f>
        <v/>
      </c>
      <c r="AA7" s="5">
        <f>IF(T7&gt;1,"1","2")</f>
        <v/>
      </c>
      <c r="AB7" s="5">
        <f>IF(U7&gt;1,"1","2")</f>
        <v/>
      </c>
      <c r="AC7" s="5">
        <f>IF(V7&gt;1,"1","2")</f>
        <v/>
      </c>
      <c r="AD7" s="5">
        <f>IF(W7&gt;1,"1","2")</f>
        <v/>
      </c>
      <c r="AE7" s="5">
        <f>IF(X7&gt;1,"1","2")</f>
        <v/>
      </c>
      <c r="AF7" t="n">
        <v>-5.147047</v>
      </c>
      <c r="AG7" t="n">
        <v>119.407542</v>
      </c>
    </row>
    <row r="8" ht="14.4" customHeight="1">
      <c r="A8" s="14" t="n">
        <v>5</v>
      </c>
      <c r="B8" s="15" t="inlineStr">
        <is>
          <t>Nk</t>
        </is>
      </c>
      <c r="C8" s="10" t="n">
        <v>9</v>
      </c>
      <c r="D8" s="10" t="n">
        <v>20</v>
      </c>
      <c r="E8" s="16" t="n">
        <v>365</v>
      </c>
      <c r="F8" s="22" t="n">
        <v>0.0001</v>
      </c>
      <c r="G8" s="10" t="n">
        <v>2100</v>
      </c>
      <c r="H8" s="13" t="n">
        <v>0.0014</v>
      </c>
      <c r="I8" s="18" t="n">
        <v>10950</v>
      </c>
      <c r="J8" s="20" t="n">
        <v>9</v>
      </c>
      <c r="K8" s="19">
        <f>(F8*G8*E8*J8)/(D8*I8)</f>
        <v/>
      </c>
      <c r="L8" s="2">
        <f>(F8*G8*E8*5)/(D8*I8)</f>
        <v/>
      </c>
      <c r="M8" s="2">
        <f>(F8*G8*E8*10)/(D8*I8)</f>
        <v/>
      </c>
      <c r="N8" s="2">
        <f>(F8*G8*E8*15)/(D8*I8)</f>
        <v/>
      </c>
      <c r="O8" s="2">
        <f>(F8*G8*E8*20)/(D8*I8)</f>
        <v/>
      </c>
      <c r="P8" s="2">
        <f>(F8*G8*E8*25)/(D8*I8)</f>
        <v/>
      </c>
      <c r="Q8" s="2">
        <f>(F8*G8*E8*30)/(D8*I8)</f>
        <v/>
      </c>
      <c r="R8" s="2">
        <f>K8/H8</f>
        <v/>
      </c>
      <c r="S8" s="2">
        <f>L8/H8</f>
        <v/>
      </c>
      <c r="T8" s="2">
        <f>M8/H8</f>
        <v/>
      </c>
      <c r="U8" s="2">
        <f>N8/H8</f>
        <v/>
      </c>
      <c r="V8" s="2">
        <f>O8/H8</f>
        <v/>
      </c>
      <c r="W8" s="2">
        <f>P8/H8</f>
        <v/>
      </c>
      <c r="X8" s="2">
        <f>Q8/H8</f>
        <v/>
      </c>
      <c r="Y8" s="5">
        <f>IF(R8&gt;1,"1","2")</f>
        <v/>
      </c>
      <c r="Z8" s="5">
        <f>IF(S8&gt;1,"1","2")</f>
        <v/>
      </c>
      <c r="AA8" s="5">
        <f>IF(T8&gt;1,"1","2")</f>
        <v/>
      </c>
      <c r="AB8" s="5">
        <f>IF(U8&gt;1,"1","2")</f>
        <v/>
      </c>
      <c r="AC8" s="5">
        <f>IF(V8&gt;1,"1","2")</f>
        <v/>
      </c>
      <c r="AD8" s="5">
        <f>IF(W8&gt;1,"1","2")</f>
        <v/>
      </c>
      <c r="AE8" s="5">
        <f>IF(X8&gt;1,"1","2")</f>
        <v/>
      </c>
      <c r="AF8" t="n">
        <v>-5.150932</v>
      </c>
      <c r="AG8" t="n">
        <v>119.448115</v>
      </c>
    </row>
    <row r="9" ht="14.4" customHeight="1">
      <c r="A9" s="14" t="n">
        <v>6</v>
      </c>
      <c r="B9" s="15" t="inlineStr">
        <is>
          <t>Tsy</t>
        </is>
      </c>
      <c r="C9" s="10" t="n">
        <v>9</v>
      </c>
      <c r="D9" s="10" t="n">
        <v>40</v>
      </c>
      <c r="E9" s="16" t="n">
        <v>365</v>
      </c>
      <c r="F9" s="22" t="n">
        <v>0.0001</v>
      </c>
      <c r="G9" s="10" t="n">
        <v>900</v>
      </c>
      <c r="H9" s="13" t="n">
        <v>0.0014</v>
      </c>
      <c r="I9" s="18" t="n">
        <v>10950</v>
      </c>
      <c r="J9" s="20" t="n">
        <v>5</v>
      </c>
      <c r="K9" s="19">
        <f>(F9*G9*E9*J9)/(D9*I9)</f>
        <v/>
      </c>
      <c r="L9" s="2">
        <f>(F9*G9*E9*5)/(D9*I9)</f>
        <v/>
      </c>
      <c r="M9" s="2">
        <f>(F9*G9*E9*10)/(D9*I9)</f>
        <v/>
      </c>
      <c r="N9" s="2">
        <f>(F9*G9*E9*15)/(D9*I9)</f>
        <v/>
      </c>
      <c r="O9" s="2">
        <f>(F9*G9*E9*20)/(D9*I9)</f>
        <v/>
      </c>
      <c r="P9" s="2">
        <f>(F9*G9*E9*25)/(D9*I9)</f>
        <v/>
      </c>
      <c r="Q9" s="2">
        <f>(F9*G9*E9*30)/(D9*I9)</f>
        <v/>
      </c>
      <c r="R9" s="2">
        <f>K9/H9</f>
        <v/>
      </c>
      <c r="S9" s="2">
        <f>L9/H9</f>
        <v/>
      </c>
      <c r="T9" s="2">
        <f>M9/H9</f>
        <v/>
      </c>
      <c r="U9" s="2">
        <f>N9/H9</f>
        <v/>
      </c>
      <c r="V9" s="2">
        <f>O9/H9</f>
        <v/>
      </c>
      <c r="W9" s="2">
        <f>P9/H9</f>
        <v/>
      </c>
      <c r="X9" s="2">
        <f>Q9/H9</f>
        <v/>
      </c>
      <c r="Y9" s="5">
        <f>IF(R9&gt;1,"1","2")</f>
        <v/>
      </c>
      <c r="Z9" s="5">
        <f>IF(S9&gt;1,"1","2")</f>
        <v/>
      </c>
      <c r="AA9" s="5">
        <f>IF(T9&gt;1,"1","2")</f>
        <v/>
      </c>
      <c r="AB9" s="5">
        <f>IF(U9&gt;1,"1","2")</f>
        <v/>
      </c>
      <c r="AC9" s="5">
        <f>IF(V9&gt;1,"1","2")</f>
        <v/>
      </c>
      <c r="AD9" s="5">
        <f>IF(W9&gt;1,"1","2")</f>
        <v/>
      </c>
      <c r="AE9" s="5">
        <f>IF(X9&gt;1,"1","2")</f>
        <v/>
      </c>
      <c r="AF9" t="n">
        <v>-5.14148</v>
      </c>
      <c r="AG9" t="n">
        <v>119.418666</v>
      </c>
    </row>
    <row r="10" ht="14.4" customHeight="1">
      <c r="A10" s="14" t="n">
        <v>7</v>
      </c>
      <c r="B10" s="15" t="inlineStr">
        <is>
          <t>Alf</t>
        </is>
      </c>
      <c r="C10" s="10" t="n">
        <v>9</v>
      </c>
      <c r="D10" s="10" t="n">
        <v>22</v>
      </c>
      <c r="E10" s="16" t="n">
        <v>365</v>
      </c>
      <c r="F10" s="22" t="n">
        <v>0.0001</v>
      </c>
      <c r="G10" s="10" t="n">
        <v>900</v>
      </c>
      <c r="H10" s="13" t="n">
        <v>0.0014</v>
      </c>
      <c r="I10" s="18" t="n">
        <v>10950</v>
      </c>
      <c r="J10" s="20" t="n">
        <v>9</v>
      </c>
      <c r="K10" s="19">
        <f>(F10*G10*E10*J10)/(D10*I10)</f>
        <v/>
      </c>
      <c r="L10" s="2">
        <f>(F10*G10*E10*5)/(D10*I10)</f>
        <v/>
      </c>
      <c r="M10" s="2">
        <f>(F10*G10*E10*10)/(D10*I10)</f>
        <v/>
      </c>
      <c r="N10" s="2">
        <f>(F10*G10*E10*15)/(D10*I10)</f>
        <v/>
      </c>
      <c r="O10" s="2">
        <f>(F10*G10*E10*20)/(D10*I10)</f>
        <v/>
      </c>
      <c r="P10" s="2">
        <f>(F10*G10*E10*25)/(D10*I10)</f>
        <v/>
      </c>
      <c r="Q10" s="2">
        <f>(F10*G10*E10*30)/(D10*I10)</f>
        <v/>
      </c>
      <c r="R10" s="2">
        <f>K10/H10</f>
        <v/>
      </c>
      <c r="S10" s="2">
        <f>L10/H10</f>
        <v/>
      </c>
      <c r="T10" s="2">
        <f>M10/H10</f>
        <v/>
      </c>
      <c r="U10" s="2">
        <f>N10/H10</f>
        <v/>
      </c>
      <c r="V10" s="2">
        <f>O10/H10</f>
        <v/>
      </c>
      <c r="W10" s="2">
        <f>P10/H10</f>
        <v/>
      </c>
      <c r="X10" s="2">
        <f>Q10/H10</f>
        <v/>
      </c>
      <c r="Y10" s="5">
        <f>IF(R10&gt;1,"1","2")</f>
        <v/>
      </c>
      <c r="Z10" s="5">
        <f>IF(S10&gt;1,"1","2")</f>
        <v/>
      </c>
      <c r="AA10" s="5">
        <f>IF(T10&gt;1,"1","2")</f>
        <v/>
      </c>
      <c r="AB10" s="5">
        <f>IF(U10&gt;1,"1","2")</f>
        <v/>
      </c>
      <c r="AC10" s="5">
        <f>IF(V10&gt;1,"1","2")</f>
        <v/>
      </c>
      <c r="AD10" s="5">
        <f>IF(W10&gt;1,"1","2")</f>
        <v/>
      </c>
      <c r="AE10" s="5">
        <f>IF(X10&gt;1,"1","2")</f>
        <v/>
      </c>
      <c r="AF10" t="n">
        <v>-5.137144</v>
      </c>
      <c r="AG10" t="n">
        <v>119.421444</v>
      </c>
    </row>
    <row r="11" ht="14.4" customHeight="1">
      <c r="A11" s="14" t="n">
        <v>8</v>
      </c>
      <c r="B11" s="15" t="inlineStr">
        <is>
          <t>Sab</t>
        </is>
      </c>
      <c r="C11" s="10" t="n">
        <v>9</v>
      </c>
      <c r="D11" s="10" t="n">
        <v>20</v>
      </c>
      <c r="E11" s="16" t="n">
        <v>365</v>
      </c>
      <c r="F11" s="22" t="n">
        <v>0.0001</v>
      </c>
      <c r="G11" s="10" t="n">
        <v>900</v>
      </c>
      <c r="H11" s="13" t="n">
        <v>0.0014</v>
      </c>
      <c r="I11" s="18" t="n">
        <v>10950</v>
      </c>
      <c r="J11" s="20" t="n">
        <v>6</v>
      </c>
      <c r="K11" s="19">
        <f>(F11*G11*E11*J11)/(D11*I11)</f>
        <v/>
      </c>
      <c r="L11" s="2">
        <f>(F11*G11*E11*5)/(D11*I11)</f>
        <v/>
      </c>
      <c r="M11" s="2">
        <f>(F11*G11*E11*10)/(D11*I11)</f>
        <v/>
      </c>
      <c r="N11" s="2">
        <f>(F11*G11*E11*15)/(D11*I11)</f>
        <v/>
      </c>
      <c r="O11" s="2">
        <f>(F11*G11*E11*20)/(D11*I11)</f>
        <v/>
      </c>
      <c r="P11" s="2">
        <f>(F11*G11*E11*25)/(D11*I11)</f>
        <v/>
      </c>
      <c r="Q11" s="2">
        <f>(F11*G11*E11*30)/(D11*I11)</f>
        <v/>
      </c>
      <c r="R11" s="2">
        <f>K11/H11</f>
        <v/>
      </c>
      <c r="S11" s="2">
        <f>L11/H11</f>
        <v/>
      </c>
      <c r="T11" s="2">
        <f>M11/H11</f>
        <v/>
      </c>
      <c r="U11" s="2">
        <f>N11/H11</f>
        <v/>
      </c>
      <c r="V11" s="2">
        <f>O11/H11</f>
        <v/>
      </c>
      <c r="W11" s="2">
        <f>P11/H11</f>
        <v/>
      </c>
      <c r="X11" s="2">
        <f>Q11/H11</f>
        <v/>
      </c>
      <c r="Y11" s="5">
        <f>IF(R11&gt;1,"1","2")</f>
        <v/>
      </c>
      <c r="Z11" s="5">
        <f>IF(S11&gt;1,"1","2")</f>
        <v/>
      </c>
      <c r="AA11" s="5">
        <f>IF(T11&gt;1,"1","2")</f>
        <v/>
      </c>
      <c r="AB11" s="5">
        <f>IF(U11&gt;1,"1","2")</f>
        <v/>
      </c>
      <c r="AC11" s="5">
        <f>IF(V11&gt;1,"1","2")</f>
        <v/>
      </c>
      <c r="AD11" s="5">
        <f>IF(W11&gt;1,"1","2")</f>
        <v/>
      </c>
      <c r="AE11" s="5">
        <f>IF(X11&gt;1,"1","2")</f>
        <v/>
      </c>
      <c r="AF11" t="n">
        <v>-5.141905</v>
      </c>
      <c r="AG11" t="n">
        <v>119.427989</v>
      </c>
    </row>
    <row r="12" ht="14.4" customHeight="1">
      <c r="A12" s="14" t="n">
        <v>9</v>
      </c>
      <c r="B12" s="15" t="inlineStr">
        <is>
          <t>Dea</t>
        </is>
      </c>
      <c r="C12" s="10" t="n">
        <v>9</v>
      </c>
      <c r="D12" s="10" t="n">
        <v>39</v>
      </c>
      <c r="E12" s="16" t="n">
        <v>365</v>
      </c>
      <c r="F12" s="22" t="n">
        <v>0.0001</v>
      </c>
      <c r="G12" s="10" t="n">
        <v>900</v>
      </c>
      <c r="H12" s="13" t="n">
        <v>0.0014</v>
      </c>
      <c r="I12" s="18" t="n">
        <v>10950</v>
      </c>
      <c r="J12" s="20" t="n">
        <v>1</v>
      </c>
      <c r="K12" s="19">
        <f>(F12*G12*E12*J12)/(D12*I12)</f>
        <v/>
      </c>
      <c r="L12" s="2">
        <f>(F12*G12*E12*5)/(D12*I12)</f>
        <v/>
      </c>
      <c r="M12" s="2">
        <f>(F12*G12*E12*10)/(D12*I12)</f>
        <v/>
      </c>
      <c r="N12" s="2">
        <f>(F12*G12*E12*15)/(D12*I12)</f>
        <v/>
      </c>
      <c r="O12" s="2">
        <f>(F12*G12*E12*20)/(D12*I12)</f>
        <v/>
      </c>
      <c r="P12" s="2">
        <f>(F12*G12*E12*25)/(D12*I12)</f>
        <v/>
      </c>
      <c r="Q12" s="2">
        <f>(F12*G12*E12*30)/(D12*I12)</f>
        <v/>
      </c>
      <c r="R12" s="2">
        <f>K12/H12</f>
        <v/>
      </c>
      <c r="S12" s="2">
        <f>L12/H12</f>
        <v/>
      </c>
      <c r="T12" s="2">
        <f>M12/H12</f>
        <v/>
      </c>
      <c r="U12" s="2">
        <f>N12/H12</f>
        <v/>
      </c>
      <c r="V12" s="2">
        <f>O12/H12</f>
        <v/>
      </c>
      <c r="W12" s="2">
        <f>P12/H12</f>
        <v/>
      </c>
      <c r="X12" s="2">
        <f>Q12/H12</f>
        <v/>
      </c>
      <c r="Y12" s="5">
        <f>IF(R12&gt;1,"1","2")</f>
        <v/>
      </c>
      <c r="Z12" s="5">
        <f>IF(S12&gt;1,"1","2")</f>
        <v/>
      </c>
      <c r="AA12" s="5">
        <f>IF(T12&gt;1,"1","2")</f>
        <v/>
      </c>
      <c r="AB12" s="5">
        <f>IF(U12&gt;1,"1","2")</f>
        <v/>
      </c>
      <c r="AC12" s="5">
        <f>IF(V12&gt;1,"1","2")</f>
        <v/>
      </c>
      <c r="AD12" s="5">
        <f>IF(W12&gt;1,"1","2")</f>
        <v/>
      </c>
      <c r="AE12" s="5">
        <f>IF(X12&gt;1,"1","2")</f>
        <v/>
      </c>
      <c r="AF12" t="n">
        <v>-5.141017</v>
      </c>
      <c r="AG12" t="n">
        <v>119.432874</v>
      </c>
    </row>
    <row r="13" ht="14.4" customHeight="1">
      <c r="A13" s="14" t="n">
        <v>10</v>
      </c>
      <c r="B13" s="15" t="inlineStr">
        <is>
          <t>Muh</t>
        </is>
      </c>
      <c r="C13" s="10" t="n">
        <v>9</v>
      </c>
      <c r="D13" s="10" t="n">
        <v>26</v>
      </c>
      <c r="E13" s="16" t="n">
        <v>365</v>
      </c>
      <c r="F13" s="22" t="n">
        <v>0.0001</v>
      </c>
      <c r="G13" s="10" t="n">
        <v>900</v>
      </c>
      <c r="H13" s="13" t="n">
        <v>0.0014</v>
      </c>
      <c r="I13" s="18" t="n">
        <v>10950</v>
      </c>
      <c r="J13" s="20" t="n">
        <v>9</v>
      </c>
      <c r="K13" s="19">
        <f>(F13*G13*E13*J13)/(D13*I13)</f>
        <v/>
      </c>
      <c r="L13" s="2">
        <f>(F13*G13*E13*5)/(D13*I13)</f>
        <v/>
      </c>
      <c r="M13" s="2">
        <f>(F13*G13*E13*10)/(D13*I13)</f>
        <v/>
      </c>
      <c r="N13" s="2">
        <f>(F13*G13*E13*15)/(D13*I13)</f>
        <v/>
      </c>
      <c r="O13" s="2">
        <f>(F13*G13*E13*20)/(D13*I13)</f>
        <v/>
      </c>
      <c r="P13" s="2">
        <f>(F13*G13*E13*25)/(D13*I13)</f>
        <v/>
      </c>
      <c r="Q13" s="2">
        <f>(F13*G13*E13*30)/(D13*I13)</f>
        <v/>
      </c>
      <c r="R13" s="2">
        <f>K13/H13</f>
        <v/>
      </c>
      <c r="S13" s="2">
        <f>L13/H13</f>
        <v/>
      </c>
      <c r="T13" s="2">
        <f>M13/H13</f>
        <v/>
      </c>
      <c r="U13" s="2">
        <f>N13/H13</f>
        <v/>
      </c>
      <c r="V13" s="2">
        <f>O13/H13</f>
        <v/>
      </c>
      <c r="W13" s="2">
        <f>P13/H13</f>
        <v/>
      </c>
      <c r="X13" s="2">
        <f>Q13/H13</f>
        <v/>
      </c>
      <c r="Y13" s="5">
        <f>IF(R13&gt;1,"1","2")</f>
        <v/>
      </c>
      <c r="Z13" s="5">
        <f>IF(S13&gt;1,"1","2")</f>
        <v/>
      </c>
      <c r="AA13" s="5">
        <f>IF(T13&gt;1,"1","2")</f>
        <v/>
      </c>
      <c r="AB13" s="5">
        <f>IF(U13&gt;1,"1","2")</f>
        <v/>
      </c>
      <c r="AC13" s="5">
        <f>IF(V13&gt;1,"1","2")</f>
        <v/>
      </c>
      <c r="AD13" s="5">
        <f>IF(W13&gt;1,"1","2")</f>
        <v/>
      </c>
      <c r="AE13" s="5">
        <f>IF(X13&gt;1,"1","2")</f>
        <v/>
      </c>
      <c r="AF13" t="n">
        <v>-5.14964</v>
      </c>
      <c r="AG13" t="n">
        <v>119.434263</v>
      </c>
    </row>
    <row r="14" ht="14.4" customHeight="1">
      <c r="A14" s="14" t="n">
        <v>11</v>
      </c>
      <c r="B14" s="15" t="inlineStr">
        <is>
          <t>Aks</t>
        </is>
      </c>
      <c r="C14" s="10" t="n">
        <v>9</v>
      </c>
      <c r="D14" s="10" t="n">
        <v>25</v>
      </c>
      <c r="E14" s="16" t="n">
        <v>365</v>
      </c>
      <c r="F14" s="22" t="n">
        <v>0.0001</v>
      </c>
      <c r="G14" s="10" t="n">
        <v>900</v>
      </c>
      <c r="H14" s="13" t="n">
        <v>0.0014</v>
      </c>
      <c r="I14" s="18" t="n">
        <v>10950</v>
      </c>
      <c r="J14" s="20" t="n">
        <v>1</v>
      </c>
      <c r="K14" s="19">
        <f>(F14*G14*E14*J14)/(D14*I14)</f>
        <v/>
      </c>
      <c r="L14" s="2">
        <f>(F14*G14*E14*5)/(D14*I14)</f>
        <v/>
      </c>
      <c r="M14" s="2">
        <f>(F14*G14*E14*10)/(D14*I14)</f>
        <v/>
      </c>
      <c r="N14" s="2">
        <f>(F14*G14*E14*15)/(D14*I14)</f>
        <v/>
      </c>
      <c r="O14" s="2">
        <f>(F14*G14*E14*20)/(D14*I14)</f>
        <v/>
      </c>
      <c r="P14" s="2">
        <f>(F14*G14*E14*25)/(D14*I14)</f>
        <v/>
      </c>
      <c r="Q14" s="2">
        <f>(F14*G14*E14*30)/(D14*I14)</f>
        <v/>
      </c>
      <c r="R14" s="2">
        <f>K14/H14</f>
        <v/>
      </c>
      <c r="S14" s="2">
        <f>L14/H14</f>
        <v/>
      </c>
      <c r="T14" s="2">
        <f>M14/H14</f>
        <v/>
      </c>
      <c r="U14" s="2">
        <f>N14/H14</f>
        <v/>
      </c>
      <c r="V14" s="2">
        <f>O14/H14</f>
        <v/>
      </c>
      <c r="W14" s="2">
        <f>P14/H14</f>
        <v/>
      </c>
      <c r="X14" s="2">
        <f>Q14/H14</f>
        <v/>
      </c>
      <c r="Y14" s="5">
        <f>IF(R14&gt;1,"1","2")</f>
        <v/>
      </c>
      <c r="Z14" s="5">
        <f>IF(S14&gt;1,"1","2")</f>
        <v/>
      </c>
      <c r="AA14" s="5">
        <f>IF(T14&gt;1,"1","2")</f>
        <v/>
      </c>
      <c r="AB14" s="5">
        <f>IF(U14&gt;1,"1","2")</f>
        <v/>
      </c>
      <c r="AC14" s="5">
        <f>IF(V14&gt;1,"1","2")</f>
        <v/>
      </c>
      <c r="AD14" s="5">
        <f>IF(W14&gt;1,"1","2")</f>
        <v/>
      </c>
      <c r="AE14" s="5">
        <f>IF(X14&gt;1,"1","2")</f>
        <v/>
      </c>
      <c r="AF14" t="n">
        <v>-5.155727</v>
      </c>
      <c r="AG14" t="n">
        <v>119.435129</v>
      </c>
    </row>
    <row r="15" ht="14.4" customHeight="1">
      <c r="A15" s="14" t="n">
        <v>12</v>
      </c>
      <c r="B15" s="15" t="inlineStr">
        <is>
          <t>Bil</t>
        </is>
      </c>
      <c r="C15" s="10" t="n">
        <v>9</v>
      </c>
      <c r="D15" s="10" t="n">
        <v>32</v>
      </c>
      <c r="E15" s="16" t="n">
        <v>365</v>
      </c>
      <c r="F15" s="22" t="n">
        <v>0.0001</v>
      </c>
      <c r="G15" s="10" t="n">
        <v>900</v>
      </c>
      <c r="H15" s="13" t="n">
        <v>0.0014</v>
      </c>
      <c r="I15" s="18" t="n">
        <v>10950</v>
      </c>
      <c r="J15" s="20" t="n">
        <v>9</v>
      </c>
      <c r="K15" s="19">
        <f>(F15*G15*E15*J15)/(D15*I15)</f>
        <v/>
      </c>
      <c r="L15" s="2">
        <f>(F15*G15*E15*5)/(D15*I15)</f>
        <v/>
      </c>
      <c r="M15" s="2">
        <f>(F15*G15*E15*10)/(D15*I15)</f>
        <v/>
      </c>
      <c r="N15" s="2">
        <f>(F15*G15*E15*15)/(D15*I15)</f>
        <v/>
      </c>
      <c r="O15" s="2">
        <f>(F15*G15*E15*20)/(D15*I15)</f>
        <v/>
      </c>
      <c r="P15" s="2">
        <f>(F15*G15*E15*25)/(D15*I15)</f>
        <v/>
      </c>
      <c r="Q15" s="2">
        <f>(F15*G15*E15*30)/(D15*I15)</f>
        <v/>
      </c>
      <c r="R15" s="2">
        <f>K15/H15</f>
        <v/>
      </c>
      <c r="S15" s="2">
        <f>L15/H15</f>
        <v/>
      </c>
      <c r="T15" s="2">
        <f>M15/H15</f>
        <v/>
      </c>
      <c r="U15" s="2">
        <f>N15/H15</f>
        <v/>
      </c>
      <c r="V15" s="2">
        <f>O15/H15</f>
        <v/>
      </c>
      <c r="W15" s="2">
        <f>P15/H15</f>
        <v/>
      </c>
      <c r="X15" s="2">
        <f>Q15/H15</f>
        <v/>
      </c>
      <c r="Y15" s="5">
        <f>IF(R15&gt;1,"1","2")</f>
        <v/>
      </c>
      <c r="Z15" s="5">
        <f>IF(S15&gt;1,"1","2")</f>
        <v/>
      </c>
      <c r="AA15" s="5">
        <f>IF(T15&gt;1,"1","2")</f>
        <v/>
      </c>
      <c r="AB15" s="5">
        <f>IF(U15&gt;1,"1","2")</f>
        <v/>
      </c>
      <c r="AC15" s="5">
        <f>IF(V15&gt;1,"1","2")</f>
        <v/>
      </c>
      <c r="AD15" s="5">
        <f>IF(W15&gt;1,"1","2")</f>
        <v/>
      </c>
      <c r="AE15" s="5">
        <f>IF(X15&gt;1,"1","2")</f>
        <v/>
      </c>
      <c r="AF15" t="n">
        <v>-5.12139</v>
      </c>
      <c r="AG15" t="n">
        <v>119.400583</v>
      </c>
    </row>
    <row r="16" ht="14.4" customHeight="1">
      <c r="A16" s="14" t="n">
        <v>13</v>
      </c>
      <c r="B16" s="15" t="inlineStr">
        <is>
          <t>Abd</t>
        </is>
      </c>
      <c r="C16" s="10" t="n">
        <v>9</v>
      </c>
      <c r="D16" s="10" t="n">
        <v>24</v>
      </c>
      <c r="E16" s="16" t="n">
        <v>365</v>
      </c>
      <c r="F16" s="22" t="n">
        <v>0.0001</v>
      </c>
      <c r="G16" s="10" t="n">
        <v>900</v>
      </c>
      <c r="H16" s="13" t="n">
        <v>0.0014</v>
      </c>
      <c r="I16" s="18" t="n">
        <v>10950</v>
      </c>
      <c r="J16" s="20" t="n">
        <v>9</v>
      </c>
      <c r="K16" s="19">
        <f>(F16*G16*E16*J16)/(D16*I16)</f>
        <v/>
      </c>
      <c r="L16" s="2">
        <f>(F16*G16*E16*5)/(D16*I16)</f>
        <v/>
      </c>
      <c r="M16" s="2">
        <f>(F16*G16*E16*10)/(D16*I16)</f>
        <v/>
      </c>
      <c r="N16" s="2">
        <f>(F16*G16*E16*15)/(D16*I16)</f>
        <v/>
      </c>
      <c r="O16" s="2">
        <f>(F16*G16*E16*20)/(D16*I16)</f>
        <v/>
      </c>
      <c r="P16" s="2">
        <f>(F16*G16*E16*25)/(D16*I16)</f>
        <v/>
      </c>
      <c r="Q16" s="2">
        <f>(F16*G16*E16*30)/(D16*I16)</f>
        <v/>
      </c>
      <c r="R16" s="2">
        <f>K16/H16</f>
        <v/>
      </c>
      <c r="S16" s="2">
        <f>L16/H16</f>
        <v/>
      </c>
      <c r="T16" s="2">
        <f>M16/H16</f>
        <v/>
      </c>
      <c r="U16" s="2">
        <f>N16/H16</f>
        <v/>
      </c>
      <c r="V16" s="2">
        <f>O16/H16</f>
        <v/>
      </c>
      <c r="W16" s="2">
        <f>P16/H16</f>
        <v/>
      </c>
      <c r="X16" s="2">
        <f>Q16/H16</f>
        <v/>
      </c>
      <c r="Y16" s="5">
        <f>IF(R16&gt;1,"1","2")</f>
        <v/>
      </c>
      <c r="Z16" s="5">
        <f>IF(S16&gt;1,"1","2")</f>
        <v/>
      </c>
      <c r="AA16" s="5">
        <f>IF(T16&gt;1,"1","2")</f>
        <v/>
      </c>
      <c r="AB16" s="5">
        <f>IF(U16&gt;1,"1","2")</f>
        <v/>
      </c>
      <c r="AC16" s="5">
        <f>IF(V16&gt;1,"1","2")</f>
        <v/>
      </c>
      <c r="AD16" s="5">
        <f>IF(W16&gt;1,"1","2")</f>
        <v/>
      </c>
      <c r="AE16" s="5">
        <f>IF(X16&gt;1,"1","2")</f>
        <v/>
      </c>
      <c r="AF16" t="n">
        <v>-5.145539</v>
      </c>
      <c r="AG16" t="n">
        <v>119.424024</v>
      </c>
    </row>
    <row r="17" ht="14.4" customHeight="1">
      <c r="A17" s="14" t="n">
        <v>14</v>
      </c>
      <c r="B17" s="15" t="inlineStr">
        <is>
          <t>Way</t>
        </is>
      </c>
      <c r="C17" s="10" t="n">
        <v>9</v>
      </c>
      <c r="D17" s="10" t="n">
        <v>28</v>
      </c>
      <c r="E17" s="16" t="n">
        <v>365</v>
      </c>
      <c r="F17" s="22" t="n">
        <v>0.0001</v>
      </c>
      <c r="G17" s="10" t="n">
        <v>900</v>
      </c>
      <c r="H17" s="13" t="n">
        <v>0.0014</v>
      </c>
      <c r="I17" s="18" t="n">
        <v>10950</v>
      </c>
      <c r="J17" s="20" t="n">
        <v>4</v>
      </c>
      <c r="K17" s="19">
        <f>(F17*G17*E17*J17)/(D17*I17)</f>
        <v/>
      </c>
      <c r="L17" s="2">
        <f>(F17*G17*E17*5)/(D17*I17)</f>
        <v/>
      </c>
      <c r="M17" s="2">
        <f>(F17*G17*E17*10)/(D17*I17)</f>
        <v/>
      </c>
      <c r="N17" s="2">
        <f>(F17*G17*E17*15)/(D17*I17)</f>
        <v/>
      </c>
      <c r="O17" s="2">
        <f>(F17*G17*E17*20)/(D17*I17)</f>
        <v/>
      </c>
      <c r="P17" s="2">
        <f>(F17*G17*E17*25)/(D17*I17)</f>
        <v/>
      </c>
      <c r="Q17" s="2">
        <f>(F17*G17*E17*30)/(D17*I17)</f>
        <v/>
      </c>
      <c r="R17" s="2">
        <f>K17/H17</f>
        <v/>
      </c>
      <c r="S17" s="2">
        <f>L17/H17</f>
        <v/>
      </c>
      <c r="T17" s="2">
        <f>M17/H17</f>
        <v/>
      </c>
      <c r="U17" s="2">
        <f>N17/H17</f>
        <v/>
      </c>
      <c r="V17" s="2">
        <f>O17/H17</f>
        <v/>
      </c>
      <c r="W17" s="2">
        <f>P17/H17</f>
        <v/>
      </c>
      <c r="X17" s="2">
        <f>Q17/H17</f>
        <v/>
      </c>
      <c r="Y17" s="5">
        <f>IF(R17&gt;1,"1","2")</f>
        <v/>
      </c>
      <c r="Z17" s="5">
        <f>IF(S17&gt;1,"1","2")</f>
        <v/>
      </c>
      <c r="AA17" s="5">
        <f>IF(T17&gt;1,"1","2")</f>
        <v/>
      </c>
      <c r="AB17" s="5">
        <f>IF(U17&gt;1,"1","2")</f>
        <v/>
      </c>
      <c r="AC17" s="5">
        <f>IF(V17&gt;1,"1","2")</f>
        <v/>
      </c>
      <c r="AD17" s="5">
        <f>IF(W17&gt;1,"1","2")</f>
        <v/>
      </c>
      <c r="AE17" s="5">
        <f>IF(X17&gt;1,"1","2")</f>
        <v/>
      </c>
      <c r="AF17" t="n">
        <v>-5.139121</v>
      </c>
      <c r="AG17" t="n">
        <v>119.440335</v>
      </c>
    </row>
    <row r="18" ht="14.4" customHeight="1">
      <c r="A18" s="14" t="n">
        <v>15</v>
      </c>
      <c r="B18" s="15" t="inlineStr">
        <is>
          <t>Ngh</t>
        </is>
      </c>
      <c r="C18" s="10" t="n">
        <v>9</v>
      </c>
      <c r="D18" s="10" t="n">
        <v>29</v>
      </c>
      <c r="E18" s="16" t="n">
        <v>365</v>
      </c>
      <c r="F18" s="22" t="n">
        <v>0.0001</v>
      </c>
      <c r="G18" s="10" t="n">
        <v>900</v>
      </c>
      <c r="H18" s="13" t="n">
        <v>0.0014</v>
      </c>
      <c r="I18" s="18" t="n">
        <v>10950</v>
      </c>
      <c r="J18" s="20" t="n">
        <v>9</v>
      </c>
      <c r="K18" s="19">
        <f>(F18*G18*E18*J18)/(D18*I18)</f>
        <v/>
      </c>
      <c r="L18" s="2">
        <f>(F18*G18*E18*5)/(D18*I18)</f>
        <v/>
      </c>
      <c r="M18" s="2">
        <f>(F18*G18*E18*10)/(D18*I18)</f>
        <v/>
      </c>
      <c r="N18" s="2">
        <f>(F18*G18*E18*15)/(D18*I18)</f>
        <v/>
      </c>
      <c r="O18" s="2">
        <f>(F18*G18*E18*20)/(D18*I18)</f>
        <v/>
      </c>
      <c r="P18" s="2">
        <f>(F18*G18*E18*25)/(D18*I18)</f>
        <v/>
      </c>
      <c r="Q18" s="2">
        <f>(F18*G18*E18*30)/(D18*I18)</f>
        <v/>
      </c>
      <c r="R18" s="2">
        <f>K18/H18</f>
        <v/>
      </c>
      <c r="S18" s="2">
        <f>L18/H18</f>
        <v/>
      </c>
      <c r="T18" s="2">
        <f>M18/H18</f>
        <v/>
      </c>
      <c r="U18" s="2">
        <f>N18/H18</f>
        <v/>
      </c>
      <c r="V18" s="2">
        <f>O18/H18</f>
        <v/>
      </c>
      <c r="W18" s="2">
        <f>P18/H18</f>
        <v/>
      </c>
      <c r="X18" s="2">
        <f>Q18/H18</f>
        <v/>
      </c>
      <c r="Y18" s="5">
        <f>IF(R18&gt;1,"1","2")</f>
        <v/>
      </c>
      <c r="Z18" s="5">
        <f>IF(S18&gt;1,"1","2")</f>
        <v/>
      </c>
      <c r="AA18" s="5">
        <f>IF(T18&gt;1,"1","2")</f>
        <v/>
      </c>
      <c r="AB18" s="5">
        <f>IF(U18&gt;1,"1","2")</f>
        <v/>
      </c>
      <c r="AC18" s="5">
        <f>IF(V18&gt;1,"1","2")</f>
        <v/>
      </c>
      <c r="AD18" s="5">
        <f>IF(W18&gt;1,"1","2")</f>
        <v/>
      </c>
      <c r="AE18" s="5">
        <f>IF(X18&gt;1,"1","2")</f>
        <v/>
      </c>
      <c r="AF18" t="n">
        <v>-5.152749</v>
      </c>
      <c r="AG18" t="n">
        <v>119.433072</v>
      </c>
    </row>
    <row r="19" ht="14.4" customHeight="1">
      <c r="A19" s="14" t="n">
        <v>16</v>
      </c>
      <c r="B19" s="15" t="inlineStr">
        <is>
          <t>Gia</t>
        </is>
      </c>
      <c r="C19" s="10" t="n">
        <v>9</v>
      </c>
      <c r="D19" s="10" t="n">
        <v>25</v>
      </c>
      <c r="E19" s="16" t="n">
        <v>365</v>
      </c>
      <c r="F19" s="22" t="n">
        <v>0.0001</v>
      </c>
      <c r="G19" s="10" t="n">
        <v>900</v>
      </c>
      <c r="H19" s="13" t="n">
        <v>0.0014</v>
      </c>
      <c r="I19" s="18" t="n">
        <v>10950</v>
      </c>
      <c r="J19" s="20" t="n">
        <v>9</v>
      </c>
      <c r="K19" s="19">
        <f>(F19*G19*E19*J19)/(D19*I19)</f>
        <v/>
      </c>
      <c r="L19" s="2">
        <f>(F19*G19*E19*5)/(D19*I19)</f>
        <v/>
      </c>
      <c r="M19" s="2">
        <f>(F19*G19*E19*10)/(D19*I19)</f>
        <v/>
      </c>
      <c r="N19" s="2">
        <f>(F19*G19*E19*15)/(D19*I19)</f>
        <v/>
      </c>
      <c r="O19" s="2">
        <f>(F19*G19*E19*20)/(D19*I19)</f>
        <v/>
      </c>
      <c r="P19" s="2">
        <f>(F19*G19*E19*25)/(D19*I19)</f>
        <v/>
      </c>
      <c r="Q19" s="2">
        <f>(F19*G19*E19*30)/(D19*I19)</f>
        <v/>
      </c>
      <c r="R19" s="2">
        <f>K19/H19</f>
        <v/>
      </c>
      <c r="S19" s="2">
        <f>L19/H19</f>
        <v/>
      </c>
      <c r="T19" s="2">
        <f>M19/H19</f>
        <v/>
      </c>
      <c r="U19" s="2">
        <f>N19/H19</f>
        <v/>
      </c>
      <c r="V19" s="2">
        <f>O19/H19</f>
        <v/>
      </c>
      <c r="W19" s="2">
        <f>P19/H19</f>
        <v/>
      </c>
      <c r="X19" s="2">
        <f>Q19/H19</f>
        <v/>
      </c>
      <c r="Y19" s="5">
        <f>IF(R19&gt;1,"1","2")</f>
        <v/>
      </c>
      <c r="Z19" s="5">
        <f>IF(S19&gt;1,"1","2")</f>
        <v/>
      </c>
      <c r="AA19" s="5">
        <f>IF(T19&gt;1,"1","2")</f>
        <v/>
      </c>
      <c r="AB19" s="5">
        <f>IF(U19&gt;1,"1","2")</f>
        <v/>
      </c>
      <c r="AC19" s="5">
        <f>IF(V19&gt;1,"1","2")</f>
        <v/>
      </c>
      <c r="AD19" s="5">
        <f>IF(W19&gt;1,"1","2")</f>
        <v/>
      </c>
      <c r="AE19" s="5">
        <f>IF(X19&gt;1,"1","2")</f>
        <v/>
      </c>
      <c r="AF19" t="n">
        <v>-5.132915</v>
      </c>
      <c r="AG19" t="n">
        <v>119.439246</v>
      </c>
    </row>
    <row r="20" ht="14.4" customHeight="1">
      <c r="A20" s="14" t="n">
        <v>17</v>
      </c>
      <c r="B20" s="15" t="inlineStr">
        <is>
          <t>Sar</t>
        </is>
      </c>
      <c r="C20" s="10" t="n">
        <v>9</v>
      </c>
      <c r="D20" s="10" t="n">
        <v>25</v>
      </c>
      <c r="E20" s="16" t="n">
        <v>365</v>
      </c>
      <c r="F20" s="22" t="n">
        <v>0.0001</v>
      </c>
      <c r="G20" s="10" t="n">
        <v>1500</v>
      </c>
      <c r="H20" s="13" t="n">
        <v>0.0014</v>
      </c>
      <c r="I20" s="18" t="n">
        <v>10950</v>
      </c>
      <c r="J20" s="20" t="n">
        <v>9</v>
      </c>
      <c r="K20" s="19">
        <f>(F20*G20*E20*J20)/(D20*I20)</f>
        <v/>
      </c>
      <c r="L20" s="2">
        <f>(F20*G20*E20*5)/(D20*I20)</f>
        <v/>
      </c>
      <c r="M20" s="2">
        <f>(F20*G20*E20*10)/(D20*I20)</f>
        <v/>
      </c>
      <c r="N20" s="2">
        <f>(F20*G20*E20*15)/(D20*I20)</f>
        <v/>
      </c>
      <c r="O20" s="2">
        <f>(F20*G20*E20*20)/(D20*I20)</f>
        <v/>
      </c>
      <c r="P20" s="2">
        <f>(F20*G20*E20*25)/(D20*I20)</f>
        <v/>
      </c>
      <c r="Q20" s="2">
        <f>(F20*G20*E20*30)/(D20*I20)</f>
        <v/>
      </c>
      <c r="R20" s="2">
        <f>K20/H20</f>
        <v/>
      </c>
      <c r="S20" s="2">
        <f>L20/H20</f>
        <v/>
      </c>
      <c r="T20" s="2">
        <f>M20/H20</f>
        <v/>
      </c>
      <c r="U20" s="2">
        <f>N20/H20</f>
        <v/>
      </c>
      <c r="V20" s="2">
        <f>O20/H20</f>
        <v/>
      </c>
      <c r="W20" s="2">
        <f>P20/H20</f>
        <v/>
      </c>
      <c r="X20" s="2">
        <f>Q20/H20</f>
        <v/>
      </c>
      <c r="Y20" s="5">
        <f>IF(R20&gt;1,"1","2")</f>
        <v/>
      </c>
      <c r="Z20" s="5">
        <f>IF(S20&gt;1,"1","2")</f>
        <v/>
      </c>
      <c r="AA20" s="5">
        <f>IF(T20&gt;1,"1","2")</f>
        <v/>
      </c>
      <c r="AB20" s="5">
        <f>IF(U20&gt;1,"1","2")</f>
        <v/>
      </c>
      <c r="AC20" s="5">
        <f>IF(V20&gt;1,"1","2")</f>
        <v/>
      </c>
      <c r="AD20" s="5">
        <f>IF(W20&gt;1,"1","2")</f>
        <v/>
      </c>
      <c r="AE20" s="5">
        <f>IF(X20&gt;1,"1","2")</f>
        <v/>
      </c>
      <c r="AF20" t="n">
        <v>-5.123774</v>
      </c>
      <c r="AG20" t="n">
        <v>119.434313</v>
      </c>
    </row>
    <row r="21" ht="14.4" customHeight="1">
      <c r="A21" s="14" t="n">
        <v>18</v>
      </c>
      <c r="B21" s="15" t="inlineStr">
        <is>
          <t>Gaf</t>
        </is>
      </c>
      <c r="C21" s="10" t="n">
        <v>9</v>
      </c>
      <c r="D21" s="10" t="n">
        <v>25</v>
      </c>
      <c r="E21" s="16" t="n">
        <v>365</v>
      </c>
      <c r="F21" s="22" t="n">
        <v>0.0001</v>
      </c>
      <c r="G21" s="10" t="n">
        <v>900</v>
      </c>
      <c r="H21" s="13" t="n">
        <v>0.0014</v>
      </c>
      <c r="I21" s="18" t="n">
        <v>10950</v>
      </c>
      <c r="J21" s="20" t="n">
        <v>9</v>
      </c>
      <c r="K21" s="19">
        <f>(F21*G21*E21*J21)/(D21*I21)</f>
        <v/>
      </c>
      <c r="L21" s="2">
        <f>(F21*G21*E21*5)/(D21*I21)</f>
        <v/>
      </c>
      <c r="M21" s="2">
        <f>(F21*G21*E21*10)/(D21*I21)</f>
        <v/>
      </c>
      <c r="N21" s="2">
        <f>(F21*G21*E21*15)/(D21*I21)</f>
        <v/>
      </c>
      <c r="O21" s="2">
        <f>(F21*G21*E21*20)/(D21*I21)</f>
        <v/>
      </c>
      <c r="P21" s="2">
        <f>(F21*G21*E21*25)/(D21*I21)</f>
        <v/>
      </c>
      <c r="Q21" s="2">
        <f>(F21*G21*E21*30)/(D21*I21)</f>
        <v/>
      </c>
      <c r="R21" s="2">
        <f>K21/H21</f>
        <v/>
      </c>
      <c r="S21" s="2">
        <f>L21/H21</f>
        <v/>
      </c>
      <c r="T21" s="2">
        <f>M21/H21</f>
        <v/>
      </c>
      <c r="U21" s="2">
        <f>N21/H21</f>
        <v/>
      </c>
      <c r="V21" s="2">
        <f>O21/H21</f>
        <v/>
      </c>
      <c r="W21" s="2">
        <f>P21/H21</f>
        <v/>
      </c>
      <c r="X21" s="2">
        <f>Q21/H21</f>
        <v/>
      </c>
      <c r="Y21" s="5">
        <f>IF(R21&gt;1,"1","2")</f>
        <v/>
      </c>
      <c r="Z21" s="5">
        <f>IF(S21&gt;1,"1","2")</f>
        <v/>
      </c>
      <c r="AA21" s="5">
        <f>IF(T21&gt;1,"1","2")</f>
        <v/>
      </c>
      <c r="AB21" s="5">
        <f>IF(U21&gt;1,"1","2")</f>
        <v/>
      </c>
      <c r="AC21" s="5">
        <f>IF(V21&gt;1,"1","2")</f>
        <v/>
      </c>
      <c r="AD21" s="5">
        <f>IF(W21&gt;1,"1","2")</f>
        <v/>
      </c>
      <c r="AE21" s="5">
        <f>IF(X21&gt;1,"1","2")</f>
        <v/>
      </c>
      <c r="AF21" t="n">
        <v>-5.153402</v>
      </c>
      <c r="AG21" t="n">
        <v>119.434488</v>
      </c>
    </row>
    <row r="22" ht="14.4" customHeight="1">
      <c r="A22" s="14" t="n">
        <v>19</v>
      </c>
      <c r="B22" s="15" t="inlineStr">
        <is>
          <t>Gii</t>
        </is>
      </c>
      <c r="C22" s="10" t="n">
        <v>9</v>
      </c>
      <c r="D22" s="10" t="n">
        <v>25</v>
      </c>
      <c r="E22" s="16" t="n">
        <v>365</v>
      </c>
      <c r="F22" s="22" t="n">
        <v>0.0001</v>
      </c>
      <c r="G22" s="10" t="n">
        <v>900</v>
      </c>
      <c r="H22" s="13" t="n">
        <v>0.0014</v>
      </c>
      <c r="I22" s="18" t="n">
        <v>10950</v>
      </c>
      <c r="J22" s="20" t="n">
        <v>9</v>
      </c>
      <c r="K22" s="19">
        <f>(F22*G22*E22*J22)/(D22*I22)</f>
        <v/>
      </c>
      <c r="L22" s="2">
        <f>(F22*G22*E22*5)/(D22*I22)</f>
        <v/>
      </c>
      <c r="M22" s="2">
        <f>(F22*G22*E22*10)/(D22*I22)</f>
        <v/>
      </c>
      <c r="N22" s="2">
        <f>(F22*G22*E22*15)/(D22*I22)</f>
        <v/>
      </c>
      <c r="O22" s="2">
        <f>(F22*G22*E22*20)/(D22*I22)</f>
        <v/>
      </c>
      <c r="P22" s="2">
        <f>(F22*G22*E22*25)/(D22*I22)</f>
        <v/>
      </c>
      <c r="Q22" s="2">
        <f>(F22*G22*E22*30)/(D22*I22)</f>
        <v/>
      </c>
      <c r="R22" s="2">
        <f>K22/H22</f>
        <v/>
      </c>
      <c r="S22" s="2">
        <f>L22/H22</f>
        <v/>
      </c>
      <c r="T22" s="2">
        <f>M22/H22</f>
        <v/>
      </c>
      <c r="U22" s="2">
        <f>N22/H22</f>
        <v/>
      </c>
      <c r="V22" s="2">
        <f>O22/H22</f>
        <v/>
      </c>
      <c r="W22" s="2">
        <f>P22/H22</f>
        <v/>
      </c>
      <c r="X22" s="2">
        <f>Q22/H22</f>
        <v/>
      </c>
      <c r="Y22" s="5">
        <f>IF(R22&gt;1,"1","2")</f>
        <v/>
      </c>
      <c r="Z22" s="5">
        <f>IF(S22&gt;1,"1","2")</f>
        <v/>
      </c>
      <c r="AA22" s="5">
        <f>IF(T22&gt;1,"1","2")</f>
        <v/>
      </c>
      <c r="AB22" s="5">
        <f>IF(U22&gt;1,"1","2")</f>
        <v/>
      </c>
      <c r="AC22" s="5">
        <f>IF(V22&gt;1,"1","2")</f>
        <v/>
      </c>
      <c r="AD22" s="5">
        <f>IF(W22&gt;1,"1","2")</f>
        <v/>
      </c>
      <c r="AE22" s="5">
        <f>IF(X22&gt;1,"1","2")</f>
        <v/>
      </c>
      <c r="AF22" t="n">
        <v>-5.121672</v>
      </c>
      <c r="AG22" t="n">
        <v>119.407018</v>
      </c>
    </row>
    <row r="23" ht="14.4" customHeight="1">
      <c r="A23" s="14" t="n">
        <v>20</v>
      </c>
      <c r="B23" s="15" t="inlineStr">
        <is>
          <t>Nh</t>
        </is>
      </c>
      <c r="C23" s="10" t="n">
        <v>9</v>
      </c>
      <c r="D23" s="10" t="n">
        <v>29</v>
      </c>
      <c r="E23" s="16" t="n">
        <v>365</v>
      </c>
      <c r="F23" s="22" t="n">
        <v>0.0001</v>
      </c>
      <c r="G23" s="10" t="n">
        <v>900</v>
      </c>
      <c r="H23" s="13" t="n">
        <v>0.0014</v>
      </c>
      <c r="I23" s="18" t="n">
        <v>10950</v>
      </c>
      <c r="J23" s="20" t="n">
        <v>9</v>
      </c>
      <c r="K23" s="19">
        <f>(F23*G23*E23*J23)/(D23*I23)</f>
        <v/>
      </c>
      <c r="L23" s="2">
        <f>(F23*G23*E23*5)/(D23*I23)</f>
        <v/>
      </c>
      <c r="M23" s="2">
        <f>(F23*G23*E23*10)/(D23*I23)</f>
        <v/>
      </c>
      <c r="N23" s="2">
        <f>(F23*G23*E23*15)/(D23*I23)</f>
        <v/>
      </c>
      <c r="O23" s="2">
        <f>(F23*G23*E23*20)/(D23*I23)</f>
        <v/>
      </c>
      <c r="P23" s="2">
        <f>(F23*G23*E23*25)/(D23*I23)</f>
        <v/>
      </c>
      <c r="Q23" s="2">
        <f>(F23*G23*E23*30)/(D23*I23)</f>
        <v/>
      </c>
      <c r="R23" s="2">
        <f>K23/H23</f>
        <v/>
      </c>
      <c r="S23" s="2">
        <f>L23/H23</f>
        <v/>
      </c>
      <c r="T23" s="2">
        <f>M23/H23</f>
        <v/>
      </c>
      <c r="U23" s="2">
        <f>N23/H23</f>
        <v/>
      </c>
      <c r="V23" s="2">
        <f>O23/H23</f>
        <v/>
      </c>
      <c r="W23" s="2">
        <f>P23/H23</f>
        <v/>
      </c>
      <c r="X23" s="2">
        <f>Q23/H23</f>
        <v/>
      </c>
      <c r="Y23" s="5">
        <f>IF(R23&gt;1,"1","2")</f>
        <v/>
      </c>
      <c r="Z23" s="5">
        <f>IF(S23&gt;1,"1","2")</f>
        <v/>
      </c>
      <c r="AA23" s="5">
        <f>IF(T23&gt;1,"1","2")</f>
        <v/>
      </c>
      <c r="AB23" s="5">
        <f>IF(U23&gt;1,"1","2")</f>
        <v/>
      </c>
      <c r="AC23" s="5">
        <f>IF(V23&gt;1,"1","2")</f>
        <v/>
      </c>
      <c r="AD23" s="5">
        <f>IF(W23&gt;1,"1","2")</f>
        <v/>
      </c>
      <c r="AE23" s="5">
        <f>IF(X23&gt;1,"1","2")</f>
        <v/>
      </c>
      <c r="AF23" t="n">
        <v>-5.123005</v>
      </c>
      <c r="AG23" t="n">
        <v>119.44743</v>
      </c>
    </row>
    <row r="24" ht="14.4" customHeight="1">
      <c r="A24" s="14" t="n">
        <v>21</v>
      </c>
      <c r="B24" s="15" t="inlineStr">
        <is>
          <t>Gaw</t>
        </is>
      </c>
      <c r="C24" s="10" t="n">
        <v>9</v>
      </c>
      <c r="D24" s="10" t="n">
        <v>25</v>
      </c>
      <c r="E24" s="16" t="n">
        <v>365</v>
      </c>
      <c r="F24" s="22" t="n">
        <v>0.0001</v>
      </c>
      <c r="G24" s="10" t="n">
        <v>1500</v>
      </c>
      <c r="H24" s="13" t="n">
        <v>0.0014</v>
      </c>
      <c r="I24" s="18" t="n">
        <v>10950</v>
      </c>
      <c r="J24" s="20" t="n">
        <v>9</v>
      </c>
      <c r="K24" s="19">
        <f>(F24*G24*E24*J24)/(D24*I24)</f>
        <v/>
      </c>
      <c r="L24" s="2">
        <f>(F24*G24*E24*5)/(D24*I24)</f>
        <v/>
      </c>
      <c r="M24" s="2">
        <f>(F24*G24*E24*10)/(D24*I24)</f>
        <v/>
      </c>
      <c r="N24" s="2">
        <f>(F24*G24*E24*15)/(D24*I24)</f>
        <v/>
      </c>
      <c r="O24" s="2">
        <f>(F24*G24*E24*20)/(D24*I24)</f>
        <v/>
      </c>
      <c r="P24" s="2">
        <f>(F24*G24*E24*25)/(D24*I24)</f>
        <v/>
      </c>
      <c r="Q24" s="2">
        <f>(F24*G24*E24*30)/(D24*I24)</f>
        <v/>
      </c>
      <c r="R24" s="2">
        <f>K24/H24</f>
        <v/>
      </c>
      <c r="S24" s="2">
        <f>L24/H24</f>
        <v/>
      </c>
      <c r="T24" s="2">
        <f>M24/H24</f>
        <v/>
      </c>
      <c r="U24" s="2">
        <f>N24/H24</f>
        <v/>
      </c>
      <c r="V24" s="2">
        <f>O24/H24</f>
        <v/>
      </c>
      <c r="W24" s="2">
        <f>P24/H24</f>
        <v/>
      </c>
      <c r="X24" s="2">
        <f>Q24/H24</f>
        <v/>
      </c>
      <c r="Y24" s="5">
        <f>IF(R24&gt;1,"1","2")</f>
        <v/>
      </c>
      <c r="Z24" s="5">
        <f>IF(S24&gt;1,"1","2")</f>
        <v/>
      </c>
      <c r="AA24" s="5">
        <f>IF(T24&gt;1,"1","2")</f>
        <v/>
      </c>
      <c r="AB24" s="5">
        <f>IF(U24&gt;1,"1","2")</f>
        <v/>
      </c>
      <c r="AC24" s="5">
        <f>IF(V24&gt;1,"1","2")</f>
        <v/>
      </c>
      <c r="AD24" s="5">
        <f>IF(W24&gt;1,"1","2")</f>
        <v/>
      </c>
      <c r="AE24" s="5">
        <f>IF(X24&gt;1,"1","2")</f>
        <v/>
      </c>
      <c r="AF24" t="n">
        <v>-5.131506</v>
      </c>
      <c r="AG24" t="n">
        <v>119.44199</v>
      </c>
    </row>
    <row r="25" ht="14.4" customHeight="1">
      <c r="A25" s="14" t="n">
        <v>22</v>
      </c>
      <c r="B25" s="15" t="inlineStr">
        <is>
          <t>ALs</t>
        </is>
      </c>
      <c r="C25" s="10" t="n">
        <v>9</v>
      </c>
      <c r="D25" s="10" t="n">
        <v>25</v>
      </c>
      <c r="E25" s="16" t="n">
        <v>365</v>
      </c>
      <c r="F25" s="22" t="n">
        <v>0.0001</v>
      </c>
      <c r="G25" s="10" t="n">
        <v>900</v>
      </c>
      <c r="H25" s="13" t="n">
        <v>0.0014</v>
      </c>
      <c r="I25" s="18" t="n">
        <v>10950</v>
      </c>
      <c r="J25" s="20" t="n">
        <v>9</v>
      </c>
      <c r="K25" s="19">
        <f>(F25*G25*E25*J25)/(D25*I25)</f>
        <v/>
      </c>
      <c r="L25" s="2">
        <f>(F25*G25*E25*5)/(D25*I25)</f>
        <v/>
      </c>
      <c r="M25" s="2">
        <f>(F25*G25*E25*10)/(D25*I25)</f>
        <v/>
      </c>
      <c r="N25" s="2">
        <f>(F25*G25*E25*15)/(D25*I25)</f>
        <v/>
      </c>
      <c r="O25" s="2">
        <f>(F25*G25*E25*20)/(D25*I25)</f>
        <v/>
      </c>
      <c r="P25" s="2">
        <f>(F25*G25*E25*25)/(D25*I25)</f>
        <v/>
      </c>
      <c r="Q25" s="2">
        <f>(F25*G25*E25*30)/(D25*I25)</f>
        <v/>
      </c>
      <c r="R25" s="2">
        <f>K25/H25</f>
        <v/>
      </c>
      <c r="S25" s="2">
        <f>L25/H25</f>
        <v/>
      </c>
      <c r="T25" s="2">
        <f>M25/H25</f>
        <v/>
      </c>
      <c r="U25" s="2">
        <f>N25/H25</f>
        <v/>
      </c>
      <c r="V25" s="2">
        <f>O25/H25</f>
        <v/>
      </c>
      <c r="W25" s="2">
        <f>P25/H25</f>
        <v/>
      </c>
      <c r="X25" s="2">
        <f>Q25/H25</f>
        <v/>
      </c>
      <c r="Y25" s="5">
        <f>IF(R25&gt;1,"1","2")</f>
        <v/>
      </c>
      <c r="Z25" s="5">
        <f>IF(S25&gt;1,"1","2")</f>
        <v/>
      </c>
      <c r="AA25" s="5">
        <f>IF(T25&gt;1,"1","2")</f>
        <v/>
      </c>
      <c r="AB25" s="5">
        <f>IF(U25&gt;1,"1","2")</f>
        <v/>
      </c>
      <c r="AC25" s="5">
        <f>IF(V25&gt;1,"1","2")</f>
        <v/>
      </c>
      <c r="AD25" s="5">
        <f>IF(W25&gt;1,"1","2")</f>
        <v/>
      </c>
      <c r="AE25" s="5">
        <f>IF(X25&gt;1,"1","2")</f>
        <v/>
      </c>
      <c r="AF25" t="n">
        <v>-5.144922</v>
      </c>
      <c r="AG25" t="n">
        <v>119.446339</v>
      </c>
    </row>
    <row r="26" ht="14.4" customHeight="1">
      <c r="A26" s="14" t="n">
        <v>23</v>
      </c>
      <c r="B26" s="15" t="inlineStr">
        <is>
          <t>Ana</t>
        </is>
      </c>
      <c r="C26" s="10" t="n">
        <v>9</v>
      </c>
      <c r="D26" s="10" t="n">
        <v>39</v>
      </c>
      <c r="E26" s="16" t="n">
        <v>365</v>
      </c>
      <c r="F26" s="22" t="n">
        <v>0.0001</v>
      </c>
      <c r="G26" s="10" t="n">
        <v>900</v>
      </c>
      <c r="H26" s="13" t="n">
        <v>0.0014</v>
      </c>
      <c r="I26" s="18" t="n">
        <v>10950</v>
      </c>
      <c r="J26" s="20" t="n">
        <v>1</v>
      </c>
      <c r="K26" s="19">
        <f>(F26*G26*E26*J26)/(D26*I26)</f>
        <v/>
      </c>
      <c r="L26" s="2">
        <f>(F26*G26*E26*5)/(D26*I26)</f>
        <v/>
      </c>
      <c r="M26" s="2">
        <f>(F26*G26*E26*10)/(D26*I26)</f>
        <v/>
      </c>
      <c r="N26" s="2">
        <f>(F26*G26*E26*15)/(D26*I26)</f>
        <v/>
      </c>
      <c r="O26" s="2">
        <f>(F26*G26*E26*20)/(D26*I26)</f>
        <v/>
      </c>
      <c r="P26" s="2">
        <f>(F26*G26*E26*25)/(D26*I26)</f>
        <v/>
      </c>
      <c r="Q26" s="2">
        <f>(F26*G26*E26*30)/(D26*I26)</f>
        <v/>
      </c>
      <c r="R26" s="2">
        <f>K26/H26</f>
        <v/>
      </c>
      <c r="S26" s="2">
        <f>L26/H26</f>
        <v/>
      </c>
      <c r="T26" s="2">
        <f>M26/H26</f>
        <v/>
      </c>
      <c r="U26" s="2">
        <f>N26/H26</f>
        <v/>
      </c>
      <c r="V26" s="2">
        <f>O26/H26</f>
        <v/>
      </c>
      <c r="W26" s="2">
        <f>P26/H26</f>
        <v/>
      </c>
      <c r="X26" s="2">
        <f>Q26/H26</f>
        <v/>
      </c>
      <c r="Y26" s="5">
        <f>IF(R26&gt;1,"1","2")</f>
        <v/>
      </c>
      <c r="Z26" s="5">
        <f>IF(S26&gt;1,"1","2")</f>
        <v/>
      </c>
      <c r="AA26" s="5">
        <f>IF(T26&gt;1,"1","2")</f>
        <v/>
      </c>
      <c r="AB26" s="5">
        <f>IF(U26&gt;1,"1","2")</f>
        <v/>
      </c>
      <c r="AC26" s="5">
        <f>IF(V26&gt;1,"1","2")</f>
        <v/>
      </c>
      <c r="AD26" s="5">
        <f>IF(W26&gt;1,"1","2")</f>
        <v/>
      </c>
      <c r="AE26" s="5">
        <f>IF(X26&gt;1,"1","2")</f>
        <v/>
      </c>
      <c r="AF26" t="n">
        <v>-5.130108</v>
      </c>
      <c r="AG26" t="n">
        <v>119.410138</v>
      </c>
    </row>
    <row r="27" ht="14.4" customHeight="1">
      <c r="A27" s="14" t="n">
        <v>24</v>
      </c>
      <c r="B27" s="15" t="inlineStr">
        <is>
          <t>Zan</t>
        </is>
      </c>
      <c r="C27" s="10" t="n">
        <v>9</v>
      </c>
      <c r="D27" s="10" t="n">
        <v>26</v>
      </c>
      <c r="E27" s="16" t="n">
        <v>365</v>
      </c>
      <c r="F27" s="22" t="n">
        <v>0.0001</v>
      </c>
      <c r="G27" s="10" t="n">
        <v>900</v>
      </c>
      <c r="H27" s="13" t="n">
        <v>0.0014</v>
      </c>
      <c r="I27" s="18" t="n">
        <v>10950</v>
      </c>
      <c r="J27" s="20" t="n">
        <v>9</v>
      </c>
      <c r="K27" s="19">
        <f>(F27*G27*E27*J27)/(D27*I27)</f>
        <v/>
      </c>
      <c r="L27" s="2">
        <f>(F27*G27*E27*5)/(D27*I27)</f>
        <v/>
      </c>
      <c r="M27" s="2">
        <f>(F27*G27*E27*10)/(D27*I27)</f>
        <v/>
      </c>
      <c r="N27" s="2">
        <f>(F27*G27*E27*15)/(D27*I27)</f>
        <v/>
      </c>
      <c r="O27" s="2">
        <f>(F27*G27*E27*20)/(D27*I27)</f>
        <v/>
      </c>
      <c r="P27" s="2">
        <f>(F27*G27*E27*25)/(D27*I27)</f>
        <v/>
      </c>
      <c r="Q27" s="2">
        <f>(F27*G27*E27*30)/(D27*I27)</f>
        <v/>
      </c>
      <c r="R27" s="2">
        <f>K27/H27</f>
        <v/>
      </c>
      <c r="S27" s="2">
        <f>L27/H27</f>
        <v/>
      </c>
      <c r="T27" s="2">
        <f>M27/H27</f>
        <v/>
      </c>
      <c r="U27" s="2">
        <f>N27/H27</f>
        <v/>
      </c>
      <c r="V27" s="2">
        <f>O27/H27</f>
        <v/>
      </c>
      <c r="W27" s="2">
        <f>P27/H27</f>
        <v/>
      </c>
      <c r="X27" s="2">
        <f>Q27/H27</f>
        <v/>
      </c>
      <c r="Y27" s="5">
        <f>IF(R27&gt;1,"1","2")</f>
        <v/>
      </c>
      <c r="Z27" s="5">
        <f>IF(S27&gt;1,"1","2")</f>
        <v/>
      </c>
      <c r="AA27" s="5">
        <f>IF(T27&gt;1,"1","2")</f>
        <v/>
      </c>
      <c r="AB27" s="5">
        <f>IF(U27&gt;1,"1","2")</f>
        <v/>
      </c>
      <c r="AC27" s="5">
        <f>IF(V27&gt;1,"1","2")</f>
        <v/>
      </c>
      <c r="AD27" s="5">
        <f>IF(W27&gt;1,"1","2")</f>
        <v/>
      </c>
      <c r="AE27" s="5">
        <f>IF(X27&gt;1,"1","2")</f>
        <v/>
      </c>
      <c r="AF27" t="n">
        <v>-5.13406</v>
      </c>
      <c r="AG27" t="n">
        <v>119.435068</v>
      </c>
    </row>
    <row r="28" ht="14.4" customHeight="1">
      <c r="A28" s="14" t="n">
        <v>25</v>
      </c>
      <c r="B28" s="15" t="inlineStr">
        <is>
          <t>Bia</t>
        </is>
      </c>
      <c r="C28" s="10" t="n">
        <v>9</v>
      </c>
      <c r="D28" s="10" t="n">
        <v>20</v>
      </c>
      <c r="E28" s="16" t="n">
        <v>365</v>
      </c>
      <c r="F28" s="22" t="n">
        <v>0.0001</v>
      </c>
      <c r="G28" s="10" t="n">
        <v>2100</v>
      </c>
      <c r="H28" s="13" t="n">
        <v>0.0014</v>
      </c>
      <c r="I28" s="18" t="n">
        <v>10950</v>
      </c>
      <c r="J28" s="20" t="n">
        <v>9</v>
      </c>
      <c r="K28" s="19">
        <f>(F28*G28*E28*J28)/(D28*I28)</f>
        <v/>
      </c>
      <c r="L28" s="2">
        <f>(F28*G28*E28*5)/(D28*I28)</f>
        <v/>
      </c>
      <c r="M28" s="2">
        <f>(F28*G28*E28*10)/(D28*I28)</f>
        <v/>
      </c>
      <c r="N28" s="2">
        <f>(F28*G28*E28*15)/(D28*I28)</f>
        <v/>
      </c>
      <c r="O28" s="2">
        <f>(F28*G28*E28*20)/(D28*I28)</f>
        <v/>
      </c>
      <c r="P28" s="2">
        <f>(F28*G28*E28*25)/(D28*I28)</f>
        <v/>
      </c>
      <c r="Q28" s="2">
        <f>(F28*G28*E28*30)/(D28*I28)</f>
        <v/>
      </c>
      <c r="R28" s="2">
        <f>K28/H28</f>
        <v/>
      </c>
      <c r="S28" s="2">
        <f>L28/H28</f>
        <v/>
      </c>
      <c r="T28" s="2">
        <f>M28/H28</f>
        <v/>
      </c>
      <c r="U28" s="2">
        <f>N28/H28</f>
        <v/>
      </c>
      <c r="V28" s="2">
        <f>O28/H28</f>
        <v/>
      </c>
      <c r="W28" s="2">
        <f>P28/H28</f>
        <v/>
      </c>
      <c r="X28" s="2">
        <f>Q28/H28</f>
        <v/>
      </c>
      <c r="Y28" s="5">
        <f>IF(R28&gt;1,"1","2")</f>
        <v/>
      </c>
      <c r="Z28" s="5">
        <f>IF(S28&gt;1,"1","2")</f>
        <v/>
      </c>
      <c r="AA28" s="5">
        <f>IF(T28&gt;1,"1","2")</f>
        <v/>
      </c>
      <c r="AB28" s="5">
        <f>IF(U28&gt;1,"1","2")</f>
        <v/>
      </c>
      <c r="AC28" s="5">
        <f>IF(V28&gt;1,"1","2")</f>
        <v/>
      </c>
      <c r="AD28" s="5">
        <f>IF(W28&gt;1,"1","2")</f>
        <v/>
      </c>
      <c r="AE28" s="5">
        <f>IF(X28&gt;1,"1","2")</f>
        <v/>
      </c>
      <c r="AF28" t="n">
        <v>-5.155482</v>
      </c>
      <c r="AG28" t="n">
        <v>119.406543</v>
      </c>
    </row>
    <row r="29" ht="14.4" customHeight="1">
      <c r="A29" s="14" t="n">
        <v>26</v>
      </c>
      <c r="B29" s="15" t="inlineStr">
        <is>
          <t>Tis</t>
        </is>
      </c>
      <c r="C29" s="10" t="n">
        <v>9</v>
      </c>
      <c r="D29" s="10" t="n">
        <v>40</v>
      </c>
      <c r="E29" s="16" t="n">
        <v>365</v>
      </c>
      <c r="F29" s="22" t="n">
        <v>0.0001</v>
      </c>
      <c r="G29" s="10" t="n">
        <v>900</v>
      </c>
      <c r="H29" s="13" t="n">
        <v>0.0014</v>
      </c>
      <c r="I29" s="18" t="n">
        <v>10950</v>
      </c>
      <c r="J29" s="20" t="n">
        <v>5</v>
      </c>
      <c r="K29" s="19">
        <f>(F29*G29*E29*J29)/(D29*I29)</f>
        <v/>
      </c>
      <c r="L29" s="2">
        <f>(F29*G29*E29*5)/(D29*I29)</f>
        <v/>
      </c>
      <c r="M29" s="2">
        <f>(F29*G29*E29*10)/(D29*I29)</f>
        <v/>
      </c>
      <c r="N29" s="2">
        <f>(F29*G29*E29*15)/(D29*I29)</f>
        <v/>
      </c>
      <c r="O29" s="2">
        <f>(F29*G29*E29*20)/(D29*I29)</f>
        <v/>
      </c>
      <c r="P29" s="2">
        <f>(F29*G29*E29*25)/(D29*I29)</f>
        <v/>
      </c>
      <c r="Q29" s="2">
        <f>(F29*G29*E29*30)/(D29*I29)</f>
        <v/>
      </c>
      <c r="R29" s="2">
        <f>K29/H29</f>
        <v/>
      </c>
      <c r="S29" s="2">
        <f>L29/H29</f>
        <v/>
      </c>
      <c r="T29" s="2">
        <f>M29/H29</f>
        <v/>
      </c>
      <c r="U29" s="2">
        <f>N29/H29</f>
        <v/>
      </c>
      <c r="V29" s="2">
        <f>O29/H29</f>
        <v/>
      </c>
      <c r="W29" s="2">
        <f>P29/H29</f>
        <v/>
      </c>
      <c r="X29" s="2">
        <f>Q29/H29</f>
        <v/>
      </c>
      <c r="Y29" s="5">
        <f>IF(R29&gt;1,"1","2")</f>
        <v/>
      </c>
      <c r="Z29" s="5">
        <f>IF(S29&gt;1,"1","2")</f>
        <v/>
      </c>
      <c r="AA29" s="5">
        <f>IF(T29&gt;1,"1","2")</f>
        <v/>
      </c>
      <c r="AB29" s="5">
        <f>IF(U29&gt;1,"1","2")</f>
        <v/>
      </c>
      <c r="AC29" s="5">
        <f>IF(V29&gt;1,"1","2")</f>
        <v/>
      </c>
      <c r="AD29" s="5">
        <f>IF(W29&gt;1,"1","2")</f>
        <v/>
      </c>
      <c r="AE29" s="5">
        <f>IF(X29&gt;1,"1","2")</f>
        <v/>
      </c>
      <c r="AF29" t="n">
        <v>-5.138075</v>
      </c>
      <c r="AG29" t="n">
        <v>119.417292</v>
      </c>
    </row>
    <row r="30" ht="14.4" customHeight="1">
      <c r="A30" s="14" t="n">
        <v>27</v>
      </c>
      <c r="B30" s="15" t="inlineStr">
        <is>
          <t>And</t>
        </is>
      </c>
      <c r="C30" s="10" t="n">
        <v>9</v>
      </c>
      <c r="D30" s="10" t="n">
        <v>39</v>
      </c>
      <c r="E30" s="16" t="n">
        <v>365</v>
      </c>
      <c r="F30" s="22" t="n">
        <v>0.0001</v>
      </c>
      <c r="G30" s="10" t="n">
        <v>900</v>
      </c>
      <c r="H30" s="13" t="n">
        <v>0.0014</v>
      </c>
      <c r="I30" s="18" t="n">
        <v>10950</v>
      </c>
      <c r="J30" s="20" t="n">
        <v>1</v>
      </c>
      <c r="K30" s="19">
        <f>(F30*G30*E30*J30)/(D30*I30)</f>
        <v/>
      </c>
      <c r="L30" s="2">
        <f>(F30*G30*E30*5)/(D30*I30)</f>
        <v/>
      </c>
      <c r="M30" s="2">
        <f>(F30*G30*E30*10)/(D30*I30)</f>
        <v/>
      </c>
      <c r="N30" s="2">
        <f>(F30*G30*E30*15)/(D30*I30)</f>
        <v/>
      </c>
      <c r="O30" s="2">
        <f>(F30*G30*E30*20)/(D30*I30)</f>
        <v/>
      </c>
      <c r="P30" s="2">
        <f>(F30*G30*E30*25)/(D30*I30)</f>
        <v/>
      </c>
      <c r="Q30" s="2">
        <f>(F30*G30*E30*30)/(D30*I30)</f>
        <v/>
      </c>
      <c r="R30" s="2">
        <f>K30/H30</f>
        <v/>
      </c>
      <c r="S30" s="2">
        <f>L30/H30</f>
        <v/>
      </c>
      <c r="T30" s="2">
        <f>M30/H30</f>
        <v/>
      </c>
      <c r="U30" s="2">
        <f>N30/H30</f>
        <v/>
      </c>
      <c r="V30" s="2">
        <f>O30/H30</f>
        <v/>
      </c>
      <c r="W30" s="2">
        <f>P30/H30</f>
        <v/>
      </c>
      <c r="X30" s="2">
        <f>Q30/H30</f>
        <v/>
      </c>
      <c r="Y30" s="5">
        <f>IF(R30&gt;1,"1","2")</f>
        <v/>
      </c>
      <c r="Z30" s="5">
        <f>IF(S30&gt;1,"1","2")</f>
        <v/>
      </c>
      <c r="AA30" s="5">
        <f>IF(T30&gt;1,"1","2")</f>
        <v/>
      </c>
      <c r="AB30" s="5">
        <f>IF(U30&gt;1,"1","2")</f>
        <v/>
      </c>
      <c r="AC30" s="5">
        <f>IF(V30&gt;1,"1","2")</f>
        <v/>
      </c>
      <c r="AD30" s="5">
        <f>IF(W30&gt;1,"1","2")</f>
        <v/>
      </c>
      <c r="AE30" s="5">
        <f>IF(X30&gt;1,"1","2")</f>
        <v/>
      </c>
      <c r="AF30" t="n">
        <v>-5.138437</v>
      </c>
      <c r="AG30" t="n">
        <v>119.41446</v>
      </c>
    </row>
    <row r="31" ht="14.4" customHeight="1">
      <c r="A31" s="14" t="n">
        <v>28</v>
      </c>
      <c r="B31" s="15" t="inlineStr">
        <is>
          <t>Fau</t>
        </is>
      </c>
      <c r="C31" s="10" t="n">
        <v>9</v>
      </c>
      <c r="D31" s="10" t="n">
        <v>26</v>
      </c>
      <c r="E31" s="16" t="n">
        <v>365</v>
      </c>
      <c r="F31" s="22" t="n">
        <v>0.0001</v>
      </c>
      <c r="G31" s="10" t="n">
        <v>900</v>
      </c>
      <c r="H31" s="13" t="n">
        <v>0.0014</v>
      </c>
      <c r="I31" s="18" t="n">
        <v>10950</v>
      </c>
      <c r="J31" s="20" t="n">
        <v>9</v>
      </c>
      <c r="K31" s="19">
        <f>(F31*G31*E31*J31)/(D31*I31)</f>
        <v/>
      </c>
      <c r="L31" s="2">
        <f>(F31*G31*E31*5)/(D31*I31)</f>
        <v/>
      </c>
      <c r="M31" s="2">
        <f>(F31*G31*E31*10)/(D31*I31)</f>
        <v/>
      </c>
      <c r="N31" s="2">
        <f>(F31*G31*E31*15)/(D31*I31)</f>
        <v/>
      </c>
      <c r="O31" s="2">
        <f>(F31*G31*E31*20)/(D31*I31)</f>
        <v/>
      </c>
      <c r="P31" s="2">
        <f>(F31*G31*E31*25)/(D31*I31)</f>
        <v/>
      </c>
      <c r="Q31" s="2">
        <f>(F31*G31*E31*30)/(D31*I31)</f>
        <v/>
      </c>
      <c r="R31" s="2">
        <f>K31/H31</f>
        <v/>
      </c>
      <c r="S31" s="2">
        <f>L31/H31</f>
        <v/>
      </c>
      <c r="T31" s="2">
        <f>M31/H31</f>
        <v/>
      </c>
      <c r="U31" s="2">
        <f>N31/H31</f>
        <v/>
      </c>
      <c r="V31" s="2">
        <f>O31/H31</f>
        <v/>
      </c>
      <c r="W31" s="2">
        <f>P31/H31</f>
        <v/>
      </c>
      <c r="X31" s="2">
        <f>Q31/H31</f>
        <v/>
      </c>
      <c r="Y31" s="5">
        <f>IF(R31&gt;1,"1","2")</f>
        <v/>
      </c>
      <c r="Z31" s="5">
        <f>IF(S31&gt;1,"1","2")</f>
        <v/>
      </c>
      <c r="AA31" s="5">
        <f>IF(T31&gt;1,"1","2")</f>
        <v/>
      </c>
      <c r="AB31" s="5">
        <f>IF(U31&gt;1,"1","2")</f>
        <v/>
      </c>
      <c r="AC31" s="5">
        <f>IF(V31&gt;1,"1","2")</f>
        <v/>
      </c>
      <c r="AD31" s="5">
        <f>IF(W31&gt;1,"1","2")</f>
        <v/>
      </c>
      <c r="AE31" s="5">
        <f>IF(X31&gt;1,"1","2")</f>
        <v/>
      </c>
      <c r="AF31" t="n">
        <v>-5.159509</v>
      </c>
      <c r="AG31" t="n">
        <v>119.40562</v>
      </c>
    </row>
    <row r="32" ht="14.4" customHeight="1">
      <c r="A32" s="14" t="n">
        <v>29</v>
      </c>
      <c r="B32" s="15" t="inlineStr">
        <is>
          <t>Als</t>
        </is>
      </c>
      <c r="C32" s="10" t="n">
        <v>9</v>
      </c>
      <c r="D32" s="10" t="n">
        <v>25</v>
      </c>
      <c r="E32" s="16" t="n">
        <v>365</v>
      </c>
      <c r="F32" s="22" t="n">
        <v>0.0001</v>
      </c>
      <c r="G32" s="10" t="n">
        <v>900</v>
      </c>
      <c r="H32" s="13" t="n">
        <v>0.0014</v>
      </c>
      <c r="I32" s="18" t="n">
        <v>10950</v>
      </c>
      <c r="J32" s="20" t="n">
        <v>9</v>
      </c>
      <c r="K32" s="19">
        <f>(F32*G32*E32*J32)/(D32*I32)</f>
        <v/>
      </c>
      <c r="L32" s="2">
        <f>(F32*G32*E32*5)/(D32*I32)</f>
        <v/>
      </c>
      <c r="M32" s="2">
        <f>(F32*G32*E32*10)/(D32*I32)</f>
        <v/>
      </c>
      <c r="N32" s="2">
        <f>(F32*G32*E32*15)/(D32*I32)</f>
        <v/>
      </c>
      <c r="O32" s="2">
        <f>(F32*G32*E32*20)/(D32*I32)</f>
        <v/>
      </c>
      <c r="P32" s="2">
        <f>(F32*G32*E32*25)/(D32*I32)</f>
        <v/>
      </c>
      <c r="Q32" s="2">
        <f>(F32*G32*E32*30)/(D32*I32)</f>
        <v/>
      </c>
      <c r="R32" s="2">
        <f>K32/H32</f>
        <v/>
      </c>
      <c r="S32" s="2">
        <f>L32/H32</f>
        <v/>
      </c>
      <c r="T32" s="2">
        <f>M32/H32</f>
        <v/>
      </c>
      <c r="U32" s="2">
        <f>N32/H32</f>
        <v/>
      </c>
      <c r="V32" s="2">
        <f>O32/H32</f>
        <v/>
      </c>
      <c r="W32" s="2">
        <f>P32/H32</f>
        <v/>
      </c>
      <c r="X32" s="2">
        <f>Q32/H32</f>
        <v/>
      </c>
      <c r="Y32" s="5">
        <f>IF(R32&gt;1,"1","2")</f>
        <v/>
      </c>
      <c r="Z32" s="5">
        <f>IF(S32&gt;1,"1","2")</f>
        <v/>
      </c>
      <c r="AA32" s="5">
        <f>IF(T32&gt;1,"1","2")</f>
        <v/>
      </c>
      <c r="AB32" s="5">
        <f>IF(U32&gt;1,"1","2")</f>
        <v/>
      </c>
      <c r="AC32" s="5">
        <f>IF(V32&gt;1,"1","2")</f>
        <v/>
      </c>
      <c r="AD32" s="5">
        <f>IF(W32&gt;1,"1","2")</f>
        <v/>
      </c>
      <c r="AE32" s="5">
        <f>IF(X32&gt;1,"1","2")</f>
        <v/>
      </c>
      <c r="AF32" t="n">
        <v>-5.156903</v>
      </c>
      <c r="AG32" t="n">
        <v>119.410681</v>
      </c>
    </row>
    <row r="33" ht="14.4" customHeight="1">
      <c r="A33" s="14" t="n">
        <v>30</v>
      </c>
      <c r="B33" s="15" t="inlineStr">
        <is>
          <t>Mak</t>
        </is>
      </c>
      <c r="C33" s="10" t="n">
        <v>10</v>
      </c>
      <c r="D33" s="10" t="n">
        <v>25</v>
      </c>
      <c r="E33" s="16" t="n">
        <v>365</v>
      </c>
      <c r="F33" s="22" t="n">
        <v>0.0001</v>
      </c>
      <c r="G33" s="10" t="n">
        <v>900</v>
      </c>
      <c r="H33" s="13" t="n">
        <v>0.0014</v>
      </c>
      <c r="I33" s="18" t="n">
        <v>10950</v>
      </c>
      <c r="J33" s="20" t="n">
        <v>10</v>
      </c>
      <c r="K33" s="19">
        <f>(F33*G33*E33*J33)/(D33*I33)</f>
        <v/>
      </c>
      <c r="L33" s="2">
        <f>(F33*G33*E33*5)/(D33*I33)</f>
        <v/>
      </c>
      <c r="M33" s="2">
        <f>(F33*G33*E33*10)/(D33*I33)</f>
        <v/>
      </c>
      <c r="N33" s="2">
        <f>(F33*G33*E33*15)/(D33*I33)</f>
        <v/>
      </c>
      <c r="O33" s="2">
        <f>(F33*G33*E33*20)/(D33*I33)</f>
        <v/>
      </c>
      <c r="P33" s="2">
        <f>(F33*G33*E33*25)/(D33*I33)</f>
        <v/>
      </c>
      <c r="Q33" s="2">
        <f>(F33*G33*E33*30)/(D33*I33)</f>
        <v/>
      </c>
      <c r="R33" s="2">
        <f>K33/H33</f>
        <v/>
      </c>
      <c r="S33" s="2">
        <f>L33/H33</f>
        <v/>
      </c>
      <c r="T33" s="2">
        <f>M33/H33</f>
        <v/>
      </c>
      <c r="U33" s="2">
        <f>N33/H33</f>
        <v/>
      </c>
      <c r="V33" s="2">
        <f>O33/H33</f>
        <v/>
      </c>
      <c r="W33" s="2">
        <f>P33/H33</f>
        <v/>
      </c>
      <c r="X33" s="2">
        <f>Q33/H33</f>
        <v/>
      </c>
      <c r="Y33" s="5">
        <f>IF(R33&gt;1,"1","2")</f>
        <v/>
      </c>
      <c r="Z33" s="5">
        <f>IF(S33&gt;1,"1","2")</f>
        <v/>
      </c>
      <c r="AA33" s="5">
        <f>IF(T33&gt;1,"1","2")</f>
        <v/>
      </c>
      <c r="AB33" s="5">
        <f>IF(U33&gt;1,"1","2")</f>
        <v/>
      </c>
      <c r="AC33" s="5">
        <f>IF(V33&gt;1,"1","2")</f>
        <v/>
      </c>
      <c r="AD33" s="5">
        <f>IF(W33&gt;1,"1","2")</f>
        <v/>
      </c>
      <c r="AE33" s="5">
        <f>IF(X33&gt;1,"1","2")</f>
        <v/>
      </c>
      <c r="AF33" t="n">
        <v>-5.137187</v>
      </c>
      <c r="AG33" t="n">
        <v>119.431612</v>
      </c>
    </row>
    <row r="34" ht="14.4" customHeight="1">
      <c r="A34" s="14" t="n">
        <v>31</v>
      </c>
      <c r="B34" s="15" t="inlineStr">
        <is>
          <t>Rwu</t>
        </is>
      </c>
      <c r="C34" s="10" t="n">
        <v>10</v>
      </c>
      <c r="D34" s="10" t="n">
        <v>33</v>
      </c>
      <c r="E34" s="16" t="n">
        <v>365</v>
      </c>
      <c r="F34" s="22" t="n">
        <v>0.0001</v>
      </c>
      <c r="G34" s="10" t="n">
        <v>900</v>
      </c>
      <c r="H34" s="13" t="n">
        <v>0.0014</v>
      </c>
      <c r="I34" s="18" t="n">
        <v>10950</v>
      </c>
      <c r="J34" s="20" t="n">
        <v>10</v>
      </c>
      <c r="K34" s="19">
        <f>(F34*G34*E34*J34)/(D34*I34)</f>
        <v/>
      </c>
      <c r="L34" s="2">
        <f>(F34*G34*E34*5)/(D34*I34)</f>
        <v/>
      </c>
      <c r="M34" s="2">
        <f>(F34*G34*E34*10)/(D34*I34)</f>
        <v/>
      </c>
      <c r="N34" s="2">
        <f>(F34*G34*E34*15)/(D34*I34)</f>
        <v/>
      </c>
      <c r="O34" s="2">
        <f>(F34*G34*E34*20)/(D34*I34)</f>
        <v/>
      </c>
      <c r="P34" s="2">
        <f>(F34*G34*E34*25)/(D34*I34)</f>
        <v/>
      </c>
      <c r="Q34" s="2">
        <f>(F34*G34*E34*30)/(D34*I34)</f>
        <v/>
      </c>
      <c r="R34" s="2">
        <f>K34/H34</f>
        <v/>
      </c>
      <c r="S34" s="2">
        <f>L34/H34</f>
        <v/>
      </c>
      <c r="T34" s="2">
        <f>M34/H34</f>
        <v/>
      </c>
      <c r="U34" s="2">
        <f>N34/H34</f>
        <v/>
      </c>
      <c r="V34" s="2">
        <f>O34/H34</f>
        <v/>
      </c>
      <c r="W34" s="2">
        <f>P34/H34</f>
        <v/>
      </c>
      <c r="X34" s="2">
        <f>Q34/H34</f>
        <v/>
      </c>
      <c r="Y34" s="5">
        <f>IF(R34&gt;1,"1","2")</f>
        <v/>
      </c>
      <c r="Z34" s="5">
        <f>IF(S34&gt;1,"1","2")</f>
        <v/>
      </c>
      <c r="AA34" s="5">
        <f>IF(T34&gt;1,"1","2")</f>
        <v/>
      </c>
      <c r="AB34" s="5">
        <f>IF(U34&gt;1,"1","2")</f>
        <v/>
      </c>
      <c r="AC34" s="5">
        <f>IF(V34&gt;1,"1","2")</f>
        <v/>
      </c>
      <c r="AD34" s="5">
        <f>IF(W34&gt;1,"1","2")</f>
        <v/>
      </c>
      <c r="AE34" s="5">
        <f>IF(X34&gt;1,"1","2")</f>
        <v/>
      </c>
      <c r="AF34" t="n">
        <v>-5.138843</v>
      </c>
      <c r="AG34" t="n">
        <v>119.429287</v>
      </c>
    </row>
    <row r="35" ht="14.4" customHeight="1">
      <c r="A35" s="14" t="n">
        <v>32</v>
      </c>
      <c r="B35" s="15" t="inlineStr">
        <is>
          <t>Nhf</t>
        </is>
      </c>
      <c r="C35" s="10" t="n">
        <v>10</v>
      </c>
      <c r="D35" s="10" t="n">
        <v>25</v>
      </c>
      <c r="E35" s="16" t="n">
        <v>365</v>
      </c>
      <c r="F35" s="22" t="n">
        <v>0.0001</v>
      </c>
      <c r="G35" s="10" t="n">
        <v>900</v>
      </c>
      <c r="H35" s="13" t="n">
        <v>0.0014</v>
      </c>
      <c r="I35" s="18" t="n">
        <v>10950</v>
      </c>
      <c r="J35" s="20" t="n">
        <v>10</v>
      </c>
      <c r="K35" s="19">
        <f>(F35*G35*E35*J35)/(D35*I35)</f>
        <v/>
      </c>
      <c r="L35" s="2">
        <f>(F35*G35*E35*5)/(D35*I35)</f>
        <v/>
      </c>
      <c r="M35" s="2">
        <f>(F35*G35*E35*10)/(D35*I35)</f>
        <v/>
      </c>
      <c r="N35" s="2">
        <f>(F35*G35*E35*15)/(D35*I35)</f>
        <v/>
      </c>
      <c r="O35" s="2">
        <f>(F35*G35*E35*20)/(D35*I35)</f>
        <v/>
      </c>
      <c r="P35" s="2">
        <f>(F35*G35*E35*25)/(D35*I35)</f>
        <v/>
      </c>
      <c r="Q35" s="2">
        <f>(F35*G35*E35*30)/(D35*I35)</f>
        <v/>
      </c>
      <c r="R35" s="2">
        <f>K35/H35</f>
        <v/>
      </c>
      <c r="S35" s="2">
        <f>L35/H35</f>
        <v/>
      </c>
      <c r="T35" s="2">
        <f>M35/H35</f>
        <v/>
      </c>
      <c r="U35" s="2">
        <f>N35/H35</f>
        <v/>
      </c>
      <c r="V35" s="2">
        <f>O35/H35</f>
        <v/>
      </c>
      <c r="W35" s="2">
        <f>P35/H35</f>
        <v/>
      </c>
      <c r="X35" s="2">
        <f>Q35/H35</f>
        <v/>
      </c>
      <c r="Y35" s="5">
        <f>IF(R35&gt;1,"1","2")</f>
        <v/>
      </c>
      <c r="Z35" s="5">
        <f>IF(S35&gt;1,"1","2")</f>
        <v/>
      </c>
      <c r="AA35" s="5">
        <f>IF(T35&gt;1,"1","2")</f>
        <v/>
      </c>
      <c r="AB35" s="5">
        <f>IF(U35&gt;1,"1","2")</f>
        <v/>
      </c>
      <c r="AC35" s="5">
        <f>IF(V35&gt;1,"1","2")</f>
        <v/>
      </c>
      <c r="AD35" s="5">
        <f>IF(W35&gt;1,"1","2")</f>
        <v/>
      </c>
      <c r="AE35" s="5">
        <f>IF(X35&gt;1,"1","2")</f>
        <v/>
      </c>
      <c r="AF35" t="n">
        <v>-5.138052</v>
      </c>
      <c r="AG35" t="n">
        <v>119.437527</v>
      </c>
    </row>
    <row r="36" ht="14.4" customHeight="1">
      <c r="A36" s="14" t="n">
        <v>33</v>
      </c>
      <c r="B36" s="15" t="inlineStr">
        <is>
          <t>Mfk</t>
        </is>
      </c>
      <c r="C36" s="10" t="n">
        <v>10</v>
      </c>
      <c r="D36" s="10" t="n">
        <v>25</v>
      </c>
      <c r="E36" s="16" t="n">
        <v>365</v>
      </c>
      <c r="F36" s="22" t="n">
        <v>0.0001</v>
      </c>
      <c r="G36" s="10" t="n">
        <v>900</v>
      </c>
      <c r="H36" s="13" t="n">
        <v>0.0014</v>
      </c>
      <c r="I36" s="18" t="n">
        <v>10950</v>
      </c>
      <c r="J36" s="20" t="n">
        <v>10</v>
      </c>
      <c r="K36" s="19">
        <f>(F36*G36*E36*J36)/(D36*I36)</f>
        <v/>
      </c>
      <c r="L36" s="2">
        <f>(F36*G36*E36*5)/(D36*I36)</f>
        <v/>
      </c>
      <c r="M36" s="2">
        <f>(F36*G36*E36*10)/(D36*I36)</f>
        <v/>
      </c>
      <c r="N36" s="2">
        <f>(F36*G36*E36*15)/(D36*I36)</f>
        <v/>
      </c>
      <c r="O36" s="2">
        <f>(F36*G36*E36*20)/(D36*I36)</f>
        <v/>
      </c>
      <c r="P36" s="2">
        <f>(F36*G36*E36*25)/(D36*I36)</f>
        <v/>
      </c>
      <c r="Q36" s="2">
        <f>(F36*G36*E36*30)/(D36*I36)</f>
        <v/>
      </c>
      <c r="R36" s="2">
        <f>K36/H36</f>
        <v/>
      </c>
      <c r="S36" s="2">
        <f>L36/H36</f>
        <v/>
      </c>
      <c r="T36" s="2">
        <f>M36/H36</f>
        <v/>
      </c>
      <c r="U36" s="2">
        <f>N36/H36</f>
        <v/>
      </c>
      <c r="V36" s="2">
        <f>O36/H36</f>
        <v/>
      </c>
      <c r="W36" s="2">
        <f>P36/H36</f>
        <v/>
      </c>
      <c r="X36" s="2">
        <f>Q36/H36</f>
        <v/>
      </c>
      <c r="Y36" s="5">
        <f>IF(R36&gt;1,"1","2")</f>
        <v/>
      </c>
      <c r="Z36" s="5">
        <f>IF(S36&gt;1,"1","2")</f>
        <v/>
      </c>
      <c r="AA36" s="5">
        <f>IF(T36&gt;1,"1","2")</f>
        <v/>
      </c>
      <c r="AB36" s="5">
        <f>IF(U36&gt;1,"1","2")</f>
        <v/>
      </c>
      <c r="AC36" s="5">
        <f>IF(V36&gt;1,"1","2")</f>
        <v/>
      </c>
      <c r="AD36" s="5">
        <f>IF(W36&gt;1,"1","2")</f>
        <v/>
      </c>
      <c r="AE36" s="5">
        <f>IF(X36&gt;1,"1","2")</f>
        <v/>
      </c>
      <c r="AF36" t="n">
        <v>-5.146852</v>
      </c>
      <c r="AG36" t="n">
        <v>119.449161</v>
      </c>
    </row>
    <row r="37" ht="14.4" customHeight="1">
      <c r="A37" s="14" t="n">
        <v>34</v>
      </c>
      <c r="B37" s="15" t="inlineStr">
        <is>
          <t>Ewi</t>
        </is>
      </c>
      <c r="C37" s="10" t="n">
        <v>10</v>
      </c>
      <c r="D37" s="10" t="n">
        <v>33</v>
      </c>
      <c r="E37" s="17" t="n">
        <v>365</v>
      </c>
      <c r="F37" s="22" t="n">
        <v>0.0001</v>
      </c>
      <c r="G37" s="10" t="n">
        <v>900</v>
      </c>
      <c r="H37" s="13" t="n">
        <v>0.0014</v>
      </c>
      <c r="I37" s="18" t="n">
        <v>10950</v>
      </c>
      <c r="J37" s="20" t="n">
        <v>10</v>
      </c>
      <c r="K37" s="19">
        <f>(F37*G37*E37*J37)/(D37*I37)</f>
        <v/>
      </c>
      <c r="L37" s="2">
        <f>(F37*G37*E37*5)/(D37*I37)</f>
        <v/>
      </c>
      <c r="M37" s="2">
        <f>(F37*G37*E37*10)/(D37*I37)</f>
        <v/>
      </c>
      <c r="N37" s="2">
        <f>(F37*G37*E37*15)/(D37*I37)</f>
        <v/>
      </c>
      <c r="O37" s="2">
        <f>(F37*G37*E37*20)/(D37*I37)</f>
        <v/>
      </c>
      <c r="P37" s="2">
        <f>(F37*G37*E37*25)/(D37*I37)</f>
        <v/>
      </c>
      <c r="Q37" s="2">
        <f>(F37*G37*E37*30)/(D37*I37)</f>
        <v/>
      </c>
      <c r="R37" s="2">
        <f>K37/H37</f>
        <v/>
      </c>
      <c r="S37" s="2">
        <f>L37/H37</f>
        <v/>
      </c>
      <c r="T37" s="2">
        <f>M37/H37</f>
        <v/>
      </c>
      <c r="U37" s="2">
        <f>N37/H37</f>
        <v/>
      </c>
      <c r="V37" s="2">
        <f>O37/H37</f>
        <v/>
      </c>
      <c r="W37" s="2">
        <f>P37/H37</f>
        <v/>
      </c>
      <c r="X37" s="2">
        <f>Q37/H37</f>
        <v/>
      </c>
      <c r="Y37" s="5">
        <f>IF(R37&gt;1,"1","2")</f>
        <v/>
      </c>
      <c r="Z37" s="5">
        <f>IF(S37&gt;1,"1","2")</f>
        <v/>
      </c>
      <c r="AA37" s="5">
        <f>IF(T37&gt;1,"1","2")</f>
        <v/>
      </c>
      <c r="AB37" s="5">
        <f>IF(U37&gt;1,"1","2")</f>
        <v/>
      </c>
      <c r="AC37" s="5">
        <f>IF(V37&gt;1,"1","2")</f>
        <v/>
      </c>
      <c r="AD37" s="5">
        <f>IF(W37&gt;1,"1","2")</f>
        <v/>
      </c>
      <c r="AE37" s="5">
        <f>IF(X37&gt;1,"1","2")</f>
        <v/>
      </c>
      <c r="AF37" t="n">
        <v>-5.13272</v>
      </c>
      <c r="AG37" t="n">
        <v>119.40458</v>
      </c>
    </row>
    <row r="38" ht="14.4" customHeight="1">
      <c r="A38" s="14" t="n">
        <v>35</v>
      </c>
      <c r="B38" s="15" t="inlineStr">
        <is>
          <t>Nul</t>
        </is>
      </c>
      <c r="C38" s="10" t="n">
        <v>10</v>
      </c>
      <c r="D38" s="10" t="n">
        <v>25</v>
      </c>
      <c r="E38" s="17" t="n">
        <v>365</v>
      </c>
      <c r="F38" s="22" t="n">
        <v>0.0001</v>
      </c>
      <c r="G38" s="10" t="n">
        <v>900</v>
      </c>
      <c r="H38" s="13" t="n">
        <v>0.0014</v>
      </c>
      <c r="I38" s="18" t="n">
        <v>10950</v>
      </c>
      <c r="J38" s="20" t="n">
        <v>10</v>
      </c>
      <c r="K38" s="19">
        <f>(F38*G38*E38*J38)/(D38*I38)</f>
        <v/>
      </c>
      <c r="L38" s="2">
        <f>(F38*G38*E38*5)/(D38*I38)</f>
        <v/>
      </c>
      <c r="M38" s="2">
        <f>(F38*G38*E38*10)/(D38*I38)</f>
        <v/>
      </c>
      <c r="N38" s="2">
        <f>(F38*G38*E38*15)/(D38*I38)</f>
        <v/>
      </c>
      <c r="O38" s="2">
        <f>(F38*G38*E38*20)/(D38*I38)</f>
        <v/>
      </c>
      <c r="P38" s="2">
        <f>(F38*G38*E38*25)/(D38*I38)</f>
        <v/>
      </c>
      <c r="Q38" s="2">
        <f>(F38*G38*E38*30)/(D38*I38)</f>
        <v/>
      </c>
      <c r="R38" s="2">
        <f>K38/H38</f>
        <v/>
      </c>
      <c r="S38" s="2">
        <f>L38/H38</f>
        <v/>
      </c>
      <c r="T38" s="2">
        <f>M38/H38</f>
        <v/>
      </c>
      <c r="U38" s="2">
        <f>N38/H38</f>
        <v/>
      </c>
      <c r="V38" s="2">
        <f>O38/H38</f>
        <v/>
      </c>
      <c r="W38" s="2">
        <f>P38/H38</f>
        <v/>
      </c>
      <c r="X38" s="2">
        <f>Q38/H38</f>
        <v/>
      </c>
      <c r="Y38" s="5">
        <f>IF(R38&gt;1,"1","2")</f>
        <v/>
      </c>
      <c r="Z38" s="5">
        <f>IF(S38&gt;1,"1","2")</f>
        <v/>
      </c>
      <c r="AA38" s="5">
        <f>IF(T38&gt;1,"1","2")</f>
        <v/>
      </c>
      <c r="AB38" s="5">
        <f>IF(U38&gt;1,"1","2")</f>
        <v/>
      </c>
      <c r="AC38" s="5">
        <f>IF(V38&gt;1,"1","2")</f>
        <v/>
      </c>
      <c r="AD38" s="5">
        <f>IF(W38&gt;1,"1","2")</f>
        <v/>
      </c>
      <c r="AE38" s="5">
        <f>IF(X38&gt;1,"1","2")</f>
        <v/>
      </c>
      <c r="AF38" t="n">
        <v>-5.134421</v>
      </c>
      <c r="AG38" t="n">
        <v>119.421451</v>
      </c>
    </row>
    <row r="39" ht="14.4" customHeight="1">
      <c r="A39" s="14" t="n">
        <v>36</v>
      </c>
      <c r="B39" s="15" t="inlineStr">
        <is>
          <t>Naq</t>
        </is>
      </c>
      <c r="C39" s="10" t="n">
        <v>10</v>
      </c>
      <c r="D39" s="10" t="n">
        <v>24</v>
      </c>
      <c r="E39" s="17" t="n">
        <v>365</v>
      </c>
      <c r="F39" s="22" t="n">
        <v>0.0001</v>
      </c>
      <c r="G39" s="10" t="n">
        <v>900</v>
      </c>
      <c r="H39" s="13" t="n">
        <v>0.0014</v>
      </c>
      <c r="I39" s="18" t="n">
        <v>10950</v>
      </c>
      <c r="J39" s="20" t="n">
        <v>1</v>
      </c>
      <c r="K39" s="19">
        <f>(F39*G39*E39*J39)/(D39*I39)</f>
        <v/>
      </c>
      <c r="L39" s="2">
        <f>(F39*G39*E39*5)/(D39*I39)</f>
        <v/>
      </c>
      <c r="M39" s="2">
        <f>(F39*G39*E39*10)/(D39*I39)</f>
        <v/>
      </c>
      <c r="N39" s="2">
        <f>(F39*G39*E39*15)/(D39*I39)</f>
        <v/>
      </c>
      <c r="O39" s="2">
        <f>(F39*G39*E39*20)/(D39*I39)</f>
        <v/>
      </c>
      <c r="P39" s="2">
        <f>(F39*G39*E39*25)/(D39*I39)</f>
        <v/>
      </c>
      <c r="Q39" s="2">
        <f>(F39*G39*E39*30)/(D39*I39)</f>
        <v/>
      </c>
      <c r="R39" s="2">
        <f>K39/H39</f>
        <v/>
      </c>
      <c r="S39" s="2">
        <f>L39/H39</f>
        <v/>
      </c>
      <c r="T39" s="2">
        <f>M39/H39</f>
        <v/>
      </c>
      <c r="U39" s="2">
        <f>N39/H39</f>
        <v/>
      </c>
      <c r="V39" s="2">
        <f>O39/H39</f>
        <v/>
      </c>
      <c r="W39" s="2">
        <f>P39/H39</f>
        <v/>
      </c>
      <c r="X39" s="2">
        <f>Q39/H39</f>
        <v/>
      </c>
      <c r="Y39" s="5">
        <f>IF(R39&gt;1,"1","2")</f>
        <v/>
      </c>
      <c r="Z39" s="5">
        <f>IF(S39&gt;1,"1","2")</f>
        <v/>
      </c>
      <c r="AA39" s="5">
        <f>IF(T39&gt;1,"1","2")</f>
        <v/>
      </c>
      <c r="AB39" s="5">
        <f>IF(U39&gt;1,"1","2")</f>
        <v/>
      </c>
      <c r="AC39" s="5">
        <f>IF(V39&gt;1,"1","2")</f>
        <v/>
      </c>
      <c r="AD39" s="5">
        <f>IF(W39&gt;1,"1","2")</f>
        <v/>
      </c>
      <c r="AE39" s="5">
        <f>IF(X39&gt;1,"1","2")</f>
        <v/>
      </c>
      <c r="AF39" t="n">
        <v>-5.151606</v>
      </c>
      <c r="AG39" t="n">
        <v>119.41927</v>
      </c>
    </row>
    <row r="40" ht="14.4" customHeight="1">
      <c r="A40" s="14" t="n">
        <v>37</v>
      </c>
      <c r="B40" s="15" t="inlineStr">
        <is>
          <t>Frd</t>
        </is>
      </c>
      <c r="C40" s="10" t="n">
        <v>10</v>
      </c>
      <c r="D40" s="10" t="n">
        <v>20</v>
      </c>
      <c r="E40" s="17" t="n">
        <v>365</v>
      </c>
      <c r="F40" s="22" t="n">
        <v>0.0001</v>
      </c>
      <c r="G40" s="10" t="n">
        <v>900</v>
      </c>
      <c r="H40" s="13" t="n">
        <v>0.0014</v>
      </c>
      <c r="I40" s="18" t="n">
        <v>10950</v>
      </c>
      <c r="J40" s="20" t="n">
        <v>10</v>
      </c>
      <c r="K40" s="19">
        <f>(F40*G40*E40*J40)/(D40*I40)</f>
        <v/>
      </c>
      <c r="L40" s="2">
        <f>(F40*G40*E40*5)/(D40*I40)</f>
        <v/>
      </c>
      <c r="M40" s="2">
        <f>(F40*G40*E40*10)/(D40*I40)</f>
        <v/>
      </c>
      <c r="N40" s="2">
        <f>(F40*G40*E40*15)/(D40*I40)</f>
        <v/>
      </c>
      <c r="O40" s="2">
        <f>(F40*G40*E40*20)/(D40*I40)</f>
        <v/>
      </c>
      <c r="P40" s="2">
        <f>(F40*G40*E40*25)/(D40*I40)</f>
        <v/>
      </c>
      <c r="Q40" s="2">
        <f>(F40*G40*E40*30)/(D40*I40)</f>
        <v/>
      </c>
      <c r="R40" s="2">
        <f>K40/H40</f>
        <v/>
      </c>
      <c r="S40" s="2">
        <f>L40/H40</f>
        <v/>
      </c>
      <c r="T40" s="2">
        <f>M40/H40</f>
        <v/>
      </c>
      <c r="U40" s="2">
        <f>N40/H40</f>
        <v/>
      </c>
      <c r="V40" s="2">
        <f>O40/H40</f>
        <v/>
      </c>
      <c r="W40" s="2">
        <f>P40/H40</f>
        <v/>
      </c>
      <c r="X40" s="2">
        <f>Q40/H40</f>
        <v/>
      </c>
      <c r="Y40" s="5">
        <f>IF(R40&gt;1,"1","2")</f>
        <v/>
      </c>
      <c r="Z40" s="5">
        <f>IF(S40&gt;1,"1","2")</f>
        <v/>
      </c>
      <c r="AA40" s="5">
        <f>IF(T40&gt;1,"1","2")</f>
        <v/>
      </c>
      <c r="AB40" s="5">
        <f>IF(U40&gt;1,"1","2")</f>
        <v/>
      </c>
      <c r="AC40" s="5">
        <f>IF(V40&gt;1,"1","2")</f>
        <v/>
      </c>
      <c r="AD40" s="5">
        <f>IF(W40&gt;1,"1","2")</f>
        <v/>
      </c>
      <c r="AE40" s="5">
        <f>IF(X40&gt;1,"1","2")</f>
        <v/>
      </c>
      <c r="AF40" t="n">
        <v>-5.141656</v>
      </c>
      <c r="AG40" t="n">
        <v>119.443893</v>
      </c>
    </row>
    <row r="41" ht="14.4" customHeight="1">
      <c r="A41" s="14" t="n">
        <v>38</v>
      </c>
      <c r="B41" s="15" t="inlineStr">
        <is>
          <t>Ark</t>
        </is>
      </c>
      <c r="C41" s="10" t="n">
        <v>10</v>
      </c>
      <c r="D41" s="10" t="n">
        <v>25</v>
      </c>
      <c r="E41" s="17" t="n">
        <v>365</v>
      </c>
      <c r="F41" s="22" t="n">
        <v>0.0001</v>
      </c>
      <c r="G41" s="10" t="n">
        <v>900</v>
      </c>
      <c r="H41" s="13" t="n">
        <v>0.0014</v>
      </c>
      <c r="I41" s="18" t="n">
        <v>10950</v>
      </c>
      <c r="J41" s="20" t="n">
        <v>10</v>
      </c>
      <c r="K41" s="19">
        <f>(F41*G41*E41*J41)/(D41*I41)</f>
        <v/>
      </c>
      <c r="L41" s="2">
        <f>(F41*G41*E41*5)/(D41*I41)</f>
        <v/>
      </c>
      <c r="M41" s="2">
        <f>(F41*G41*E41*10)/(D41*I41)</f>
        <v/>
      </c>
      <c r="N41" s="2">
        <f>(F41*G41*E41*15)/(D41*I41)</f>
        <v/>
      </c>
      <c r="O41" s="2">
        <f>(F41*G41*E41*20)/(D41*I41)</f>
        <v/>
      </c>
      <c r="P41" s="2">
        <f>(F41*G41*E41*25)/(D41*I41)</f>
        <v/>
      </c>
      <c r="Q41" s="2">
        <f>(F41*G41*E41*30)/(D41*I41)</f>
        <v/>
      </c>
      <c r="R41" s="2">
        <f>K41/H41</f>
        <v/>
      </c>
      <c r="S41" s="2">
        <f>L41/H41</f>
        <v/>
      </c>
      <c r="T41" s="2">
        <f>M41/H41</f>
        <v/>
      </c>
      <c r="U41" s="2">
        <f>N41/H41</f>
        <v/>
      </c>
      <c r="V41" s="2">
        <f>O41/H41</f>
        <v/>
      </c>
      <c r="W41" s="2">
        <f>P41/H41</f>
        <v/>
      </c>
      <c r="X41" s="2">
        <f>Q41/H41</f>
        <v/>
      </c>
      <c r="Y41" s="5">
        <f>IF(R41&gt;1,"1","2")</f>
        <v/>
      </c>
      <c r="Z41" s="5">
        <f>IF(S41&gt;1,"1","2")</f>
        <v/>
      </c>
      <c r="AA41" s="5">
        <f>IF(T41&gt;1,"1","2")</f>
        <v/>
      </c>
      <c r="AB41" s="5">
        <f>IF(U41&gt;1,"1","2")</f>
        <v/>
      </c>
      <c r="AC41" s="5">
        <f>IF(V41&gt;1,"1","2")</f>
        <v/>
      </c>
      <c r="AD41" s="5">
        <f>IF(W41&gt;1,"1","2")</f>
        <v/>
      </c>
      <c r="AE41" s="5">
        <f>IF(X41&gt;1,"1","2")</f>
        <v/>
      </c>
      <c r="AF41" t="n">
        <v>-5.144759</v>
      </c>
      <c r="AG41" t="n">
        <v>119.411536</v>
      </c>
    </row>
    <row r="42" ht="14.4" customHeight="1">
      <c r="A42" s="14" t="n">
        <v>39</v>
      </c>
      <c r="B42" s="15" t="inlineStr">
        <is>
          <t>Dah</t>
        </is>
      </c>
      <c r="C42" s="10" t="n">
        <v>10</v>
      </c>
      <c r="D42" s="10" t="n">
        <v>30</v>
      </c>
      <c r="E42" s="17" t="n">
        <v>365</v>
      </c>
      <c r="F42" s="22" t="n">
        <v>0.0001</v>
      </c>
      <c r="G42" s="10" t="n">
        <v>900</v>
      </c>
      <c r="H42" s="13" t="n">
        <v>0.0014</v>
      </c>
      <c r="I42" s="18" t="n">
        <v>10950</v>
      </c>
      <c r="J42" s="20" t="n">
        <v>10</v>
      </c>
      <c r="K42" s="19">
        <f>(F42*G42*E42*J42)/(D42*I42)</f>
        <v/>
      </c>
      <c r="L42" s="2">
        <f>(F42*G42*E42*5)/(D42*I42)</f>
        <v/>
      </c>
      <c r="M42" s="2">
        <f>(F42*G42*E42*10)/(D42*I42)</f>
        <v/>
      </c>
      <c r="N42" s="2">
        <f>(F42*G42*E42*15)/(D42*I42)</f>
        <v/>
      </c>
      <c r="O42" s="2">
        <f>(F42*G42*E42*20)/(D42*I42)</f>
        <v/>
      </c>
      <c r="P42" s="2">
        <f>(F42*G42*E42*25)/(D42*I42)</f>
        <v/>
      </c>
      <c r="Q42" s="2">
        <f>(F42*G42*E42*30)/(D42*I42)</f>
        <v/>
      </c>
      <c r="R42" s="2">
        <f>K42/H42</f>
        <v/>
      </c>
      <c r="S42" s="2">
        <f>L42/H42</f>
        <v/>
      </c>
      <c r="T42" s="2">
        <f>M42/H42</f>
        <v/>
      </c>
      <c r="U42" s="2">
        <f>N42/H42</f>
        <v/>
      </c>
      <c r="V42" s="2">
        <f>O42/H42</f>
        <v/>
      </c>
      <c r="W42" s="2">
        <f>P42/H42</f>
        <v/>
      </c>
      <c r="X42" s="2">
        <f>Q42/H42</f>
        <v/>
      </c>
      <c r="Y42" s="5">
        <f>IF(R42&gt;1,"1","2")</f>
        <v/>
      </c>
      <c r="Z42" s="5">
        <f>IF(S42&gt;1,"1","2")</f>
        <v/>
      </c>
      <c r="AA42" s="5">
        <f>IF(T42&gt;1,"1","2")</f>
        <v/>
      </c>
      <c r="AB42" s="5">
        <f>IF(U42&gt;1,"1","2")</f>
        <v/>
      </c>
      <c r="AC42" s="5">
        <f>IF(V42&gt;1,"1","2")</f>
        <v/>
      </c>
      <c r="AD42" s="5">
        <f>IF(W42&gt;1,"1","2")</f>
        <v/>
      </c>
      <c r="AE42" s="5">
        <f>IF(X42&gt;1,"1","2")</f>
        <v/>
      </c>
      <c r="AF42" t="n">
        <v>-5.134423</v>
      </c>
      <c r="AG42" t="n">
        <v>119.401251</v>
      </c>
    </row>
    <row r="43" ht="14.4" customHeight="1">
      <c r="A43" s="14" t="n">
        <v>40</v>
      </c>
      <c r="B43" s="15" t="inlineStr">
        <is>
          <t>Wah</t>
        </is>
      </c>
      <c r="C43" s="10" t="n">
        <v>10</v>
      </c>
      <c r="D43" s="10" t="n">
        <v>25</v>
      </c>
      <c r="E43" s="17" t="n">
        <v>365</v>
      </c>
      <c r="F43" s="22" t="n">
        <v>0.0001</v>
      </c>
      <c r="G43" s="10" t="n">
        <v>900</v>
      </c>
      <c r="H43" s="13" t="n">
        <v>0.0014</v>
      </c>
      <c r="I43" s="18" t="n">
        <v>10950</v>
      </c>
      <c r="J43" s="20" t="n">
        <v>10</v>
      </c>
      <c r="K43" s="19">
        <f>(F43*G43*E43*J43)/(D43*I43)</f>
        <v/>
      </c>
      <c r="L43" s="2">
        <f>(F43*G43*E43*5)/(D43*I43)</f>
        <v/>
      </c>
      <c r="M43" s="2">
        <f>(F43*G43*E43*10)/(D43*I43)</f>
        <v/>
      </c>
      <c r="N43" s="2">
        <f>(F43*G43*E43*15)/(D43*I43)</f>
        <v/>
      </c>
      <c r="O43" s="2">
        <f>(F43*G43*E43*20)/(D43*I43)</f>
        <v/>
      </c>
      <c r="P43" s="2">
        <f>(F43*G43*E43*25)/(D43*I43)</f>
        <v/>
      </c>
      <c r="Q43" s="2">
        <f>(F43*G43*E43*30)/(D43*I43)</f>
        <v/>
      </c>
      <c r="R43" s="2">
        <f>K43/H43</f>
        <v/>
      </c>
      <c r="S43" s="2">
        <f>L43/H43</f>
        <v/>
      </c>
      <c r="T43" s="2">
        <f>M43/H43</f>
        <v/>
      </c>
      <c r="U43" s="2">
        <f>N43/H43</f>
        <v/>
      </c>
      <c r="V43" s="2">
        <f>O43/H43</f>
        <v/>
      </c>
      <c r="W43" s="2">
        <f>P43/H43</f>
        <v/>
      </c>
      <c r="X43" s="2">
        <f>Q43/H43</f>
        <v/>
      </c>
      <c r="Y43" s="5">
        <f>IF(R43&gt;1,"1","2")</f>
        <v/>
      </c>
      <c r="Z43" s="5">
        <f>IF(S43&gt;1,"1","2")</f>
        <v/>
      </c>
      <c r="AA43" s="5">
        <f>IF(T43&gt;1,"1","2")</f>
        <v/>
      </c>
      <c r="AB43" s="5">
        <f>IF(U43&gt;1,"1","2")</f>
        <v/>
      </c>
      <c r="AC43" s="5">
        <f>IF(V43&gt;1,"1","2")</f>
        <v/>
      </c>
      <c r="AD43" s="5">
        <f>IF(W43&gt;1,"1","2")</f>
        <v/>
      </c>
      <c r="AE43" s="5">
        <f>IF(X43&gt;1,"1","2")</f>
        <v/>
      </c>
      <c r="AF43" t="n">
        <v>-5.158458</v>
      </c>
      <c r="AG43" t="n">
        <v>119.434811</v>
      </c>
    </row>
    <row r="44" ht="14.4" customHeight="1">
      <c r="A44" s="14" t="n">
        <v>41</v>
      </c>
      <c r="B44" s="15" t="inlineStr">
        <is>
          <t>Roh</t>
        </is>
      </c>
      <c r="C44" s="10" t="n">
        <v>10</v>
      </c>
      <c r="D44" s="10" t="n">
        <v>37</v>
      </c>
      <c r="E44" s="17" t="n">
        <v>365</v>
      </c>
      <c r="F44" s="22" t="n">
        <v>0.0001</v>
      </c>
      <c r="G44" s="10" t="n">
        <v>900</v>
      </c>
      <c r="H44" s="13" t="n">
        <v>0.0014</v>
      </c>
      <c r="I44" s="18" t="n">
        <v>10950</v>
      </c>
      <c r="J44" s="20" t="n">
        <v>10</v>
      </c>
      <c r="K44" s="19">
        <f>(F44*G44*E44*J44)/(D44*I44)</f>
        <v/>
      </c>
      <c r="L44" s="2">
        <f>(F44*G44*E44*5)/(D44*I44)</f>
        <v/>
      </c>
      <c r="M44" s="2">
        <f>(F44*G44*E44*10)/(D44*I44)</f>
        <v/>
      </c>
      <c r="N44" s="2">
        <f>(F44*G44*E44*15)/(D44*I44)</f>
        <v/>
      </c>
      <c r="O44" s="2">
        <f>(F44*G44*E44*20)/(D44*I44)</f>
        <v/>
      </c>
      <c r="P44" s="2">
        <f>(F44*G44*E44*25)/(D44*I44)</f>
        <v/>
      </c>
      <c r="Q44" s="2">
        <f>(F44*G44*E44*30)/(D44*I44)</f>
        <v/>
      </c>
      <c r="R44" s="2">
        <f>K44/H44</f>
        <v/>
      </c>
      <c r="S44" s="2">
        <f>L44/H44</f>
        <v/>
      </c>
      <c r="T44" s="2">
        <f>M44/H44</f>
        <v/>
      </c>
      <c r="U44" s="2">
        <f>N44/H44</f>
        <v/>
      </c>
      <c r="V44" s="2">
        <f>O44/H44</f>
        <v/>
      </c>
      <c r="W44" s="2">
        <f>P44/H44</f>
        <v/>
      </c>
      <c r="X44" s="2">
        <f>Q44/H44</f>
        <v/>
      </c>
      <c r="Y44" s="5">
        <f>IF(R44&gt;1,"1","2")</f>
        <v/>
      </c>
      <c r="Z44" s="5">
        <f>IF(S44&gt;1,"1","2")</f>
        <v/>
      </c>
      <c r="AA44" s="5">
        <f>IF(T44&gt;1,"1","2")</f>
        <v/>
      </c>
      <c r="AB44" s="5">
        <f>IF(U44&gt;1,"1","2")</f>
        <v/>
      </c>
      <c r="AC44" s="5">
        <f>IF(V44&gt;1,"1","2")</f>
        <v/>
      </c>
      <c r="AD44" s="5">
        <f>IF(W44&gt;1,"1","2")</f>
        <v/>
      </c>
      <c r="AE44" s="5">
        <f>IF(X44&gt;1,"1","2")</f>
        <v/>
      </c>
      <c r="AF44" t="n">
        <v>-5.143659</v>
      </c>
      <c r="AG44" t="n">
        <v>119.427099</v>
      </c>
    </row>
    <row r="45" ht="14.4" customHeight="1">
      <c r="A45" s="14" t="n">
        <v>42</v>
      </c>
      <c r="B45" s="15" t="inlineStr">
        <is>
          <t>Nur</t>
        </is>
      </c>
      <c r="C45" s="10" t="n">
        <v>10</v>
      </c>
      <c r="D45" s="10" t="n">
        <v>22</v>
      </c>
      <c r="E45" s="17" t="n">
        <v>365</v>
      </c>
      <c r="F45" s="22" t="n">
        <v>0.0001</v>
      </c>
      <c r="G45" s="10" t="n">
        <v>900</v>
      </c>
      <c r="H45" s="13" t="n">
        <v>0.0014</v>
      </c>
      <c r="I45" s="18" t="n">
        <v>10950</v>
      </c>
      <c r="J45" s="20" t="n">
        <v>10</v>
      </c>
      <c r="K45" s="19">
        <f>(F45*G45*E45*J45)/(D45*I45)</f>
        <v/>
      </c>
      <c r="L45" s="2">
        <f>(F45*G45*E45*5)/(D45*I45)</f>
        <v/>
      </c>
      <c r="M45" s="2">
        <f>(F45*G45*E45*10)/(D45*I45)</f>
        <v/>
      </c>
      <c r="N45" s="2">
        <f>(F45*G45*E45*15)/(D45*I45)</f>
        <v/>
      </c>
      <c r="O45" s="2">
        <f>(F45*G45*E45*20)/(D45*I45)</f>
        <v/>
      </c>
      <c r="P45" s="2">
        <f>(F45*G45*E45*25)/(D45*I45)</f>
        <v/>
      </c>
      <c r="Q45" s="2">
        <f>(F45*G45*E45*30)/(D45*I45)</f>
        <v/>
      </c>
      <c r="R45" s="2">
        <f>K45/H45</f>
        <v/>
      </c>
      <c r="S45" s="2">
        <f>L45/H45</f>
        <v/>
      </c>
      <c r="T45" s="2">
        <f>M45/H45</f>
        <v/>
      </c>
      <c r="U45" s="2">
        <f>N45/H45</f>
        <v/>
      </c>
      <c r="V45" s="2">
        <f>O45/H45</f>
        <v/>
      </c>
      <c r="W45" s="2">
        <f>P45/H45</f>
        <v/>
      </c>
      <c r="X45" s="2">
        <f>Q45/H45</f>
        <v/>
      </c>
      <c r="Y45" s="5">
        <f>IF(R45&gt;1,"1","2")</f>
        <v/>
      </c>
      <c r="Z45" s="5">
        <f>IF(S45&gt;1,"1","2")</f>
        <v/>
      </c>
      <c r="AA45" s="5">
        <f>IF(T45&gt;1,"1","2")</f>
        <v/>
      </c>
      <c r="AB45" s="5">
        <f>IF(U45&gt;1,"1","2")</f>
        <v/>
      </c>
      <c r="AC45" s="5">
        <f>IF(V45&gt;1,"1","2")</f>
        <v/>
      </c>
      <c r="AD45" s="5">
        <f>IF(W45&gt;1,"1","2")</f>
        <v/>
      </c>
      <c r="AE45" s="5">
        <f>IF(X45&gt;1,"1","2")</f>
        <v/>
      </c>
      <c r="AF45" t="n">
        <v>-5.149125</v>
      </c>
      <c r="AG45" t="n">
        <v>119.424401</v>
      </c>
    </row>
    <row r="46" ht="14.4" customHeight="1">
      <c r="A46" s="14" t="n">
        <v>43</v>
      </c>
      <c r="B46" s="15" t="inlineStr">
        <is>
          <t>Ars</t>
        </is>
      </c>
      <c r="C46" s="10" t="n">
        <v>10</v>
      </c>
      <c r="D46" s="10" t="n">
        <v>20</v>
      </c>
      <c r="E46" s="17" t="n">
        <v>365</v>
      </c>
      <c r="F46" s="22" t="n">
        <v>0.0001</v>
      </c>
      <c r="G46" s="10" t="n">
        <v>900</v>
      </c>
      <c r="H46" s="13" t="n">
        <v>0.0014</v>
      </c>
      <c r="I46" s="18" t="n">
        <v>10950</v>
      </c>
      <c r="J46" s="20" t="n">
        <v>6</v>
      </c>
      <c r="K46" s="19">
        <f>(F46*G46*E46*J46)/(D46*I46)</f>
        <v/>
      </c>
      <c r="L46" s="2">
        <f>(F46*G46*E46*5)/(D46*I46)</f>
        <v/>
      </c>
      <c r="M46" s="2">
        <f>(F46*G46*E46*10)/(D46*I46)</f>
        <v/>
      </c>
      <c r="N46" s="2">
        <f>(F46*G46*E46*15)/(D46*I46)</f>
        <v/>
      </c>
      <c r="O46" s="2">
        <f>(F46*G46*E46*20)/(D46*I46)</f>
        <v/>
      </c>
      <c r="P46" s="2">
        <f>(F46*G46*E46*25)/(D46*I46)</f>
        <v/>
      </c>
      <c r="Q46" s="2">
        <f>(F46*G46*E46*30)/(D46*I46)</f>
        <v/>
      </c>
      <c r="R46" s="2">
        <f>K46/H46</f>
        <v/>
      </c>
      <c r="S46" s="2">
        <f>L46/H46</f>
        <v/>
      </c>
      <c r="T46" s="2">
        <f>M46/H46</f>
        <v/>
      </c>
      <c r="U46" s="2">
        <f>N46/H46</f>
        <v/>
      </c>
      <c r="V46" s="2">
        <f>O46/H46</f>
        <v/>
      </c>
      <c r="W46" s="2">
        <f>P46/H46</f>
        <v/>
      </c>
      <c r="X46" s="2">
        <f>Q46/H46</f>
        <v/>
      </c>
      <c r="Y46" s="5">
        <f>IF(R46&gt;1,"1","2")</f>
        <v/>
      </c>
      <c r="Z46" s="5">
        <f>IF(S46&gt;1,"1","2")</f>
        <v/>
      </c>
      <c r="AA46" s="5">
        <f>IF(T46&gt;1,"1","2")</f>
        <v/>
      </c>
      <c r="AB46" s="5">
        <f>IF(U46&gt;1,"1","2")</f>
        <v/>
      </c>
      <c r="AC46" s="5">
        <f>IF(V46&gt;1,"1","2")</f>
        <v/>
      </c>
      <c r="AD46" s="5">
        <f>IF(W46&gt;1,"1","2")</f>
        <v/>
      </c>
      <c r="AE46" s="5">
        <f>IF(X46&gt;1,"1","2")</f>
        <v/>
      </c>
      <c r="AF46" t="n">
        <v>-5.124469</v>
      </c>
      <c r="AG46" t="n">
        <v>119.42</v>
      </c>
    </row>
    <row r="47" ht="14.4" customHeight="1">
      <c r="A47" s="14" t="n">
        <v>44</v>
      </c>
      <c r="B47" s="15" t="inlineStr">
        <is>
          <t>Ani</t>
        </is>
      </c>
      <c r="C47" s="10" t="n">
        <v>10</v>
      </c>
      <c r="D47" s="10" t="n">
        <v>25</v>
      </c>
      <c r="E47" s="17" t="n">
        <v>365</v>
      </c>
      <c r="F47" s="22" t="n">
        <v>0.0001</v>
      </c>
      <c r="G47" s="10" t="n">
        <v>1500</v>
      </c>
      <c r="H47" s="13" t="n">
        <v>0.0014</v>
      </c>
      <c r="I47" s="18" t="n">
        <v>10950</v>
      </c>
      <c r="J47" s="20" t="n">
        <v>6</v>
      </c>
      <c r="K47" s="19">
        <f>(F47*G47*E47*J47)/(D47*I47)</f>
        <v/>
      </c>
      <c r="L47" s="2">
        <f>(F47*G47*E47*5)/(D47*I47)</f>
        <v/>
      </c>
      <c r="M47" s="2">
        <f>(F47*G47*E47*10)/(D47*I47)</f>
        <v/>
      </c>
      <c r="N47" s="2">
        <f>(F47*G47*E47*15)/(D47*I47)</f>
        <v/>
      </c>
      <c r="O47" s="2">
        <f>(F47*G47*E47*20)/(D47*I47)</f>
        <v/>
      </c>
      <c r="P47" s="2">
        <f>(F47*G47*E47*25)/(D47*I47)</f>
        <v/>
      </c>
      <c r="Q47" s="2">
        <f>(F47*G47*E47*30)/(D47*I47)</f>
        <v/>
      </c>
      <c r="R47" s="2">
        <f>K47/H47</f>
        <v/>
      </c>
      <c r="S47" s="2">
        <f>L47/H47</f>
        <v/>
      </c>
      <c r="T47" s="2">
        <f>M47/H47</f>
        <v/>
      </c>
      <c r="U47" s="2">
        <f>N47/H47</f>
        <v/>
      </c>
      <c r="V47" s="2">
        <f>O47/H47</f>
        <v/>
      </c>
      <c r="W47" s="2">
        <f>P47/H47</f>
        <v/>
      </c>
      <c r="X47" s="2">
        <f>Q47/H47</f>
        <v/>
      </c>
      <c r="Y47" s="5">
        <f>IF(R47&gt;1,"1","2")</f>
        <v/>
      </c>
      <c r="Z47" s="5">
        <f>IF(S47&gt;1,"1","2")</f>
        <v/>
      </c>
      <c r="AA47" s="5">
        <f>IF(T47&gt;1,"1","2")</f>
        <v/>
      </c>
      <c r="AB47" s="5">
        <f>IF(U47&gt;1,"1","2")</f>
        <v/>
      </c>
      <c r="AC47" s="5">
        <f>IF(V47&gt;1,"1","2")</f>
        <v/>
      </c>
      <c r="AD47" s="5">
        <f>IF(W47&gt;1,"1","2")</f>
        <v/>
      </c>
      <c r="AE47" s="5">
        <f>IF(X47&gt;1,"1","2")</f>
        <v/>
      </c>
      <c r="AF47" t="n">
        <v>-5.145926</v>
      </c>
      <c r="AG47" t="n">
        <v>119.421509</v>
      </c>
    </row>
    <row r="48" ht="14.4" customHeight="1">
      <c r="A48" s="14" t="n">
        <v>45</v>
      </c>
      <c r="B48" s="15" t="inlineStr">
        <is>
          <t>Aff</t>
        </is>
      </c>
      <c r="C48" s="10" t="n">
        <v>10</v>
      </c>
      <c r="D48" s="10" t="n">
        <v>49</v>
      </c>
      <c r="E48" s="17" t="n">
        <v>365</v>
      </c>
      <c r="F48" s="22" t="n">
        <v>0.0001</v>
      </c>
      <c r="G48" s="10" t="n">
        <v>2100</v>
      </c>
      <c r="H48" s="13" t="n">
        <v>0.0014</v>
      </c>
      <c r="I48" s="18" t="n">
        <v>10950</v>
      </c>
      <c r="J48" s="20" t="n">
        <v>2</v>
      </c>
      <c r="K48" s="19">
        <f>(F48*G48*E48*J48)/(D48*I48)</f>
        <v/>
      </c>
      <c r="L48" s="2">
        <f>(F48*G48*E48*5)/(D48*I48)</f>
        <v/>
      </c>
      <c r="M48" s="2">
        <f>(F48*G48*E48*10)/(D48*I48)</f>
        <v/>
      </c>
      <c r="N48" s="2">
        <f>(F48*G48*E48*15)/(D48*I48)</f>
        <v/>
      </c>
      <c r="O48" s="2">
        <f>(F48*G48*E48*20)/(D48*I48)</f>
        <v/>
      </c>
      <c r="P48" s="2">
        <f>(F48*G48*E48*25)/(D48*I48)</f>
        <v/>
      </c>
      <c r="Q48" s="2">
        <f>(F48*G48*E48*30)/(D48*I48)</f>
        <v/>
      </c>
      <c r="R48" s="2">
        <f>K48/H48</f>
        <v/>
      </c>
      <c r="S48" s="2">
        <f>L48/H48</f>
        <v/>
      </c>
      <c r="T48" s="2">
        <f>M48/H48</f>
        <v/>
      </c>
      <c r="U48" s="2">
        <f>N48/H48</f>
        <v/>
      </c>
      <c r="V48" s="2">
        <f>O48/H48</f>
        <v/>
      </c>
      <c r="W48" s="2">
        <f>P48/H48</f>
        <v/>
      </c>
      <c r="X48" s="2">
        <f>Q48/H48</f>
        <v/>
      </c>
      <c r="Y48" s="5">
        <f>IF(R48&gt;1,"1","2")</f>
        <v/>
      </c>
      <c r="Z48" s="5">
        <f>IF(S48&gt;1,"1","2")</f>
        <v/>
      </c>
      <c r="AA48" s="5">
        <f>IF(T48&gt;1,"1","2")</f>
        <v/>
      </c>
      <c r="AB48" s="5">
        <f>IF(U48&gt;1,"1","2")</f>
        <v/>
      </c>
      <c r="AC48" s="5">
        <f>IF(V48&gt;1,"1","2")</f>
        <v/>
      </c>
      <c r="AD48" s="5">
        <f>IF(W48&gt;1,"1","2")</f>
        <v/>
      </c>
      <c r="AE48" s="5">
        <f>IF(X48&gt;1,"1","2")</f>
        <v/>
      </c>
      <c r="AF48" t="n">
        <v>-5.138074</v>
      </c>
      <c r="AG48" t="n">
        <v>119.406595</v>
      </c>
    </row>
    <row r="49" ht="14.4" customHeight="1">
      <c r="A49" s="14" t="n">
        <v>46</v>
      </c>
      <c r="B49" s="15" t="inlineStr">
        <is>
          <t>IWg</t>
        </is>
      </c>
      <c r="C49" s="10" t="n">
        <v>10</v>
      </c>
      <c r="D49" s="10" t="n">
        <v>25</v>
      </c>
      <c r="E49" s="17" t="n">
        <v>365</v>
      </c>
      <c r="F49" s="22" t="n">
        <v>0.0001</v>
      </c>
      <c r="G49" s="10" t="n">
        <v>900</v>
      </c>
      <c r="H49" s="13" t="n">
        <v>0.0014</v>
      </c>
      <c r="I49" s="18" t="n">
        <v>10950</v>
      </c>
      <c r="J49" s="20" t="n">
        <v>10</v>
      </c>
      <c r="K49" s="19">
        <f>(F49*G49*E49*J49)/(D49*I49)</f>
        <v/>
      </c>
      <c r="L49" s="2">
        <f>(F49*G49*E49*5)/(D49*I49)</f>
        <v/>
      </c>
      <c r="M49" s="2">
        <f>(F49*G49*E49*10)/(D49*I49)</f>
        <v/>
      </c>
      <c r="N49" s="2">
        <f>(F49*G49*E49*15)/(D49*I49)</f>
        <v/>
      </c>
      <c r="O49" s="2">
        <f>(F49*G49*E49*20)/(D49*I49)</f>
        <v/>
      </c>
      <c r="P49" s="2">
        <f>(F49*G49*E49*25)/(D49*I49)</f>
        <v/>
      </c>
      <c r="Q49" s="2">
        <f>(F49*G49*E49*30)/(D49*I49)</f>
        <v/>
      </c>
      <c r="R49" s="2">
        <f>K49/H49</f>
        <v/>
      </c>
      <c r="S49" s="2">
        <f>L49/H49</f>
        <v/>
      </c>
      <c r="T49" s="2">
        <f>M49/H49</f>
        <v/>
      </c>
      <c r="U49" s="2">
        <f>N49/H49</f>
        <v/>
      </c>
      <c r="V49" s="2">
        <f>O49/H49</f>
        <v/>
      </c>
      <c r="W49" s="2">
        <f>P49/H49</f>
        <v/>
      </c>
      <c r="X49" s="2">
        <f>Q49/H49</f>
        <v/>
      </c>
      <c r="Y49" s="5">
        <f>IF(R49&gt;1,"1","2")</f>
        <v/>
      </c>
      <c r="Z49" s="5">
        <f>IF(S49&gt;1,"1","2")</f>
        <v/>
      </c>
      <c r="AA49" s="5">
        <f>IF(T49&gt;1,"1","2")</f>
        <v/>
      </c>
      <c r="AB49" s="5">
        <f>IF(U49&gt;1,"1","2")</f>
        <v/>
      </c>
      <c r="AC49" s="5">
        <f>IF(V49&gt;1,"1","2")</f>
        <v/>
      </c>
      <c r="AD49" s="5">
        <f>IF(W49&gt;1,"1","2")</f>
        <v/>
      </c>
      <c r="AE49" s="5">
        <f>IF(X49&gt;1,"1","2")</f>
        <v/>
      </c>
      <c r="AF49" t="n">
        <v>-5.157325</v>
      </c>
      <c r="AG49" t="n">
        <v>119.420662</v>
      </c>
    </row>
    <row r="50" ht="14.4" customHeight="1">
      <c r="A50" s="14" t="n">
        <v>47</v>
      </c>
      <c r="B50" s="15" t="inlineStr">
        <is>
          <t>Nkf</t>
        </is>
      </c>
      <c r="C50" s="10" t="n">
        <v>10</v>
      </c>
      <c r="D50" s="10" t="n">
        <v>27</v>
      </c>
      <c r="E50" s="17" t="n">
        <v>365</v>
      </c>
      <c r="F50" s="22" t="n">
        <v>0.0001</v>
      </c>
      <c r="G50" s="10" t="n">
        <v>900</v>
      </c>
      <c r="H50" s="13" t="n">
        <v>0.0014</v>
      </c>
      <c r="I50" s="18" t="n">
        <v>10950</v>
      </c>
      <c r="J50" s="20" t="n">
        <v>10</v>
      </c>
      <c r="K50" s="19">
        <f>(F50*G50*E50*J50)/(D50*I50)</f>
        <v/>
      </c>
      <c r="L50" s="2">
        <f>(F50*G50*E50*5)/(D50*I50)</f>
        <v/>
      </c>
      <c r="M50" s="2">
        <f>(F50*G50*E50*10)/(D50*I50)</f>
        <v/>
      </c>
      <c r="N50" s="2">
        <f>(F50*G50*E50*15)/(D50*I50)</f>
        <v/>
      </c>
      <c r="O50" s="2">
        <f>(F50*G50*E50*20)/(D50*I50)</f>
        <v/>
      </c>
      <c r="P50" s="2">
        <f>(F50*G50*E50*25)/(D50*I50)</f>
        <v/>
      </c>
      <c r="Q50" s="2">
        <f>(F50*G50*E50*30)/(D50*I50)</f>
        <v/>
      </c>
      <c r="R50" s="2">
        <f>K50/H50</f>
        <v/>
      </c>
      <c r="S50" s="2">
        <f>L50/H50</f>
        <v/>
      </c>
      <c r="T50" s="2">
        <f>M50/H50</f>
        <v/>
      </c>
      <c r="U50" s="2">
        <f>N50/H50</f>
        <v/>
      </c>
      <c r="V50" s="2">
        <f>O50/H50</f>
        <v/>
      </c>
      <c r="W50" s="2">
        <f>P50/H50</f>
        <v/>
      </c>
      <c r="X50" s="2">
        <f>Q50/H50</f>
        <v/>
      </c>
      <c r="Y50" s="5">
        <f>IF(R50&gt;1,"1","2")</f>
        <v/>
      </c>
      <c r="Z50" s="5">
        <f>IF(S50&gt;1,"1","2")</f>
        <v/>
      </c>
      <c r="AA50" s="5">
        <f>IF(T50&gt;1,"1","2")</f>
        <v/>
      </c>
      <c r="AB50" s="5">
        <f>IF(U50&gt;1,"1","2")</f>
        <v/>
      </c>
      <c r="AC50" s="5">
        <f>IF(V50&gt;1,"1","2")</f>
        <v/>
      </c>
      <c r="AD50" s="5">
        <f>IF(W50&gt;1,"1","2")</f>
        <v/>
      </c>
      <c r="AE50" s="5">
        <f>IF(X50&gt;1,"1","2")</f>
        <v/>
      </c>
      <c r="AF50" t="n">
        <v>-5.140099</v>
      </c>
      <c r="AG50" t="n">
        <v>119.413309</v>
      </c>
    </row>
    <row r="51" ht="14.4" customHeight="1">
      <c r="A51" s="14" t="n">
        <v>48</v>
      </c>
      <c r="B51" s="15" t="inlineStr">
        <is>
          <t>Kad</t>
        </is>
      </c>
      <c r="C51" s="10" t="n">
        <v>10</v>
      </c>
      <c r="D51" s="10" t="n">
        <v>33</v>
      </c>
      <c r="E51" s="17" t="n">
        <v>365</v>
      </c>
      <c r="F51" s="22" t="n">
        <v>0.0001</v>
      </c>
      <c r="G51" s="10" t="n">
        <v>900</v>
      </c>
      <c r="H51" s="13" t="n">
        <v>0.0014</v>
      </c>
      <c r="I51" s="18" t="n">
        <v>10950</v>
      </c>
      <c r="J51" s="20" t="n">
        <v>6</v>
      </c>
      <c r="K51" s="19">
        <f>(F51*G51*E51*J51)/(D51*I51)</f>
        <v/>
      </c>
      <c r="L51" s="2">
        <f>(F51*G51*E51*5)/(D51*I51)</f>
        <v/>
      </c>
      <c r="M51" s="2">
        <f>(F51*G51*E51*10)/(D51*I51)</f>
        <v/>
      </c>
      <c r="N51" s="2">
        <f>(F51*G51*E51*15)/(D51*I51)</f>
        <v/>
      </c>
      <c r="O51" s="2">
        <f>(F51*G51*E51*20)/(D51*I51)</f>
        <v/>
      </c>
      <c r="P51" s="2">
        <f>(F51*G51*E51*25)/(D51*I51)</f>
        <v/>
      </c>
      <c r="Q51" s="2">
        <f>(F51*G51*E51*30)/(D51*I51)</f>
        <v/>
      </c>
      <c r="R51" s="2">
        <f>K51/H51</f>
        <v/>
      </c>
      <c r="S51" s="2">
        <f>L51/H51</f>
        <v/>
      </c>
      <c r="T51" s="2">
        <f>M51/H51</f>
        <v/>
      </c>
      <c r="U51" s="2">
        <f>N51/H51</f>
        <v/>
      </c>
      <c r="V51" s="2">
        <f>O51/H51</f>
        <v/>
      </c>
      <c r="W51" s="2">
        <f>P51/H51</f>
        <v/>
      </c>
      <c r="X51" s="2">
        <f>Q51/H51</f>
        <v/>
      </c>
      <c r="Y51" s="5">
        <f>IF(R51&gt;1,"1","2")</f>
        <v/>
      </c>
      <c r="Z51" s="5">
        <f>IF(S51&gt;1,"1","2")</f>
        <v/>
      </c>
      <c r="AA51" s="5">
        <f>IF(T51&gt;1,"1","2")</f>
        <v/>
      </c>
      <c r="AB51" s="5">
        <f>IF(U51&gt;1,"1","2")</f>
        <v/>
      </c>
      <c r="AC51" s="5">
        <f>IF(V51&gt;1,"1","2")</f>
        <v/>
      </c>
      <c r="AD51" s="5">
        <f>IF(W51&gt;1,"1","2")</f>
        <v/>
      </c>
      <c r="AE51" s="5">
        <f>IF(X51&gt;1,"1","2")</f>
        <v/>
      </c>
      <c r="AF51" t="n">
        <v>-5.150259</v>
      </c>
      <c r="AG51" t="n">
        <v>119.42511</v>
      </c>
    </row>
    <row r="52" ht="14.4" customHeight="1">
      <c r="A52" s="14" t="n">
        <v>49</v>
      </c>
      <c r="B52" s="15" t="inlineStr">
        <is>
          <t>Kel</t>
        </is>
      </c>
      <c r="C52" s="10" t="n">
        <v>10</v>
      </c>
      <c r="D52" s="10" t="n">
        <v>29</v>
      </c>
      <c r="E52" s="17" t="n">
        <v>365</v>
      </c>
      <c r="F52" s="22" t="n">
        <v>0.0001</v>
      </c>
      <c r="G52" s="10" t="n">
        <v>1500</v>
      </c>
      <c r="H52" s="13" t="n">
        <v>0.0014</v>
      </c>
      <c r="I52" s="18" t="n">
        <v>10950</v>
      </c>
      <c r="J52" s="20" t="n">
        <v>8</v>
      </c>
      <c r="K52" s="19">
        <f>(F52*G52*E52*J52)/(D52*I52)</f>
        <v/>
      </c>
      <c r="L52" s="2">
        <f>(F52*G52*E52*5)/(D52*I52)</f>
        <v/>
      </c>
      <c r="M52" s="2">
        <f>(F52*G52*E52*10)/(D52*I52)</f>
        <v/>
      </c>
      <c r="N52" s="2">
        <f>(F52*G52*E52*15)/(D52*I52)</f>
        <v/>
      </c>
      <c r="O52" s="2">
        <f>(F52*G52*E52*20)/(D52*I52)</f>
        <v/>
      </c>
      <c r="P52" s="2">
        <f>(F52*G52*E52*25)/(D52*I52)</f>
        <v/>
      </c>
      <c r="Q52" s="2">
        <f>(F52*G52*E52*30)/(D52*I52)</f>
        <v/>
      </c>
      <c r="R52" s="2">
        <f>K52/H52</f>
        <v/>
      </c>
      <c r="S52" s="2">
        <f>L52/H52</f>
        <v/>
      </c>
      <c r="T52" s="2">
        <f>M52/H52</f>
        <v/>
      </c>
      <c r="U52" s="2">
        <f>N52/H52</f>
        <v/>
      </c>
      <c r="V52" s="2">
        <f>O52/H52</f>
        <v/>
      </c>
      <c r="W52" s="2">
        <f>P52/H52</f>
        <v/>
      </c>
      <c r="X52" s="2">
        <f>Q52/H52</f>
        <v/>
      </c>
      <c r="Y52" s="5">
        <f>IF(R52&gt;1,"1","2")</f>
        <v/>
      </c>
      <c r="Z52" s="5">
        <f>IF(S52&gt;1,"1","2")</f>
        <v/>
      </c>
      <c r="AA52" s="5">
        <f>IF(T52&gt;1,"1","2")</f>
        <v/>
      </c>
      <c r="AB52" s="5">
        <f>IF(U52&gt;1,"1","2")</f>
        <v/>
      </c>
      <c r="AC52" s="5">
        <f>IF(V52&gt;1,"1","2")</f>
        <v/>
      </c>
      <c r="AD52" s="5">
        <f>IF(W52&gt;1,"1","2")</f>
        <v/>
      </c>
      <c r="AE52" s="5">
        <f>IF(X52&gt;1,"1","2")</f>
        <v/>
      </c>
      <c r="AF52" t="n">
        <v>-5.120866</v>
      </c>
      <c r="AG52" t="n">
        <v>119.402726</v>
      </c>
    </row>
    <row r="53" ht="14.4" customHeight="1">
      <c r="A53" s="14" t="n">
        <v>50</v>
      </c>
      <c r="B53" s="15" t="inlineStr">
        <is>
          <t>Waa</t>
        </is>
      </c>
      <c r="C53" s="10" t="n">
        <v>10</v>
      </c>
      <c r="D53" s="10" t="n">
        <v>39</v>
      </c>
      <c r="E53" s="17" t="n">
        <v>365</v>
      </c>
      <c r="F53" s="22" t="n">
        <v>0.0001</v>
      </c>
      <c r="G53" s="10" t="n">
        <v>900</v>
      </c>
      <c r="H53" s="13" t="n">
        <v>0.0014</v>
      </c>
      <c r="I53" s="18" t="n">
        <v>10950</v>
      </c>
      <c r="J53" s="20" t="n">
        <v>8</v>
      </c>
      <c r="K53" s="19">
        <f>(F53*G53*E53*J53)/(D53*I53)</f>
        <v/>
      </c>
      <c r="L53" s="2">
        <f>(F53*G53*E53*5)/(D53*I53)</f>
        <v/>
      </c>
      <c r="M53" s="2">
        <f>(F53*G53*E53*10)/(D53*I53)</f>
        <v/>
      </c>
      <c r="N53" s="2">
        <f>(F53*G53*E53*15)/(D53*I53)</f>
        <v/>
      </c>
      <c r="O53" s="2">
        <f>(F53*G53*E53*20)/(D53*I53)</f>
        <v/>
      </c>
      <c r="P53" s="2">
        <f>(F53*G53*E53*25)/(D53*I53)</f>
        <v/>
      </c>
      <c r="Q53" s="2">
        <f>(F53*G53*E53*30)/(D53*I53)</f>
        <v/>
      </c>
      <c r="R53" s="2">
        <f>K53/H53</f>
        <v/>
      </c>
      <c r="S53" s="2">
        <f>L53/H53</f>
        <v/>
      </c>
      <c r="T53" s="2">
        <f>M53/H53</f>
        <v/>
      </c>
      <c r="U53" s="2">
        <f>N53/H53</f>
        <v/>
      </c>
      <c r="V53" s="2">
        <f>O53/H53</f>
        <v/>
      </c>
      <c r="W53" s="2">
        <f>P53/H53</f>
        <v/>
      </c>
      <c r="X53" s="2">
        <f>Q53/H53</f>
        <v/>
      </c>
      <c r="Y53" s="5">
        <f>IF(R53&gt;1,"1","2")</f>
        <v/>
      </c>
      <c r="Z53" s="5">
        <f>IF(S53&gt;1,"1","2")</f>
        <v/>
      </c>
      <c r="AA53" s="5">
        <f>IF(T53&gt;1,"1","2")</f>
        <v/>
      </c>
      <c r="AB53" s="5">
        <f>IF(U53&gt;1,"1","2")</f>
        <v/>
      </c>
      <c r="AC53" s="5">
        <f>IF(V53&gt;1,"1","2")</f>
        <v/>
      </c>
      <c r="AD53" s="5">
        <f>IF(W53&gt;1,"1","2")</f>
        <v/>
      </c>
      <c r="AE53" s="5">
        <f>IF(X53&gt;1,"1","2")</f>
        <v/>
      </c>
      <c r="AF53" t="n">
        <v>-5.135314</v>
      </c>
      <c r="AG53" t="n">
        <v>119.444507</v>
      </c>
    </row>
    <row r="54" ht="14.4" customHeight="1">
      <c r="A54" s="14" t="n">
        <v>51</v>
      </c>
      <c r="B54" s="15" t="inlineStr">
        <is>
          <t>Mai</t>
        </is>
      </c>
      <c r="C54" s="10" t="n">
        <v>10</v>
      </c>
      <c r="D54" s="10" t="n">
        <v>25</v>
      </c>
      <c r="E54" s="17" t="n">
        <v>365</v>
      </c>
      <c r="F54" s="22" t="n">
        <v>0.0001</v>
      </c>
      <c r="G54" s="10" t="n">
        <v>900</v>
      </c>
      <c r="H54" s="13" t="n">
        <v>0.0014</v>
      </c>
      <c r="I54" s="18" t="n">
        <v>10950</v>
      </c>
      <c r="J54" s="20" t="n">
        <v>10</v>
      </c>
      <c r="K54" s="19">
        <f>(F54*G54*E54*J54)/(D54*I54)</f>
        <v/>
      </c>
      <c r="L54" s="2">
        <f>(F54*G54*E54*5)/(D54*I54)</f>
        <v/>
      </c>
      <c r="M54" s="2">
        <f>(F54*G54*E54*10)/(D54*I54)</f>
        <v/>
      </c>
      <c r="N54" s="2">
        <f>(F54*G54*E54*15)/(D54*I54)</f>
        <v/>
      </c>
      <c r="O54" s="2">
        <f>(F54*G54*E54*20)/(D54*I54)</f>
        <v/>
      </c>
      <c r="P54" s="2">
        <f>(F54*G54*E54*25)/(D54*I54)</f>
        <v/>
      </c>
      <c r="Q54" s="2">
        <f>(F54*G54*E54*30)/(D54*I54)</f>
        <v/>
      </c>
      <c r="R54" s="2">
        <f>K54/H54</f>
        <v/>
      </c>
      <c r="S54" s="2">
        <f>L54/H54</f>
        <v/>
      </c>
      <c r="T54" s="2">
        <f>M54/H54</f>
        <v/>
      </c>
      <c r="U54" s="2">
        <f>N54/H54</f>
        <v/>
      </c>
      <c r="V54" s="2">
        <f>O54/H54</f>
        <v/>
      </c>
      <c r="W54" s="2">
        <f>P54/H54</f>
        <v/>
      </c>
      <c r="X54" s="2">
        <f>Q54/H54</f>
        <v/>
      </c>
      <c r="Y54" s="5">
        <f>IF(R54&gt;1,"1","2")</f>
        <v/>
      </c>
      <c r="Z54" s="5">
        <f>IF(S54&gt;1,"1","2")</f>
        <v/>
      </c>
      <c r="AA54" s="5">
        <f>IF(T54&gt;1,"1","2")</f>
        <v/>
      </c>
      <c r="AB54" s="5">
        <f>IF(U54&gt;1,"1","2")</f>
        <v/>
      </c>
      <c r="AC54" s="5">
        <f>IF(V54&gt;1,"1","2")</f>
        <v/>
      </c>
      <c r="AD54" s="5">
        <f>IF(W54&gt;1,"1","2")</f>
        <v/>
      </c>
      <c r="AE54" s="5">
        <f>IF(X54&gt;1,"1","2")</f>
        <v/>
      </c>
      <c r="AF54" t="n">
        <v>-5.123454</v>
      </c>
      <c r="AG54" t="n">
        <v>119.406874</v>
      </c>
    </row>
    <row r="55" ht="14.4" customHeight="1">
      <c r="A55" s="14" t="n">
        <v>52</v>
      </c>
      <c r="B55" s="15" t="inlineStr">
        <is>
          <t>Mkl</t>
        </is>
      </c>
      <c r="C55" s="10" t="n">
        <v>10</v>
      </c>
      <c r="D55" s="10" t="n">
        <v>25</v>
      </c>
      <c r="E55" s="17" t="n">
        <v>365</v>
      </c>
      <c r="F55" s="22" t="n">
        <v>0.0001</v>
      </c>
      <c r="G55" s="10" t="n">
        <v>900</v>
      </c>
      <c r="H55" s="13" t="n">
        <v>0.0014</v>
      </c>
      <c r="I55" s="18" t="n">
        <v>10950</v>
      </c>
      <c r="J55" s="20" t="n">
        <v>10</v>
      </c>
      <c r="K55" s="19">
        <f>(F55*G55*E55*J55)/(D55*I55)</f>
        <v/>
      </c>
      <c r="L55" s="2">
        <f>(F55*G55*E55*5)/(D55*I55)</f>
        <v/>
      </c>
      <c r="M55" s="2">
        <f>(F55*G55*E55*10)/(D55*I55)</f>
        <v/>
      </c>
      <c r="N55" s="2">
        <f>(F55*G55*E55*15)/(D55*I55)</f>
        <v/>
      </c>
      <c r="O55" s="2">
        <f>(F55*G55*E55*20)/(D55*I55)</f>
        <v/>
      </c>
      <c r="P55" s="2">
        <f>(F55*G55*E55*25)/(D55*I55)</f>
        <v/>
      </c>
      <c r="Q55" s="2">
        <f>(F55*G55*E55*30)/(D55*I55)</f>
        <v/>
      </c>
      <c r="R55" s="2">
        <f>K55/H55</f>
        <v/>
      </c>
      <c r="S55" s="2">
        <f>L55/H55</f>
        <v/>
      </c>
      <c r="T55" s="2">
        <f>M55/H55</f>
        <v/>
      </c>
      <c r="U55" s="2">
        <f>N55/H55</f>
        <v/>
      </c>
      <c r="V55" s="2">
        <f>O55/H55</f>
        <v/>
      </c>
      <c r="W55" s="2">
        <f>P55/H55</f>
        <v/>
      </c>
      <c r="X55" s="2">
        <f>Q55/H55</f>
        <v/>
      </c>
      <c r="Y55" s="5">
        <f>IF(R55&gt;1,"1","2")</f>
        <v/>
      </c>
      <c r="Z55" s="5">
        <f>IF(S55&gt;1,"1","2")</f>
        <v/>
      </c>
      <c r="AA55" s="5">
        <f>IF(T55&gt;1,"1","2")</f>
        <v/>
      </c>
      <c r="AB55" s="5">
        <f>IF(U55&gt;1,"1","2")</f>
        <v/>
      </c>
      <c r="AC55" s="5">
        <f>IF(V55&gt;1,"1","2")</f>
        <v/>
      </c>
      <c r="AD55" s="5">
        <f>IF(W55&gt;1,"1","2")</f>
        <v/>
      </c>
      <c r="AE55" s="5">
        <f>IF(X55&gt;1,"1","2")</f>
        <v/>
      </c>
      <c r="AF55" t="n">
        <v>-5.156386</v>
      </c>
      <c r="AG55" t="n">
        <v>119.447532</v>
      </c>
    </row>
    <row r="56" ht="14.4" customHeight="1">
      <c r="A56" s="14" t="n">
        <v>53</v>
      </c>
      <c r="B56" s="15" t="inlineStr">
        <is>
          <t>Ewi</t>
        </is>
      </c>
      <c r="C56" s="10" t="n">
        <v>10</v>
      </c>
      <c r="D56" s="10" t="n">
        <v>33</v>
      </c>
      <c r="E56" s="17" t="n">
        <v>365</v>
      </c>
      <c r="F56" s="22" t="n">
        <v>0.0001</v>
      </c>
      <c r="G56" s="10" t="n">
        <v>900</v>
      </c>
      <c r="H56" s="13" t="n">
        <v>0.0014</v>
      </c>
      <c r="I56" s="18" t="n">
        <v>10950</v>
      </c>
      <c r="J56" s="20" t="n">
        <v>10</v>
      </c>
      <c r="K56" s="19">
        <f>(F56*G56*E56*J56)/(D56*I56)</f>
        <v/>
      </c>
      <c r="L56" s="2">
        <f>(F56*G56*E56*5)/(D56*I56)</f>
        <v/>
      </c>
      <c r="M56" s="2">
        <f>(F56*G56*E56*10)/(D56*I56)</f>
        <v/>
      </c>
      <c r="N56" s="2">
        <f>(F56*G56*E56*15)/(D56*I56)</f>
        <v/>
      </c>
      <c r="O56" s="2">
        <f>(F56*G56*E56*20)/(D56*I56)</f>
        <v/>
      </c>
      <c r="P56" s="2">
        <f>(F56*G56*E56*25)/(D56*I56)</f>
        <v/>
      </c>
      <c r="Q56" s="2">
        <f>(F56*G56*E56*30)/(D56*I56)</f>
        <v/>
      </c>
      <c r="R56" s="2">
        <f>K56/H56</f>
        <v/>
      </c>
      <c r="S56" s="2">
        <f>L56/H56</f>
        <v/>
      </c>
      <c r="T56" s="2">
        <f>M56/H56</f>
        <v/>
      </c>
      <c r="U56" s="2">
        <f>N56/H56</f>
        <v/>
      </c>
      <c r="V56" s="2">
        <f>O56/H56</f>
        <v/>
      </c>
      <c r="W56" s="2">
        <f>P56/H56</f>
        <v/>
      </c>
      <c r="X56" s="2">
        <f>Q56/H56</f>
        <v/>
      </c>
      <c r="Y56" s="5">
        <f>IF(R56&gt;1,"1","2")</f>
        <v/>
      </c>
      <c r="Z56" s="5">
        <f>IF(S56&gt;1,"1","2")</f>
        <v/>
      </c>
      <c r="AA56" s="5">
        <f>IF(T56&gt;1,"1","2")</f>
        <v/>
      </c>
      <c r="AB56" s="5">
        <f>IF(U56&gt;1,"1","2")</f>
        <v/>
      </c>
      <c r="AC56" s="5">
        <f>IF(V56&gt;1,"1","2")</f>
        <v/>
      </c>
      <c r="AD56" s="5">
        <f>IF(W56&gt;1,"1","2")</f>
        <v/>
      </c>
      <c r="AE56" s="5">
        <f>IF(X56&gt;1,"1","2")</f>
        <v/>
      </c>
      <c r="AF56" t="n">
        <v>-5.121363</v>
      </c>
      <c r="AG56" t="n">
        <v>119.427988</v>
      </c>
    </row>
    <row r="57" ht="14.4" customHeight="1">
      <c r="A57" s="14" t="n">
        <v>54</v>
      </c>
      <c r="B57" s="15" t="inlineStr">
        <is>
          <t>Ruh</t>
        </is>
      </c>
      <c r="C57" s="10" t="n">
        <v>10</v>
      </c>
      <c r="D57" s="10" t="n">
        <v>25</v>
      </c>
      <c r="E57" s="17" t="n">
        <v>365</v>
      </c>
      <c r="F57" s="22" t="n">
        <v>0.0001</v>
      </c>
      <c r="G57" s="10" t="n">
        <v>900</v>
      </c>
      <c r="H57" s="13" t="n">
        <v>0.0014</v>
      </c>
      <c r="I57" s="18" t="n">
        <v>10950</v>
      </c>
      <c r="J57" s="20" t="n">
        <v>10</v>
      </c>
      <c r="K57" s="19">
        <f>(F57*G57*E57*J57)/(D57*I57)</f>
        <v/>
      </c>
      <c r="L57" s="2">
        <f>(F57*G57*E57*5)/(D57*I57)</f>
        <v/>
      </c>
      <c r="M57" s="2">
        <f>(F57*G57*E57*10)/(D57*I57)</f>
        <v/>
      </c>
      <c r="N57" s="2">
        <f>(F57*G57*E57*15)/(D57*I57)</f>
        <v/>
      </c>
      <c r="O57" s="2">
        <f>(F57*G57*E57*20)/(D57*I57)</f>
        <v/>
      </c>
      <c r="P57" s="2">
        <f>(F57*G57*E57*25)/(D57*I57)</f>
        <v/>
      </c>
      <c r="Q57" s="2">
        <f>(F57*G57*E57*30)/(D57*I57)</f>
        <v/>
      </c>
      <c r="R57" s="2">
        <f>K57/H57</f>
        <v/>
      </c>
      <c r="S57" s="2">
        <f>L57/H57</f>
        <v/>
      </c>
      <c r="T57" s="2">
        <f>M57/H57</f>
        <v/>
      </c>
      <c r="U57" s="2">
        <f>N57/H57</f>
        <v/>
      </c>
      <c r="V57" s="2">
        <f>O57/H57</f>
        <v/>
      </c>
      <c r="W57" s="2">
        <f>P57/H57</f>
        <v/>
      </c>
      <c r="X57" s="2">
        <f>Q57/H57</f>
        <v/>
      </c>
      <c r="Y57" s="5">
        <f>IF(R57&gt;1,"1","2")</f>
        <v/>
      </c>
      <c r="Z57" s="5">
        <f>IF(S57&gt;1,"1","2")</f>
        <v/>
      </c>
      <c r="AA57" s="5">
        <f>IF(T57&gt;1,"1","2")</f>
        <v/>
      </c>
      <c r="AB57" s="5">
        <f>IF(U57&gt;1,"1","2")</f>
        <v/>
      </c>
      <c r="AC57" s="5">
        <f>IF(V57&gt;1,"1","2")</f>
        <v/>
      </c>
      <c r="AD57" s="5">
        <f>IF(W57&gt;1,"1","2")</f>
        <v/>
      </c>
      <c r="AE57" s="5">
        <f>IF(X57&gt;1,"1","2")</f>
        <v/>
      </c>
      <c r="AF57" t="n">
        <v>-5.158297</v>
      </c>
      <c r="AG57" t="n">
        <v>119.429484</v>
      </c>
    </row>
    <row r="58" ht="14.4" customHeight="1">
      <c r="A58" s="14" t="n">
        <v>55</v>
      </c>
      <c r="B58" s="15" t="inlineStr">
        <is>
          <t>Ani</t>
        </is>
      </c>
      <c r="C58" s="10" t="n">
        <v>10</v>
      </c>
      <c r="D58" s="10" t="n">
        <v>25</v>
      </c>
      <c r="E58" s="17" t="n">
        <v>365</v>
      </c>
      <c r="F58" s="22" t="n">
        <v>0.0001</v>
      </c>
      <c r="G58" s="10" t="n">
        <v>1500</v>
      </c>
      <c r="H58" s="13" t="n">
        <v>0.0014</v>
      </c>
      <c r="I58" s="18" t="n">
        <v>10950</v>
      </c>
      <c r="J58" s="20" t="n">
        <v>6</v>
      </c>
      <c r="K58" s="19">
        <f>(F58*G58*E58*J58)/(D58*I58)</f>
        <v/>
      </c>
      <c r="L58" s="2">
        <f>(F58*G58*E58*5)/(D58*I58)</f>
        <v/>
      </c>
      <c r="M58" s="2">
        <f>(F58*G58*E58*10)/(D58*I58)</f>
        <v/>
      </c>
      <c r="N58" s="2">
        <f>(F58*G58*E58*15)/(D58*I58)</f>
        <v/>
      </c>
      <c r="O58" s="2">
        <f>(F58*G58*E58*20)/(D58*I58)</f>
        <v/>
      </c>
      <c r="P58" s="2">
        <f>(F58*G58*E58*25)/(D58*I58)</f>
        <v/>
      </c>
      <c r="Q58" s="2">
        <f>(F58*G58*E58*30)/(D58*I58)</f>
        <v/>
      </c>
      <c r="R58" s="2">
        <f>K58/H58</f>
        <v/>
      </c>
      <c r="S58" s="2">
        <f>L58/H58</f>
        <v/>
      </c>
      <c r="T58" s="2">
        <f>M58/H58</f>
        <v/>
      </c>
      <c r="U58" s="2">
        <f>N58/H58</f>
        <v/>
      </c>
      <c r="V58" s="2">
        <f>O58/H58</f>
        <v/>
      </c>
      <c r="W58" s="2">
        <f>P58/H58</f>
        <v/>
      </c>
      <c r="X58" s="2">
        <f>Q58/H58</f>
        <v/>
      </c>
      <c r="Y58" s="5">
        <f>IF(R58&gt;1,"1","2")</f>
        <v/>
      </c>
      <c r="Z58" s="5">
        <f>IF(S58&gt;1,"1","2")</f>
        <v/>
      </c>
      <c r="AA58" s="5">
        <f>IF(T58&gt;1,"1","2")</f>
        <v/>
      </c>
      <c r="AB58" s="5">
        <f>IF(U58&gt;1,"1","2")</f>
        <v/>
      </c>
      <c r="AC58" s="5">
        <f>IF(V58&gt;1,"1","2")</f>
        <v/>
      </c>
      <c r="AD58" s="5">
        <f>IF(W58&gt;1,"1","2")</f>
        <v/>
      </c>
      <c r="AE58" s="5">
        <f>IF(X58&gt;1,"1","2")</f>
        <v/>
      </c>
      <c r="AF58" t="n">
        <v>-5.13677</v>
      </c>
      <c r="AG58" t="n">
        <v>119.410286</v>
      </c>
    </row>
    <row r="59" ht="14.4" customHeight="1">
      <c r="A59" s="14" t="n">
        <v>56</v>
      </c>
      <c r="B59" s="15" t="inlineStr">
        <is>
          <t>Afd</t>
        </is>
      </c>
      <c r="C59" s="10" t="n">
        <v>10</v>
      </c>
      <c r="D59" s="10" t="n">
        <v>49</v>
      </c>
      <c r="E59" s="17" t="n">
        <v>365</v>
      </c>
      <c r="F59" s="22" t="n">
        <v>0.0001</v>
      </c>
      <c r="G59" s="10" t="n">
        <v>2100</v>
      </c>
      <c r="H59" s="13" t="n">
        <v>0.0014</v>
      </c>
      <c r="I59" s="18" t="n">
        <v>10950</v>
      </c>
      <c r="J59" s="20" t="n">
        <v>2</v>
      </c>
      <c r="K59" s="19">
        <f>(F59*G59*E59*J59)/(D59*I59)</f>
        <v/>
      </c>
      <c r="L59" s="2">
        <f>(F59*G59*E59*5)/(D59*I59)</f>
        <v/>
      </c>
      <c r="M59" s="2">
        <f>(F59*G59*E59*10)/(D59*I59)</f>
        <v/>
      </c>
      <c r="N59" s="2">
        <f>(F59*G59*E59*15)/(D59*I59)</f>
        <v/>
      </c>
      <c r="O59" s="2">
        <f>(F59*G59*E59*20)/(D59*I59)</f>
        <v/>
      </c>
      <c r="P59" s="2">
        <f>(F59*G59*E59*25)/(D59*I59)</f>
        <v/>
      </c>
      <c r="Q59" s="2">
        <f>(F59*G59*E59*30)/(D59*I59)</f>
        <v/>
      </c>
      <c r="R59" s="2">
        <f>K59/H59</f>
        <v/>
      </c>
      <c r="S59" s="2">
        <f>L59/H59</f>
        <v/>
      </c>
      <c r="T59" s="2">
        <f>M59/H59</f>
        <v/>
      </c>
      <c r="U59" s="2">
        <f>N59/H59</f>
        <v/>
      </c>
      <c r="V59" s="2">
        <f>O59/H59</f>
        <v/>
      </c>
      <c r="W59" s="2">
        <f>P59/H59</f>
        <v/>
      </c>
      <c r="X59" s="2">
        <f>Q59/H59</f>
        <v/>
      </c>
      <c r="Y59" s="5">
        <f>IF(R59&gt;1,"1","2")</f>
        <v/>
      </c>
      <c r="Z59" s="5">
        <f>IF(S59&gt;1,"1","2")</f>
        <v/>
      </c>
      <c r="AA59" s="5">
        <f>IF(T59&gt;1,"1","2")</f>
        <v/>
      </c>
      <c r="AB59" s="5">
        <f>IF(U59&gt;1,"1","2")</f>
        <v/>
      </c>
      <c r="AC59" s="5">
        <f>IF(V59&gt;1,"1","2")</f>
        <v/>
      </c>
      <c r="AD59" s="5">
        <f>IF(W59&gt;1,"1","2")</f>
        <v/>
      </c>
      <c r="AE59" s="5">
        <f>IF(X59&gt;1,"1","2")</f>
        <v/>
      </c>
      <c r="AF59" t="n">
        <v>-5.151033</v>
      </c>
      <c r="AG59" t="n">
        <v>119.446632</v>
      </c>
    </row>
    <row r="60" ht="14.4" customHeight="1">
      <c r="A60" s="14" t="n">
        <v>57</v>
      </c>
      <c r="B60" s="15" t="inlineStr">
        <is>
          <t>Iwg</t>
        </is>
      </c>
      <c r="C60" s="10" t="n">
        <v>10</v>
      </c>
      <c r="D60" s="10" t="n">
        <v>25</v>
      </c>
      <c r="E60" s="17" t="n">
        <v>365</v>
      </c>
      <c r="F60" s="22" t="n">
        <v>0.0001</v>
      </c>
      <c r="G60" s="10" t="n">
        <v>900</v>
      </c>
      <c r="H60" s="13" t="n">
        <v>0.0014</v>
      </c>
      <c r="I60" s="18" t="n">
        <v>10950</v>
      </c>
      <c r="J60" s="20" t="n">
        <v>10</v>
      </c>
      <c r="K60" s="19">
        <f>(F60*G60*E60*J60)/(D60*I60)</f>
        <v/>
      </c>
      <c r="L60" s="2">
        <f>(F60*G60*E60*5)/(D60*I60)</f>
        <v/>
      </c>
      <c r="M60" s="2">
        <f>(F60*G60*E60*10)/(D60*I60)</f>
        <v/>
      </c>
      <c r="N60" s="2">
        <f>(F60*G60*E60*15)/(D60*I60)</f>
        <v/>
      </c>
      <c r="O60" s="2">
        <f>(F60*G60*E60*20)/(D60*I60)</f>
        <v/>
      </c>
      <c r="P60" s="2">
        <f>(F60*G60*E60*25)/(D60*I60)</f>
        <v/>
      </c>
      <c r="Q60" s="2">
        <f>(F60*G60*E60*30)/(D60*I60)</f>
        <v/>
      </c>
      <c r="R60" s="2">
        <f>K60/H60</f>
        <v/>
      </c>
      <c r="S60" s="2">
        <f>L60/H60</f>
        <v/>
      </c>
      <c r="T60" s="2">
        <f>M60/H60</f>
        <v/>
      </c>
      <c r="U60" s="2">
        <f>N60/H60</f>
        <v/>
      </c>
      <c r="V60" s="2">
        <f>O60/H60</f>
        <v/>
      </c>
      <c r="W60" s="2">
        <f>P60/H60</f>
        <v/>
      </c>
      <c r="X60" s="2">
        <f>Q60/H60</f>
        <v/>
      </c>
      <c r="Y60" s="5">
        <f>IF(R60&gt;1,"1","2")</f>
        <v/>
      </c>
      <c r="Z60" s="5">
        <f>IF(S60&gt;1,"1","2")</f>
        <v/>
      </c>
      <c r="AA60" s="5">
        <f>IF(T60&gt;1,"1","2")</f>
        <v/>
      </c>
      <c r="AB60" s="5">
        <f>IF(U60&gt;1,"1","2")</f>
        <v/>
      </c>
      <c r="AC60" s="5">
        <f>IF(V60&gt;1,"1","2")</f>
        <v/>
      </c>
      <c r="AD60" s="5">
        <f>IF(W60&gt;1,"1","2")</f>
        <v/>
      </c>
      <c r="AE60" s="5">
        <f>IF(X60&gt;1,"1","2")</f>
        <v/>
      </c>
      <c r="AF60" t="n">
        <v>-5.147688</v>
      </c>
      <c r="AG60" t="n">
        <v>119.428898</v>
      </c>
    </row>
    <row r="61" ht="14.4" customHeight="1">
      <c r="A61" s="14" t="n">
        <v>58</v>
      </c>
      <c r="B61" s="15" t="inlineStr">
        <is>
          <t>Feb</t>
        </is>
      </c>
      <c r="C61" s="10" t="n">
        <v>10</v>
      </c>
      <c r="D61" s="10" t="n">
        <v>27</v>
      </c>
      <c r="E61" s="17" t="n">
        <v>365</v>
      </c>
      <c r="F61" s="22" t="n">
        <v>0.0001</v>
      </c>
      <c r="G61" s="10" t="n">
        <v>900</v>
      </c>
      <c r="H61" s="13" t="n">
        <v>0.0014</v>
      </c>
      <c r="I61" s="18" t="n">
        <v>10950</v>
      </c>
      <c r="J61" s="20" t="n">
        <v>10</v>
      </c>
      <c r="K61" s="19">
        <f>(F61*G61*E61*J61)/(D61*I61)</f>
        <v/>
      </c>
      <c r="L61" s="2">
        <f>(F61*G61*E61*5)/(D61*I61)</f>
        <v/>
      </c>
      <c r="M61" s="2">
        <f>(F61*G61*E61*10)/(D61*I61)</f>
        <v/>
      </c>
      <c r="N61" s="2">
        <f>(F61*G61*E61*15)/(D61*I61)</f>
        <v/>
      </c>
      <c r="O61" s="2">
        <f>(F61*G61*E61*20)/(D61*I61)</f>
        <v/>
      </c>
      <c r="P61" s="2">
        <f>(F61*G61*E61*25)/(D61*I61)</f>
        <v/>
      </c>
      <c r="Q61" s="2">
        <f>(F61*G61*E61*30)/(D61*I61)</f>
        <v/>
      </c>
      <c r="R61" s="2">
        <f>K61/H61</f>
        <v/>
      </c>
      <c r="S61" s="2">
        <f>L61/H61</f>
        <v/>
      </c>
      <c r="T61" s="2">
        <f>M61/H61</f>
        <v/>
      </c>
      <c r="U61" s="2">
        <f>N61/H61</f>
        <v/>
      </c>
      <c r="V61" s="2">
        <f>O61/H61</f>
        <v/>
      </c>
      <c r="W61" s="2">
        <f>P61/H61</f>
        <v/>
      </c>
      <c r="X61" s="2">
        <f>Q61/H61</f>
        <v/>
      </c>
      <c r="Y61" s="5">
        <f>IF(R61&gt;1,"1","2")</f>
        <v/>
      </c>
      <c r="Z61" s="5">
        <f>IF(S61&gt;1,"1","2")</f>
        <v/>
      </c>
      <c r="AA61" s="5">
        <f>IF(T61&gt;1,"1","2")</f>
        <v/>
      </c>
      <c r="AB61" s="5">
        <f>IF(U61&gt;1,"1","2")</f>
        <v/>
      </c>
      <c r="AC61" s="5">
        <f>IF(V61&gt;1,"1","2")</f>
        <v/>
      </c>
      <c r="AD61" s="5">
        <f>IF(W61&gt;1,"1","2")</f>
        <v/>
      </c>
      <c r="AE61" s="5">
        <f>IF(X61&gt;1,"1","2")</f>
        <v/>
      </c>
      <c r="AF61" t="n">
        <v>-5.140221</v>
      </c>
      <c r="AG61" t="n">
        <v>119.427835</v>
      </c>
    </row>
    <row r="62" ht="14.4" customHeight="1">
      <c r="A62" s="14" t="n">
        <v>59</v>
      </c>
      <c r="B62" s="15" t="inlineStr">
        <is>
          <t>Ula</t>
        </is>
      </c>
      <c r="C62" s="10" t="n">
        <v>10</v>
      </c>
      <c r="D62" s="10" t="n">
        <v>25</v>
      </c>
      <c r="E62" s="17" t="n">
        <v>365</v>
      </c>
      <c r="F62" s="22" t="n">
        <v>0.0001</v>
      </c>
      <c r="G62" s="10" t="n">
        <v>900</v>
      </c>
      <c r="H62" s="13" t="n">
        <v>0.0014</v>
      </c>
      <c r="I62" s="18" t="n">
        <v>10950</v>
      </c>
      <c r="J62" s="20" t="n">
        <v>10</v>
      </c>
      <c r="K62" s="19">
        <f>(F62*G62*E62*J62)/(D62*I62)</f>
        <v/>
      </c>
      <c r="L62" s="2">
        <f>(F62*G62*E62*5)/(D62*I62)</f>
        <v/>
      </c>
      <c r="M62" s="2">
        <f>(F62*G62*E62*10)/(D62*I62)</f>
        <v/>
      </c>
      <c r="N62" s="2">
        <f>(F62*G62*E62*15)/(D62*I62)</f>
        <v/>
      </c>
      <c r="O62" s="2">
        <f>(F62*G62*E62*20)/(D62*I62)</f>
        <v/>
      </c>
      <c r="P62" s="2">
        <f>(F62*G62*E62*25)/(D62*I62)</f>
        <v/>
      </c>
      <c r="Q62" s="2">
        <f>(F62*G62*E62*30)/(D62*I62)</f>
        <v/>
      </c>
      <c r="R62" s="2">
        <f>K62/H62</f>
        <v/>
      </c>
      <c r="S62" s="2">
        <f>L62/H62</f>
        <v/>
      </c>
      <c r="T62" s="2">
        <f>M62/H62</f>
        <v/>
      </c>
      <c r="U62" s="2">
        <f>N62/H62</f>
        <v/>
      </c>
      <c r="V62" s="2">
        <f>O62/H62</f>
        <v/>
      </c>
      <c r="W62" s="2">
        <f>P62/H62</f>
        <v/>
      </c>
      <c r="X62" s="2">
        <f>Q62/H62</f>
        <v/>
      </c>
      <c r="Y62" s="5">
        <f>IF(R62&gt;1,"1","2")</f>
        <v/>
      </c>
      <c r="Z62" s="5">
        <f>IF(S62&gt;1,"1","2")</f>
        <v/>
      </c>
      <c r="AA62" s="5">
        <f>IF(T62&gt;1,"1","2")</f>
        <v/>
      </c>
      <c r="AB62" s="5">
        <f>IF(U62&gt;1,"1","2")</f>
        <v/>
      </c>
      <c r="AC62" s="5">
        <f>IF(V62&gt;1,"1","2")</f>
        <v/>
      </c>
      <c r="AD62" s="5">
        <f>IF(W62&gt;1,"1","2")</f>
        <v/>
      </c>
      <c r="AE62" s="5">
        <f>IF(X62&gt;1,"1","2")</f>
        <v/>
      </c>
      <c r="AF62" t="n">
        <v>-5.12288</v>
      </c>
      <c r="AG62" t="n">
        <v>119.408651</v>
      </c>
    </row>
    <row r="63" ht="14.4" customHeight="1">
      <c r="A63" s="14" t="n">
        <v>60</v>
      </c>
      <c r="B63" s="15" t="inlineStr">
        <is>
          <t>Msa</t>
        </is>
      </c>
      <c r="C63" s="10" t="n">
        <v>10</v>
      </c>
      <c r="D63" s="10" t="n">
        <v>25</v>
      </c>
      <c r="E63" s="17" t="n">
        <v>365</v>
      </c>
      <c r="F63" s="22" t="n">
        <v>0.0001</v>
      </c>
      <c r="G63" s="10" t="n">
        <v>900</v>
      </c>
      <c r="H63" s="13" t="n">
        <v>0.0014</v>
      </c>
      <c r="I63" s="18" t="n">
        <v>10950</v>
      </c>
      <c r="J63" s="20" t="n">
        <v>10</v>
      </c>
      <c r="K63" s="19">
        <f>(F63*G63*E63*J63)/(D63*I63)</f>
        <v/>
      </c>
      <c r="L63" s="2">
        <f>(F63*G63*E63*5)/(D63*I63)</f>
        <v/>
      </c>
      <c r="M63" s="2">
        <f>(F63*G63*E63*10)/(D63*I63)</f>
        <v/>
      </c>
      <c r="N63" s="2">
        <f>(F63*G63*E63*15)/(D63*I63)</f>
        <v/>
      </c>
      <c r="O63" s="2">
        <f>(F63*G63*E63*20)/(D63*I63)</f>
        <v/>
      </c>
      <c r="P63" s="2">
        <f>(F63*G63*E63*25)/(D63*I63)</f>
        <v/>
      </c>
      <c r="Q63" s="2">
        <f>(F63*G63*E63*30)/(D63*I63)</f>
        <v/>
      </c>
      <c r="R63" s="2">
        <f>K63/H63</f>
        <v/>
      </c>
      <c r="S63" s="2">
        <f>L63/H63</f>
        <v/>
      </c>
      <c r="T63" s="2">
        <f>M63/H63</f>
        <v/>
      </c>
      <c r="U63" s="2">
        <f>N63/H63</f>
        <v/>
      </c>
      <c r="V63" s="2">
        <f>O63/H63</f>
        <v/>
      </c>
      <c r="W63" s="2">
        <f>P63/H63</f>
        <v/>
      </c>
      <c r="X63" s="2">
        <f>Q63/H63</f>
        <v/>
      </c>
      <c r="Y63" s="5">
        <f>IF(R63&gt;1,"1","2")</f>
        <v/>
      </c>
      <c r="Z63" s="5">
        <f>IF(S63&gt;1,"1","2")</f>
        <v/>
      </c>
      <c r="AA63" s="5">
        <f>IF(T63&gt;1,"1","2")</f>
        <v/>
      </c>
      <c r="AB63" s="5">
        <f>IF(U63&gt;1,"1","2")</f>
        <v/>
      </c>
      <c r="AC63" s="5">
        <f>IF(V63&gt;1,"1","2")</f>
        <v/>
      </c>
      <c r="AD63" s="5">
        <f>IF(W63&gt;1,"1","2")</f>
        <v/>
      </c>
      <c r="AE63" s="5">
        <f>IF(X63&gt;1,"1","2")</f>
        <v/>
      </c>
      <c r="AF63" t="n">
        <v>-5.142194</v>
      </c>
      <c r="AG63" t="n">
        <v>119.414704</v>
      </c>
    </row>
    <row r="64" ht="14.4" customHeight="1">
      <c r="A64" s="14" t="n">
        <v>61</v>
      </c>
      <c r="B64" s="15" t="inlineStr">
        <is>
          <t>Lan</t>
        </is>
      </c>
      <c r="C64" s="10" t="n">
        <v>10</v>
      </c>
      <c r="D64" s="10" t="n">
        <v>30</v>
      </c>
      <c r="E64" s="17" t="n">
        <v>365</v>
      </c>
      <c r="F64" s="22" t="n">
        <v>0.0001</v>
      </c>
      <c r="G64" s="10" t="n">
        <v>900</v>
      </c>
      <c r="H64" s="13" t="n">
        <v>0.0014</v>
      </c>
      <c r="I64" s="18" t="n">
        <v>10950</v>
      </c>
      <c r="J64" s="20" t="n">
        <v>10</v>
      </c>
      <c r="K64" s="19">
        <f>(F64*G64*E64*J64)/(D64*I64)</f>
        <v/>
      </c>
      <c r="L64" s="2">
        <f>(F64*G64*E64*5)/(D64*I64)</f>
        <v/>
      </c>
      <c r="M64" s="2">
        <f>(F64*G64*E64*10)/(D64*I64)</f>
        <v/>
      </c>
      <c r="N64" s="2">
        <f>(F64*G64*E64*15)/(D64*I64)</f>
        <v/>
      </c>
      <c r="O64" s="2">
        <f>(F64*G64*E64*20)/(D64*I64)</f>
        <v/>
      </c>
      <c r="P64" s="2">
        <f>(F64*G64*E64*25)/(D64*I64)</f>
        <v/>
      </c>
      <c r="Q64" s="2">
        <f>(F64*G64*E64*30)/(D64*I64)</f>
        <v/>
      </c>
      <c r="R64" s="2">
        <f>K64/H64</f>
        <v/>
      </c>
      <c r="S64" s="2">
        <f>L64/H64</f>
        <v/>
      </c>
      <c r="T64" s="2">
        <f>M64/H64</f>
        <v/>
      </c>
      <c r="U64" s="2">
        <f>N64/H64</f>
        <v/>
      </c>
      <c r="V64" s="2">
        <f>O64/H64</f>
        <v/>
      </c>
      <c r="W64" s="2">
        <f>P64/H64</f>
        <v/>
      </c>
      <c r="X64" s="2">
        <f>Q64/H64</f>
        <v/>
      </c>
      <c r="Y64" s="5">
        <f>IF(R64&gt;1,"1","2")</f>
        <v/>
      </c>
      <c r="Z64" s="5">
        <f>IF(S64&gt;1,"1","2")</f>
        <v/>
      </c>
      <c r="AA64" s="5">
        <f>IF(T64&gt;1,"1","2")</f>
        <v/>
      </c>
      <c r="AB64" s="5">
        <f>IF(U64&gt;1,"1","2")</f>
        <v/>
      </c>
      <c r="AC64" s="5">
        <f>IF(V64&gt;1,"1","2")</f>
        <v/>
      </c>
      <c r="AD64" s="5">
        <f>IF(W64&gt;1,"1","2")</f>
        <v/>
      </c>
      <c r="AE64" s="5">
        <f>IF(X64&gt;1,"1","2")</f>
        <v/>
      </c>
      <c r="AF64" t="n">
        <v>-5.140954</v>
      </c>
      <c r="AG64" t="n">
        <v>119.431511</v>
      </c>
    </row>
    <row r="65" ht="14.4" customHeight="1">
      <c r="A65" s="14" t="n">
        <v>62</v>
      </c>
      <c r="B65" s="15" t="inlineStr">
        <is>
          <t>Fai</t>
        </is>
      </c>
      <c r="C65" s="10" t="n">
        <v>10</v>
      </c>
      <c r="D65" s="10" t="n">
        <v>25</v>
      </c>
      <c r="E65" s="17" t="n">
        <v>365</v>
      </c>
      <c r="F65" s="22" t="n">
        <v>0.0001</v>
      </c>
      <c r="G65" s="10" t="n">
        <v>900</v>
      </c>
      <c r="H65" s="13" t="n">
        <v>0.0014</v>
      </c>
      <c r="I65" s="18" t="n">
        <v>10950</v>
      </c>
      <c r="J65" s="20" t="n">
        <v>10</v>
      </c>
      <c r="K65" s="19">
        <f>(F65*G65*E65*J65)/(D65*I65)</f>
        <v/>
      </c>
      <c r="L65" s="2">
        <f>(F65*G65*E65*5)/(D65*I65)</f>
        <v/>
      </c>
      <c r="M65" s="2">
        <f>(F65*G65*E65*10)/(D65*I65)</f>
        <v/>
      </c>
      <c r="N65" s="2">
        <f>(F65*G65*E65*15)/(D65*I65)</f>
        <v/>
      </c>
      <c r="O65" s="2">
        <f>(F65*G65*E65*20)/(D65*I65)</f>
        <v/>
      </c>
      <c r="P65" s="2">
        <f>(F65*G65*E65*25)/(D65*I65)</f>
        <v/>
      </c>
      <c r="Q65" s="2">
        <f>(F65*G65*E65*30)/(D65*I65)</f>
        <v/>
      </c>
      <c r="R65" s="2">
        <f>K65/H65</f>
        <v/>
      </c>
      <c r="S65" s="2">
        <f>L65/H65</f>
        <v/>
      </c>
      <c r="T65" s="2">
        <f>M65/H65</f>
        <v/>
      </c>
      <c r="U65" s="2">
        <f>N65/H65</f>
        <v/>
      </c>
      <c r="V65" s="2">
        <f>O65/H65</f>
        <v/>
      </c>
      <c r="W65" s="2">
        <f>P65/H65</f>
        <v/>
      </c>
      <c r="X65" s="2">
        <f>Q65/H65</f>
        <v/>
      </c>
      <c r="Y65" s="5">
        <f>IF(R65&gt;1,"1","2")</f>
        <v/>
      </c>
      <c r="Z65" s="5">
        <f>IF(S65&gt;1,"1","2")</f>
        <v/>
      </c>
      <c r="AA65" s="5">
        <f>IF(T65&gt;1,"1","2")</f>
        <v/>
      </c>
      <c r="AB65" s="5">
        <f>IF(U65&gt;1,"1","2")</f>
        <v/>
      </c>
      <c r="AC65" s="5">
        <f>IF(V65&gt;1,"1","2")</f>
        <v/>
      </c>
      <c r="AD65" s="5">
        <f>IF(W65&gt;1,"1","2")</f>
        <v/>
      </c>
      <c r="AE65" s="5">
        <f>IF(X65&gt;1,"1","2")</f>
        <v/>
      </c>
      <c r="AF65" t="n">
        <v>-5.14341</v>
      </c>
      <c r="AG65" t="n">
        <v>119.414385</v>
      </c>
    </row>
    <row r="66" ht="14.4" customHeight="1">
      <c r="A66" s="14" t="n">
        <v>63</v>
      </c>
      <c r="B66" s="15" t="inlineStr">
        <is>
          <t>Arm</t>
        </is>
      </c>
      <c r="C66" s="10" t="n">
        <v>10</v>
      </c>
      <c r="D66" s="10" t="n">
        <v>25</v>
      </c>
      <c r="E66" s="17" t="n">
        <v>365</v>
      </c>
      <c r="F66" s="22" t="n">
        <v>0.0001</v>
      </c>
      <c r="G66" s="10" t="n">
        <v>900</v>
      </c>
      <c r="H66" s="13" t="n">
        <v>0.0014</v>
      </c>
      <c r="I66" s="18" t="n">
        <v>10950</v>
      </c>
      <c r="J66" s="20" t="n">
        <v>10</v>
      </c>
      <c r="K66" s="19">
        <f>(F66*G66*E66*J66)/(D66*I66)</f>
        <v/>
      </c>
      <c r="L66" s="2">
        <f>(F66*G66*E66*5)/(D66*I66)</f>
        <v/>
      </c>
      <c r="M66" s="2">
        <f>(F66*G66*E66*10)/(D66*I66)</f>
        <v/>
      </c>
      <c r="N66" s="2">
        <f>(F66*G66*E66*15)/(D66*I66)</f>
        <v/>
      </c>
      <c r="O66" s="2">
        <f>(F66*G66*E66*20)/(D66*I66)</f>
        <v/>
      </c>
      <c r="P66" s="2">
        <f>(F66*G66*E66*25)/(D66*I66)</f>
        <v/>
      </c>
      <c r="Q66" s="2">
        <f>(F66*G66*E66*30)/(D66*I66)</f>
        <v/>
      </c>
      <c r="R66" s="2">
        <f>K66/H66</f>
        <v/>
      </c>
      <c r="S66" s="2">
        <f>L66/H66</f>
        <v/>
      </c>
      <c r="T66" s="2">
        <f>M66/H66</f>
        <v/>
      </c>
      <c r="U66" s="2">
        <f>N66/H66</f>
        <v/>
      </c>
      <c r="V66" s="2">
        <f>O66/H66</f>
        <v/>
      </c>
      <c r="W66" s="2">
        <f>P66/H66</f>
        <v/>
      </c>
      <c r="X66" s="2">
        <f>Q66/H66</f>
        <v/>
      </c>
      <c r="Y66" s="5">
        <f>IF(R66&gt;1,"1","2")</f>
        <v/>
      </c>
      <c r="Z66" s="5">
        <f>IF(S66&gt;1,"1","2")</f>
        <v/>
      </c>
      <c r="AA66" s="5">
        <f>IF(T66&gt;1,"1","2")</f>
        <v/>
      </c>
      <c r="AB66" s="5">
        <f>IF(U66&gt;1,"1","2")</f>
        <v/>
      </c>
      <c r="AC66" s="5">
        <f>IF(V66&gt;1,"1","2")</f>
        <v/>
      </c>
      <c r="AD66" s="5">
        <f>IF(W66&gt;1,"1","2")</f>
        <v/>
      </c>
      <c r="AE66" s="5">
        <f>IF(X66&gt;1,"1","2")</f>
        <v/>
      </c>
      <c r="AF66" t="n">
        <v>-5.157168</v>
      </c>
      <c r="AG66" t="n">
        <v>119.421729</v>
      </c>
    </row>
    <row r="67" ht="14.4" customHeight="1">
      <c r="A67" s="14" t="n">
        <v>64</v>
      </c>
      <c r="B67" s="15" t="inlineStr">
        <is>
          <t>Dah</t>
        </is>
      </c>
      <c r="C67" s="10" t="n">
        <v>10</v>
      </c>
      <c r="D67" s="10" t="n">
        <v>30</v>
      </c>
      <c r="E67" s="17" t="n">
        <v>365</v>
      </c>
      <c r="F67" s="22" t="n">
        <v>0.0001</v>
      </c>
      <c r="G67" s="10" t="n">
        <v>900</v>
      </c>
      <c r="H67" s="13" t="n">
        <v>0.0014</v>
      </c>
      <c r="I67" s="18" t="n">
        <v>10950</v>
      </c>
      <c r="J67" s="20" t="n">
        <v>10</v>
      </c>
      <c r="K67" s="19">
        <f>(F67*G67*E67*J67)/(D67*I67)</f>
        <v/>
      </c>
      <c r="L67" s="2">
        <f>(F67*G67*E67*5)/(D67*I67)</f>
        <v/>
      </c>
      <c r="M67" s="2">
        <f>(F67*G67*E67*10)/(D67*I67)</f>
        <v/>
      </c>
      <c r="N67" s="2">
        <f>(F67*G67*E67*15)/(D67*I67)</f>
        <v/>
      </c>
      <c r="O67" s="2">
        <f>(F67*G67*E67*20)/(D67*I67)</f>
        <v/>
      </c>
      <c r="P67" s="2">
        <f>(F67*G67*E67*25)/(D67*I67)</f>
        <v/>
      </c>
      <c r="Q67" s="2">
        <f>(F67*G67*E67*30)/(D67*I67)</f>
        <v/>
      </c>
      <c r="R67" s="2">
        <f>K67/H67</f>
        <v/>
      </c>
      <c r="S67" s="2">
        <f>L67/H67</f>
        <v/>
      </c>
      <c r="T67" s="2">
        <f>M67/H67</f>
        <v/>
      </c>
      <c r="U67" s="2">
        <f>N67/H67</f>
        <v/>
      </c>
      <c r="V67" s="2">
        <f>O67/H67</f>
        <v/>
      </c>
      <c r="W67" s="2">
        <f>P67/H67</f>
        <v/>
      </c>
      <c r="X67" s="2">
        <f>Q67/H67</f>
        <v/>
      </c>
      <c r="Y67" s="5">
        <f>IF(R67&gt;1,"1","2")</f>
        <v/>
      </c>
      <c r="Z67" s="5">
        <f>IF(S67&gt;1,"1","2")</f>
        <v/>
      </c>
      <c r="AA67" s="5">
        <f>IF(T67&gt;1,"1","2")</f>
        <v/>
      </c>
      <c r="AB67" s="5">
        <f>IF(U67&gt;1,"1","2")</f>
        <v/>
      </c>
      <c r="AC67" s="5">
        <f>IF(V67&gt;1,"1","2")</f>
        <v/>
      </c>
      <c r="AD67" s="5">
        <f>IF(W67&gt;1,"1","2")</f>
        <v/>
      </c>
      <c r="AE67" s="5">
        <f>IF(X67&gt;1,"1","2")</f>
        <v/>
      </c>
      <c r="AF67" t="n">
        <v>-5.157008</v>
      </c>
      <c r="AG67" t="n">
        <v>119.4383</v>
      </c>
    </row>
    <row r="68" ht="14.4" customHeight="1">
      <c r="A68" s="14" t="n">
        <v>65</v>
      </c>
      <c r="B68" s="15" t="inlineStr">
        <is>
          <t>Rpa</t>
        </is>
      </c>
      <c r="C68" s="10" t="n">
        <v>11</v>
      </c>
      <c r="D68" s="10" t="n">
        <v>33</v>
      </c>
      <c r="E68" s="17" t="n">
        <v>365</v>
      </c>
      <c r="F68" s="22" t="n">
        <v>0.0001</v>
      </c>
      <c r="G68" s="10" t="n">
        <v>900</v>
      </c>
      <c r="H68" s="13" t="n">
        <v>0.0014</v>
      </c>
      <c r="I68" s="18" t="n">
        <v>10950</v>
      </c>
      <c r="J68" s="20" t="n">
        <v>11</v>
      </c>
      <c r="K68" s="19">
        <f>(F68*G68*E68*J68)/(D68*I68)</f>
        <v/>
      </c>
      <c r="L68" s="2">
        <f>(F68*G68*E68*5)/(D68*I68)</f>
        <v/>
      </c>
      <c r="M68" s="2">
        <f>(F68*G68*E68*10)/(D68*I68)</f>
        <v/>
      </c>
      <c r="N68" s="2">
        <f>(F68*G68*E68*15)/(D68*I68)</f>
        <v/>
      </c>
      <c r="O68" s="2">
        <f>(F68*G68*E68*20)/(D68*I68)</f>
        <v/>
      </c>
      <c r="P68" s="2">
        <f>(F68*G68*E68*25)/(D68*I68)</f>
        <v/>
      </c>
      <c r="Q68" s="2">
        <f>(F68*G68*E68*30)/(D68*I68)</f>
        <v/>
      </c>
      <c r="R68" s="2">
        <f>K68/H68</f>
        <v/>
      </c>
      <c r="S68" s="2">
        <f>L68/H68</f>
        <v/>
      </c>
      <c r="T68" s="2">
        <f>M68/H68</f>
        <v/>
      </c>
      <c r="U68" s="2">
        <f>N68/H68</f>
        <v/>
      </c>
      <c r="V68" s="2">
        <f>O68/H68</f>
        <v/>
      </c>
      <c r="W68" s="2">
        <f>P68/H68</f>
        <v/>
      </c>
      <c r="X68" s="2">
        <f>Q68/H68</f>
        <v/>
      </c>
      <c r="Y68" s="5">
        <f>IF(R68&gt;1,"1","2")</f>
        <v/>
      </c>
      <c r="Z68" s="5">
        <f>IF(S68&gt;1,"1","2")</f>
        <v/>
      </c>
      <c r="AA68" s="5">
        <f>IF(T68&gt;1,"1","2")</f>
        <v/>
      </c>
      <c r="AB68" s="5">
        <f>IF(U68&gt;1,"1","2")</f>
        <v/>
      </c>
      <c r="AC68" s="5">
        <f>IF(V68&gt;1,"1","2")</f>
        <v/>
      </c>
      <c r="AD68" s="5">
        <f>IF(W68&gt;1,"1","2")</f>
        <v/>
      </c>
      <c r="AE68" s="5">
        <f>IF(X68&gt;1,"1","2")</f>
        <v/>
      </c>
      <c r="AF68" t="n">
        <v>-5.130333</v>
      </c>
      <c r="AG68" t="n">
        <v>119.44704</v>
      </c>
    </row>
    <row r="69" ht="14.4" customHeight="1">
      <c r="A69" s="14" t="n">
        <v>66</v>
      </c>
      <c r="B69" s="15" t="inlineStr">
        <is>
          <t>Aik</t>
        </is>
      </c>
      <c r="C69" s="10" t="n">
        <v>11</v>
      </c>
      <c r="D69" s="10" t="n">
        <v>23</v>
      </c>
      <c r="E69" s="17" t="n">
        <v>365</v>
      </c>
      <c r="F69" s="22" t="n">
        <v>0.0001</v>
      </c>
      <c r="G69" s="10" t="n">
        <v>900</v>
      </c>
      <c r="H69" s="13" t="n">
        <v>0.0014</v>
      </c>
      <c r="I69" s="18" t="n">
        <v>10950</v>
      </c>
      <c r="J69" s="20" t="n">
        <v>11</v>
      </c>
      <c r="K69" s="19">
        <f>(F69*G69*E69*J69)/(D69*I69)</f>
        <v/>
      </c>
      <c r="L69" s="2">
        <f>(F69*G69*E69*5)/(D69*I69)</f>
        <v/>
      </c>
      <c r="M69" s="2">
        <f>(F69*G69*E69*10)/(D69*I69)</f>
        <v/>
      </c>
      <c r="N69" s="2">
        <f>(F69*G69*E69*15)/(D69*I69)</f>
        <v/>
      </c>
      <c r="O69" s="2">
        <f>(F69*G69*E69*20)/(D69*I69)</f>
        <v/>
      </c>
      <c r="P69" s="2">
        <f>(F69*G69*E69*25)/(D69*I69)</f>
        <v/>
      </c>
      <c r="Q69" s="2">
        <f>(F69*G69*E69*30)/(D69*I69)</f>
        <v/>
      </c>
      <c r="R69" s="2">
        <f>K69/H69</f>
        <v/>
      </c>
      <c r="S69" s="2">
        <f>L69/H69</f>
        <v/>
      </c>
      <c r="T69" s="2">
        <f>M69/H69</f>
        <v/>
      </c>
      <c r="U69" s="2">
        <f>N69/H69</f>
        <v/>
      </c>
      <c r="V69" s="2">
        <f>O69/H69</f>
        <v/>
      </c>
      <c r="W69" s="2">
        <f>P69/H69</f>
        <v/>
      </c>
      <c r="X69" s="2">
        <f>Q69/H69</f>
        <v/>
      </c>
      <c r="Y69" s="5">
        <f>IF(R69&gt;1,"1","2")</f>
        <v/>
      </c>
      <c r="Z69" s="5">
        <f>IF(S69&gt;1,"1","2")</f>
        <v/>
      </c>
      <c r="AA69" s="5">
        <f>IF(T69&gt;1,"1","2")</f>
        <v/>
      </c>
      <c r="AB69" s="5">
        <f>IF(U69&gt;1,"1","2")</f>
        <v/>
      </c>
      <c r="AC69" s="5">
        <f>IF(V69&gt;1,"1","2")</f>
        <v/>
      </c>
      <c r="AD69" s="5">
        <f>IF(W69&gt;1,"1","2")</f>
        <v/>
      </c>
      <c r="AE69" s="5">
        <f>IF(X69&gt;1,"1","2")</f>
        <v/>
      </c>
      <c r="AF69" t="n">
        <v>-5.13263</v>
      </c>
      <c r="AG69" t="n">
        <v>119.404792</v>
      </c>
    </row>
    <row r="70" ht="14.4" customHeight="1">
      <c r="A70" s="14" t="n">
        <v>67</v>
      </c>
      <c r="B70" s="15" t="inlineStr">
        <is>
          <t>Fa</t>
        </is>
      </c>
      <c r="C70" s="10" t="n">
        <v>11</v>
      </c>
      <c r="D70" s="10" t="n">
        <v>34</v>
      </c>
      <c r="E70" s="17" t="n">
        <v>365</v>
      </c>
      <c r="F70" s="22" t="n">
        <v>0.0001</v>
      </c>
      <c r="G70" s="10" t="n">
        <v>1200</v>
      </c>
      <c r="H70" s="13" t="n">
        <v>0.0014</v>
      </c>
      <c r="I70" s="18" t="n">
        <v>10950</v>
      </c>
      <c r="J70" s="20" t="n">
        <v>11</v>
      </c>
      <c r="K70" s="19">
        <f>(F70*G70*E70*J70)/(D70*I70)</f>
        <v/>
      </c>
      <c r="L70" s="2">
        <f>(F70*G70*E70*5)/(D70*I70)</f>
        <v/>
      </c>
      <c r="M70" s="2">
        <f>(F70*G70*E70*10)/(D70*I70)</f>
        <v/>
      </c>
      <c r="N70" s="2">
        <f>(F70*G70*E70*15)/(D70*I70)</f>
        <v/>
      </c>
      <c r="O70" s="2">
        <f>(F70*G70*E70*20)/(D70*I70)</f>
        <v/>
      </c>
      <c r="P70" s="2">
        <f>(F70*G70*E70*25)/(D70*I70)</f>
        <v/>
      </c>
      <c r="Q70" s="2">
        <f>(F70*G70*E70*30)/(D70*I70)</f>
        <v/>
      </c>
      <c r="R70" s="2">
        <f>K70/H70</f>
        <v/>
      </c>
      <c r="S70" s="2">
        <f>L70/H70</f>
        <v/>
      </c>
      <c r="T70" s="2">
        <f>M70/H70</f>
        <v/>
      </c>
      <c r="U70" s="2">
        <f>N70/H70</f>
        <v/>
      </c>
      <c r="V70" s="2">
        <f>O70/H70</f>
        <v/>
      </c>
      <c r="W70" s="2">
        <f>P70/H70</f>
        <v/>
      </c>
      <c r="X70" s="2">
        <f>Q70/H70</f>
        <v/>
      </c>
      <c r="Y70" s="5">
        <f>IF(R70&gt;1,"1","2")</f>
        <v/>
      </c>
      <c r="Z70" s="5">
        <f>IF(S70&gt;1,"1","2")</f>
        <v/>
      </c>
      <c r="AA70" s="5">
        <f>IF(T70&gt;1,"1","2")</f>
        <v/>
      </c>
      <c r="AB70" s="5">
        <f>IF(U70&gt;1,"1","2")</f>
        <v/>
      </c>
      <c r="AC70" s="5">
        <f>IF(V70&gt;1,"1","2")</f>
        <v/>
      </c>
      <c r="AD70" s="5">
        <f>IF(W70&gt;1,"1","2")</f>
        <v/>
      </c>
      <c r="AE70" s="5">
        <f>IF(X70&gt;1,"1","2")</f>
        <v/>
      </c>
      <c r="AF70" t="n">
        <v>-5.123609</v>
      </c>
      <c r="AG70" t="n">
        <v>119.414704</v>
      </c>
    </row>
    <row r="71" ht="14.4" customHeight="1">
      <c r="A71" s="14" t="n">
        <v>68</v>
      </c>
      <c r="B71" s="15" t="inlineStr">
        <is>
          <t>Pan</t>
        </is>
      </c>
      <c r="C71" s="10" t="n">
        <v>11</v>
      </c>
      <c r="D71" s="10" t="n">
        <v>32</v>
      </c>
      <c r="E71" s="17" t="n">
        <v>365</v>
      </c>
      <c r="F71" s="22" t="n">
        <v>0.0001</v>
      </c>
      <c r="G71" s="10" t="n">
        <v>900</v>
      </c>
      <c r="H71" s="13" t="n">
        <v>0.0014</v>
      </c>
      <c r="I71" s="18" t="n">
        <v>10950</v>
      </c>
      <c r="J71" s="20" t="n">
        <v>11</v>
      </c>
      <c r="K71" s="19">
        <f>(F71*G71*E71*J71)/(D71*I71)</f>
        <v/>
      </c>
      <c r="L71" s="2">
        <f>(F71*G71*E71*5)/(D71*I71)</f>
        <v/>
      </c>
      <c r="M71" s="2">
        <f>(F71*G71*E71*10)/(D71*I71)</f>
        <v/>
      </c>
      <c r="N71" s="2">
        <f>(F71*G71*E71*15)/(D71*I71)</f>
        <v/>
      </c>
      <c r="O71" s="2">
        <f>(F71*G71*E71*20)/(D71*I71)</f>
        <v/>
      </c>
      <c r="P71" s="2">
        <f>(F71*G71*E71*25)/(D71*I71)</f>
        <v/>
      </c>
      <c r="Q71" s="2">
        <f>(F71*G71*E71*30)/(D71*I71)</f>
        <v/>
      </c>
      <c r="R71" s="2">
        <f>K71/H71</f>
        <v/>
      </c>
      <c r="S71" s="2">
        <f>L71/H71</f>
        <v/>
      </c>
      <c r="T71" s="2">
        <f>M71/H71</f>
        <v/>
      </c>
      <c r="U71" s="2">
        <f>N71/H71</f>
        <v/>
      </c>
      <c r="V71" s="2">
        <f>O71/H71</f>
        <v/>
      </c>
      <c r="W71" s="2">
        <f>P71/H71</f>
        <v/>
      </c>
      <c r="X71" s="2">
        <f>Q71/H71</f>
        <v/>
      </c>
      <c r="Y71" s="5">
        <f>IF(R71&gt;1,"1","2")</f>
        <v/>
      </c>
      <c r="Z71" s="5">
        <f>IF(S71&gt;1,"1","2")</f>
        <v/>
      </c>
      <c r="AA71" s="5">
        <f>IF(T71&gt;1,"1","2")</f>
        <v/>
      </c>
      <c r="AB71" s="5">
        <f>IF(U71&gt;1,"1","2")</f>
        <v/>
      </c>
      <c r="AC71" s="5">
        <f>IF(V71&gt;1,"1","2")</f>
        <v/>
      </c>
      <c r="AD71" s="5">
        <f>IF(W71&gt;1,"1","2")</f>
        <v/>
      </c>
      <c r="AE71" s="5">
        <f>IF(X71&gt;1,"1","2")</f>
        <v/>
      </c>
      <c r="AF71" t="n">
        <v>-5.14705</v>
      </c>
      <c r="AG71" t="n">
        <v>119.431001</v>
      </c>
    </row>
    <row r="72" ht="14.4" customHeight="1">
      <c r="A72" s="14" t="n">
        <v>69</v>
      </c>
      <c r="B72" s="15" t="inlineStr">
        <is>
          <t>Idbp</t>
        </is>
      </c>
      <c r="C72" s="10" t="n">
        <v>11</v>
      </c>
      <c r="D72" s="10" t="n">
        <v>29</v>
      </c>
      <c r="E72" s="17" t="n">
        <v>365</v>
      </c>
      <c r="F72" s="22" t="n">
        <v>0.0001</v>
      </c>
      <c r="G72" s="10" t="n">
        <v>1200</v>
      </c>
      <c r="H72" s="13" t="n">
        <v>0.0014</v>
      </c>
      <c r="I72" s="18" t="n">
        <v>10950</v>
      </c>
      <c r="J72" s="20" t="n">
        <v>11</v>
      </c>
      <c r="K72" s="19">
        <f>(F72*G72*E72*J72)/(D72*I72)</f>
        <v/>
      </c>
      <c r="L72" s="2">
        <f>(F72*G72*E72*5)/(D72*I72)</f>
        <v/>
      </c>
      <c r="M72" s="2">
        <f>(F72*G72*E72*10)/(D72*I72)</f>
        <v/>
      </c>
      <c r="N72" s="2">
        <f>(F72*G72*E72*15)/(D72*I72)</f>
        <v/>
      </c>
      <c r="O72" s="2">
        <f>(F72*G72*E72*20)/(D72*I72)</f>
        <v/>
      </c>
      <c r="P72" s="2">
        <f>(F72*G72*E72*25)/(D72*I72)</f>
        <v/>
      </c>
      <c r="Q72" s="2">
        <f>(F72*G72*E72*30)/(D72*I72)</f>
        <v/>
      </c>
      <c r="R72" s="2">
        <f>K72/H72</f>
        <v/>
      </c>
      <c r="S72" s="2">
        <f>L72/H72</f>
        <v/>
      </c>
      <c r="T72" s="2">
        <f>M72/H72</f>
        <v/>
      </c>
      <c r="U72" s="2">
        <f>N72/H72</f>
        <v/>
      </c>
      <c r="V72" s="2">
        <f>O72/H72</f>
        <v/>
      </c>
      <c r="W72" s="2">
        <f>P72/H72</f>
        <v/>
      </c>
      <c r="X72" s="2">
        <f>Q72/H72</f>
        <v/>
      </c>
      <c r="Y72" s="5">
        <f>IF(R72&gt;1,"1","2")</f>
        <v/>
      </c>
      <c r="Z72" s="5">
        <f>IF(S72&gt;1,"1","2")</f>
        <v/>
      </c>
      <c r="AA72" s="5">
        <f>IF(T72&gt;1,"1","2")</f>
        <v/>
      </c>
      <c r="AB72" s="5">
        <f>IF(U72&gt;1,"1","2")</f>
        <v/>
      </c>
      <c r="AC72" s="5">
        <f>IF(V72&gt;1,"1","2")</f>
        <v/>
      </c>
      <c r="AD72" s="5">
        <f>IF(W72&gt;1,"1","2")</f>
        <v/>
      </c>
      <c r="AE72" s="5">
        <f>IF(X72&gt;1,"1","2")</f>
        <v/>
      </c>
      <c r="AF72" t="n">
        <v>-5.157063</v>
      </c>
      <c r="AG72" t="n">
        <v>119.429718</v>
      </c>
    </row>
    <row r="73" ht="14.4" customHeight="1">
      <c r="A73" s="14" t="n">
        <v>70</v>
      </c>
      <c r="B73" s="15" t="inlineStr">
        <is>
          <t>Raf</t>
        </is>
      </c>
      <c r="C73" s="10" t="n">
        <v>11</v>
      </c>
      <c r="D73" s="10" t="n">
        <v>29</v>
      </c>
      <c r="E73" s="17" t="n">
        <v>365</v>
      </c>
      <c r="F73" s="22" t="n">
        <v>0.0001</v>
      </c>
      <c r="G73" s="10" t="n">
        <v>1200</v>
      </c>
      <c r="H73" s="13" t="n">
        <v>0.0014</v>
      </c>
      <c r="I73" s="18" t="n">
        <v>10950</v>
      </c>
      <c r="J73" s="20" t="n">
        <v>11</v>
      </c>
      <c r="K73" s="19">
        <f>(F73*G73*E73*J73)/(D73*I73)</f>
        <v/>
      </c>
      <c r="L73" s="2">
        <f>(F73*G73*E73*5)/(D73*I73)</f>
        <v/>
      </c>
      <c r="M73" s="2">
        <f>(F73*G73*E73*10)/(D73*I73)</f>
        <v/>
      </c>
      <c r="N73" s="2">
        <f>(F73*G73*E73*15)/(D73*I73)</f>
        <v/>
      </c>
      <c r="O73" s="2">
        <f>(F73*G73*E73*20)/(D73*I73)</f>
        <v/>
      </c>
      <c r="P73" s="2">
        <f>(F73*G73*E73*25)/(D73*I73)</f>
        <v/>
      </c>
      <c r="Q73" s="2">
        <f>(F73*G73*E73*30)/(D73*I73)</f>
        <v/>
      </c>
      <c r="R73" s="2">
        <f>K73/H73</f>
        <v/>
      </c>
      <c r="S73" s="2">
        <f>L73/H73</f>
        <v/>
      </c>
      <c r="T73" s="2">
        <f>M73/H73</f>
        <v/>
      </c>
      <c r="U73" s="2">
        <f>N73/H73</f>
        <v/>
      </c>
      <c r="V73" s="2">
        <f>O73/H73</f>
        <v/>
      </c>
      <c r="W73" s="2">
        <f>P73/H73</f>
        <v/>
      </c>
      <c r="X73" s="2">
        <f>Q73/H73</f>
        <v/>
      </c>
      <c r="Y73" s="5">
        <f>IF(R73&gt;1,"1","2")</f>
        <v/>
      </c>
      <c r="Z73" s="5">
        <f>IF(S73&gt;1,"1","2")</f>
        <v/>
      </c>
      <c r="AA73" s="5">
        <f>IF(T73&gt;1,"1","2")</f>
        <v/>
      </c>
      <c r="AB73" s="5">
        <f>IF(U73&gt;1,"1","2")</f>
        <v/>
      </c>
      <c r="AC73" s="5">
        <f>IF(V73&gt;1,"1","2")</f>
        <v/>
      </c>
      <c r="AD73" s="5">
        <f>IF(W73&gt;1,"1","2")</f>
        <v/>
      </c>
      <c r="AE73" s="5">
        <f>IF(X73&gt;1,"1","2")</f>
        <v/>
      </c>
      <c r="AF73" t="n">
        <v>-5.148807</v>
      </c>
      <c r="AG73" t="n">
        <v>119.425107</v>
      </c>
    </row>
    <row r="74" ht="14.4" customHeight="1">
      <c r="A74" s="14" t="n">
        <v>71</v>
      </c>
      <c r="B74" s="15" t="inlineStr">
        <is>
          <t>Igp</t>
        </is>
      </c>
      <c r="C74" s="10" t="n">
        <v>11</v>
      </c>
      <c r="D74" s="10" t="n">
        <v>20</v>
      </c>
      <c r="E74" s="17" t="n">
        <v>365</v>
      </c>
      <c r="F74" s="22" t="n">
        <v>0.0001</v>
      </c>
      <c r="G74" s="10" t="n">
        <v>900</v>
      </c>
      <c r="H74" s="13" t="n">
        <v>0.0014</v>
      </c>
      <c r="I74" s="18" t="n">
        <v>10950</v>
      </c>
      <c r="J74" s="20" t="n">
        <v>1</v>
      </c>
      <c r="K74" s="19">
        <f>(F74*G74*E74*J74)/(D74*I74)</f>
        <v/>
      </c>
      <c r="L74" s="2">
        <f>(F74*G74*E74*5)/(D74*I74)</f>
        <v/>
      </c>
      <c r="M74" s="2">
        <f>(F74*G74*E74*10)/(D74*I74)</f>
        <v/>
      </c>
      <c r="N74" s="2">
        <f>(F74*G74*E74*15)/(D74*I74)</f>
        <v/>
      </c>
      <c r="O74" s="2">
        <f>(F74*G74*E74*20)/(D74*I74)</f>
        <v/>
      </c>
      <c r="P74" s="2">
        <f>(F74*G74*E74*25)/(D74*I74)</f>
        <v/>
      </c>
      <c r="Q74" s="2">
        <f>(F74*G74*E74*30)/(D74*I74)</f>
        <v/>
      </c>
      <c r="R74" s="2">
        <f>K74/H74</f>
        <v/>
      </c>
      <c r="S74" s="2">
        <f>L74/H74</f>
        <v/>
      </c>
      <c r="T74" s="2">
        <f>M74/H74</f>
        <v/>
      </c>
      <c r="U74" s="2">
        <f>N74/H74</f>
        <v/>
      </c>
      <c r="V74" s="2">
        <f>O74/H74</f>
        <v/>
      </c>
      <c r="W74" s="2">
        <f>P74/H74</f>
        <v/>
      </c>
      <c r="X74" s="2">
        <f>Q74/H74</f>
        <v/>
      </c>
      <c r="Y74" s="5">
        <f>IF(R74&gt;1,"1","2")</f>
        <v/>
      </c>
      <c r="Z74" s="5">
        <f>IF(S74&gt;1,"1","2")</f>
        <v/>
      </c>
      <c r="AA74" s="5">
        <f>IF(T74&gt;1,"1","2")</f>
        <v/>
      </c>
      <c r="AB74" s="5">
        <f>IF(U74&gt;1,"1","2")</f>
        <v/>
      </c>
      <c r="AC74" s="5">
        <f>IF(V74&gt;1,"1","2")</f>
        <v/>
      </c>
      <c r="AD74" s="5">
        <f>IF(W74&gt;1,"1","2")</f>
        <v/>
      </c>
      <c r="AE74" s="5">
        <f>IF(X74&gt;1,"1","2")</f>
        <v/>
      </c>
      <c r="AF74" t="n">
        <v>-5.125611</v>
      </c>
      <c r="AG74" t="n">
        <v>119.425764</v>
      </c>
    </row>
    <row r="75" ht="14.4" customHeight="1">
      <c r="A75" s="14" t="n">
        <v>72</v>
      </c>
      <c r="B75" s="15" t="inlineStr">
        <is>
          <t>Kbi</t>
        </is>
      </c>
      <c r="C75" s="10" t="n">
        <v>11</v>
      </c>
      <c r="D75" s="10" t="n">
        <v>26</v>
      </c>
      <c r="E75" s="17" t="n">
        <v>365</v>
      </c>
      <c r="F75" s="22" t="n">
        <v>0.0001</v>
      </c>
      <c r="G75" s="10" t="n">
        <v>900</v>
      </c>
      <c r="H75" s="13" t="n">
        <v>0.0014</v>
      </c>
      <c r="I75" s="18" t="n">
        <v>10950</v>
      </c>
      <c r="J75" s="20" t="n">
        <v>1</v>
      </c>
      <c r="K75" s="19">
        <f>(F75*G75*E75*J75)/(D75*I75)</f>
        <v/>
      </c>
      <c r="L75" s="2">
        <f>(F75*G75*E75*5)/(D75*I75)</f>
        <v/>
      </c>
      <c r="M75" s="2">
        <f>(F75*G75*E75*10)/(D75*I75)</f>
        <v/>
      </c>
      <c r="N75" s="2">
        <f>(F75*G75*E75*15)/(D75*I75)</f>
        <v/>
      </c>
      <c r="O75" s="2">
        <f>(F75*G75*E75*20)/(D75*I75)</f>
        <v/>
      </c>
      <c r="P75" s="2">
        <f>(F75*G75*E75*25)/(D75*I75)</f>
        <v/>
      </c>
      <c r="Q75" s="2">
        <f>(F75*G75*E75*30)/(D75*I75)</f>
        <v/>
      </c>
      <c r="R75" s="2">
        <f>K75/H75</f>
        <v/>
      </c>
      <c r="S75" s="2">
        <f>L75/H75</f>
        <v/>
      </c>
      <c r="T75" s="2">
        <f>M75/H75</f>
        <v/>
      </c>
      <c r="U75" s="2">
        <f>N75/H75</f>
        <v/>
      </c>
      <c r="V75" s="2">
        <f>O75/H75</f>
        <v/>
      </c>
      <c r="W75" s="2">
        <f>P75/H75</f>
        <v/>
      </c>
      <c r="X75" s="2">
        <f>Q75/H75</f>
        <v/>
      </c>
      <c r="Y75" s="5">
        <f>IF(R75&gt;1,"1","2")</f>
        <v/>
      </c>
      <c r="Z75" s="5">
        <f>IF(S75&gt;1,"1","2")</f>
        <v/>
      </c>
      <c r="AA75" s="5">
        <f>IF(T75&gt;1,"1","2")</f>
        <v/>
      </c>
      <c r="AB75" s="5">
        <f>IF(U75&gt;1,"1","2")</f>
        <v/>
      </c>
      <c r="AC75" s="5">
        <f>IF(V75&gt;1,"1","2")</f>
        <v/>
      </c>
      <c r="AD75" s="5">
        <f>IF(W75&gt;1,"1","2")</f>
        <v/>
      </c>
      <c r="AE75" s="5">
        <f>IF(X75&gt;1,"1","2")</f>
        <v/>
      </c>
      <c r="AF75" t="n">
        <v>-5.141966</v>
      </c>
      <c r="AG75" t="n">
        <v>119.421831</v>
      </c>
    </row>
    <row r="76" ht="14.4" customHeight="1">
      <c r="A76" s="14" t="n">
        <v>73</v>
      </c>
      <c r="B76" s="15" t="inlineStr">
        <is>
          <t>Iwp</t>
        </is>
      </c>
      <c r="C76" s="10" t="n">
        <v>11</v>
      </c>
      <c r="D76" s="10" t="n">
        <v>31</v>
      </c>
      <c r="E76" s="17" t="n">
        <v>365</v>
      </c>
      <c r="F76" s="22" t="n">
        <v>0.0001</v>
      </c>
      <c r="G76" s="10" t="n">
        <v>1200</v>
      </c>
      <c r="H76" s="13" t="n">
        <v>0.0014</v>
      </c>
      <c r="I76" s="18" t="n">
        <v>10950</v>
      </c>
      <c r="J76" s="20" t="n">
        <v>11</v>
      </c>
      <c r="K76" s="19">
        <f>(F76*G76*E76*J76)/(D76*I76)</f>
        <v/>
      </c>
      <c r="L76" s="2">
        <f>(F76*G76*E76*5)/(D76*I76)</f>
        <v/>
      </c>
      <c r="M76" s="2">
        <f>(F76*G76*E76*10)/(D76*I76)</f>
        <v/>
      </c>
      <c r="N76" s="2">
        <f>(F76*G76*E76*15)/(D76*I76)</f>
        <v/>
      </c>
      <c r="O76" s="2">
        <f>(F76*G76*E76*20)/(D76*I76)</f>
        <v/>
      </c>
      <c r="P76" s="2">
        <f>(F76*G76*E76*25)/(D76*I76)</f>
        <v/>
      </c>
      <c r="Q76" s="2">
        <f>(F76*G76*E76*30)/(D76*I76)</f>
        <v/>
      </c>
      <c r="R76" s="2">
        <f>K76/H76</f>
        <v/>
      </c>
      <c r="S76" s="2">
        <f>L76/H76</f>
        <v/>
      </c>
      <c r="T76" s="2">
        <f>M76/H76</f>
        <v/>
      </c>
      <c r="U76" s="2">
        <f>N76/H76</f>
        <v/>
      </c>
      <c r="V76" s="2">
        <f>O76/H76</f>
        <v/>
      </c>
      <c r="W76" s="2">
        <f>P76/H76</f>
        <v/>
      </c>
      <c r="X76" s="2">
        <f>Q76/H76</f>
        <v/>
      </c>
      <c r="Y76" s="5">
        <f>IF(R76&gt;1,"1","2")</f>
        <v/>
      </c>
      <c r="Z76" s="5">
        <f>IF(S76&gt;1,"1","2")</f>
        <v/>
      </c>
      <c r="AA76" s="5">
        <f>IF(T76&gt;1,"1","2")</f>
        <v/>
      </c>
      <c r="AB76" s="5">
        <f>IF(U76&gt;1,"1","2")</f>
        <v/>
      </c>
      <c r="AC76" s="5">
        <f>IF(V76&gt;1,"1","2")</f>
        <v/>
      </c>
      <c r="AD76" s="5">
        <f>IF(W76&gt;1,"1","2")</f>
        <v/>
      </c>
      <c r="AE76" s="5">
        <f>IF(X76&gt;1,"1","2")</f>
        <v/>
      </c>
      <c r="AF76" t="n">
        <v>-5.145178</v>
      </c>
      <c r="AG76" t="n">
        <v>119.447509</v>
      </c>
    </row>
    <row r="77" ht="14.4" customHeight="1">
      <c r="A77" s="14" t="n">
        <v>74</v>
      </c>
      <c r="B77" s="15" t="inlineStr">
        <is>
          <t>Suk</t>
        </is>
      </c>
      <c r="C77" s="10" t="n">
        <v>11</v>
      </c>
      <c r="D77" s="10" t="n">
        <v>28</v>
      </c>
      <c r="E77" s="17" t="n">
        <v>365</v>
      </c>
      <c r="F77" s="22" t="n">
        <v>0.0001</v>
      </c>
      <c r="G77" s="10" t="n">
        <v>1200</v>
      </c>
      <c r="H77" s="13" t="n">
        <v>0.0014</v>
      </c>
      <c r="I77" s="18" t="n">
        <v>10950</v>
      </c>
      <c r="J77" s="20" t="n">
        <v>11</v>
      </c>
      <c r="K77" s="19">
        <f>(F77*G77*E77*J77)/(D77*I77)</f>
        <v/>
      </c>
      <c r="L77" s="2">
        <f>(F77*G77*E77*5)/(D77*I77)</f>
        <v/>
      </c>
      <c r="M77" s="2">
        <f>(F77*G77*E77*10)/(D77*I77)</f>
        <v/>
      </c>
      <c r="N77" s="2">
        <f>(F77*G77*E77*15)/(D77*I77)</f>
        <v/>
      </c>
      <c r="O77" s="2">
        <f>(F77*G77*E77*20)/(D77*I77)</f>
        <v/>
      </c>
      <c r="P77" s="2">
        <f>(F77*G77*E77*25)/(D77*I77)</f>
        <v/>
      </c>
      <c r="Q77" s="2">
        <f>(F77*G77*E77*30)/(D77*I77)</f>
        <v/>
      </c>
      <c r="R77" s="2">
        <f>K77/H77</f>
        <v/>
      </c>
      <c r="S77" s="2">
        <f>L77/H77</f>
        <v/>
      </c>
      <c r="T77" s="2">
        <f>M77/H77</f>
        <v/>
      </c>
      <c r="U77" s="2">
        <f>N77/H77</f>
        <v/>
      </c>
      <c r="V77" s="2">
        <f>O77/H77</f>
        <v/>
      </c>
      <c r="W77" s="2">
        <f>P77/H77</f>
        <v/>
      </c>
      <c r="X77" s="2">
        <f>Q77/H77</f>
        <v/>
      </c>
      <c r="Y77" s="5">
        <f>IF(R77&gt;1,"1","2")</f>
        <v/>
      </c>
      <c r="Z77" s="5">
        <f>IF(S77&gt;1,"1","2")</f>
        <v/>
      </c>
      <c r="AA77" s="5">
        <f>IF(T77&gt;1,"1","2")</f>
        <v/>
      </c>
      <c r="AB77" s="5">
        <f>IF(U77&gt;1,"1","2")</f>
        <v/>
      </c>
      <c r="AC77" s="5">
        <f>IF(V77&gt;1,"1","2")</f>
        <v/>
      </c>
      <c r="AD77" s="5">
        <f>IF(W77&gt;1,"1","2")</f>
        <v/>
      </c>
      <c r="AE77" s="5">
        <f>IF(X77&gt;1,"1","2")</f>
        <v/>
      </c>
      <c r="AF77" t="n">
        <v>-5.128035</v>
      </c>
      <c r="AG77" t="n">
        <v>119.416295</v>
      </c>
    </row>
    <row r="78" ht="14.4" customHeight="1">
      <c r="A78" s="14" t="n">
        <v>75</v>
      </c>
      <c r="B78" s="15" t="inlineStr">
        <is>
          <t>Tyr</t>
        </is>
      </c>
      <c r="C78" s="10" t="n">
        <v>11</v>
      </c>
      <c r="D78" s="10" t="n">
        <v>35</v>
      </c>
      <c r="E78" s="17" t="n">
        <v>365</v>
      </c>
      <c r="F78" s="22" t="n">
        <v>0.0001</v>
      </c>
      <c r="G78" s="10" t="n">
        <v>900</v>
      </c>
      <c r="H78" s="13" t="n">
        <v>0.0014</v>
      </c>
      <c r="I78" s="18" t="n">
        <v>10950</v>
      </c>
      <c r="J78" s="20" t="n">
        <v>6</v>
      </c>
      <c r="K78" s="19">
        <f>(F78*G78*E78*J78)/(D78*I78)</f>
        <v/>
      </c>
      <c r="L78" s="2">
        <f>(F78*G78*E78*5)/(D78*I78)</f>
        <v/>
      </c>
      <c r="M78" s="2">
        <f>(F78*G78*E78*10)/(D78*I78)</f>
        <v/>
      </c>
      <c r="N78" s="2">
        <f>(F78*G78*E78*15)/(D78*I78)</f>
        <v/>
      </c>
      <c r="O78" s="2">
        <f>(F78*G78*E78*20)/(D78*I78)</f>
        <v/>
      </c>
      <c r="P78" s="2">
        <f>(F78*G78*E78*25)/(D78*I78)</f>
        <v/>
      </c>
      <c r="Q78" s="2">
        <f>(F78*G78*E78*30)/(D78*I78)</f>
        <v/>
      </c>
      <c r="R78" s="2">
        <f>K78/H78</f>
        <v/>
      </c>
      <c r="S78" s="2">
        <f>L78/H78</f>
        <v/>
      </c>
      <c r="T78" s="2">
        <f>M78/H78</f>
        <v/>
      </c>
      <c r="U78" s="2">
        <f>N78/H78</f>
        <v/>
      </c>
      <c r="V78" s="2">
        <f>O78/H78</f>
        <v/>
      </c>
      <c r="W78" s="2">
        <f>P78/H78</f>
        <v/>
      </c>
      <c r="X78" s="2">
        <f>Q78/H78</f>
        <v/>
      </c>
      <c r="Y78" s="5">
        <f>IF(R78&gt;1,"1","2")</f>
        <v/>
      </c>
      <c r="Z78" s="5">
        <f>IF(S78&gt;1,"1","2")</f>
        <v/>
      </c>
      <c r="AA78" s="5">
        <f>IF(T78&gt;1,"1","2")</f>
        <v/>
      </c>
      <c r="AB78" s="5">
        <f>IF(U78&gt;1,"1","2")</f>
        <v/>
      </c>
      <c r="AC78" s="5">
        <f>IF(V78&gt;1,"1","2")</f>
        <v/>
      </c>
      <c r="AD78" s="5">
        <f>IF(W78&gt;1,"1","2")</f>
        <v/>
      </c>
      <c r="AE78" s="5">
        <f>IF(X78&gt;1,"1","2")</f>
        <v/>
      </c>
      <c r="AF78" t="n">
        <v>-5.127421</v>
      </c>
      <c r="AG78" t="n">
        <v>119.404801</v>
      </c>
    </row>
    <row r="79" ht="14.4" customHeight="1">
      <c r="A79" s="14" t="n">
        <v>76</v>
      </c>
      <c r="B79" s="15" t="inlineStr">
        <is>
          <t>Iwd</t>
        </is>
      </c>
      <c r="C79" s="10" t="n">
        <v>11</v>
      </c>
      <c r="D79" s="10" t="n">
        <v>31</v>
      </c>
      <c r="E79" s="17" t="n">
        <v>365</v>
      </c>
      <c r="F79" s="22" t="n">
        <v>0.0001</v>
      </c>
      <c r="G79" s="10" t="n">
        <v>1200</v>
      </c>
      <c r="H79" s="13" t="n">
        <v>0.0014</v>
      </c>
      <c r="I79" s="18" t="n">
        <v>10950</v>
      </c>
      <c r="J79" s="20" t="n">
        <v>11</v>
      </c>
      <c r="K79" s="19">
        <f>(F79*G79*E79*J79)/(D79*I79)</f>
        <v/>
      </c>
      <c r="L79" s="2">
        <f>(F79*G79*E79*5)/(D79*I79)</f>
        <v/>
      </c>
      <c r="M79" s="2">
        <f>(F79*G79*E79*10)/(D79*I79)</f>
        <v/>
      </c>
      <c r="N79" s="2">
        <f>(F79*G79*E79*15)/(D79*I79)</f>
        <v/>
      </c>
      <c r="O79" s="2">
        <f>(F79*G79*E79*20)/(D79*I79)</f>
        <v/>
      </c>
      <c r="P79" s="2">
        <f>(F79*G79*E79*25)/(D79*I79)</f>
        <v/>
      </c>
      <c r="Q79" s="2">
        <f>(F79*G79*E79*30)/(D79*I79)</f>
        <v/>
      </c>
      <c r="R79" s="2">
        <f>K79/H79</f>
        <v/>
      </c>
      <c r="S79" s="2">
        <f>L79/H79</f>
        <v/>
      </c>
      <c r="T79" s="2">
        <f>M79/H79</f>
        <v/>
      </c>
      <c r="U79" s="2">
        <f>N79/H79</f>
        <v/>
      </c>
      <c r="V79" s="2">
        <f>O79/H79</f>
        <v/>
      </c>
      <c r="W79" s="2">
        <f>P79/H79</f>
        <v/>
      </c>
      <c r="X79" s="2">
        <f>Q79/H79</f>
        <v/>
      </c>
      <c r="Y79" s="5">
        <f>IF(R79&gt;1,"1","2")</f>
        <v/>
      </c>
      <c r="Z79" s="5">
        <f>IF(S79&gt;1,"1","2")</f>
        <v/>
      </c>
      <c r="AA79" s="5">
        <f>IF(T79&gt;1,"1","2")</f>
        <v/>
      </c>
      <c r="AB79" s="5">
        <f>IF(U79&gt;1,"1","2")</f>
        <v/>
      </c>
      <c r="AC79" s="5">
        <f>IF(V79&gt;1,"1","2")</f>
        <v/>
      </c>
      <c r="AD79" s="5">
        <f>IF(W79&gt;1,"1","2")</f>
        <v/>
      </c>
      <c r="AE79" s="5">
        <f>IF(X79&gt;1,"1","2")</f>
        <v/>
      </c>
      <c r="AF79" t="n">
        <v>-5.154187</v>
      </c>
      <c r="AG79" t="n">
        <v>119.417476</v>
      </c>
    </row>
    <row r="80" ht="14.4" customHeight="1">
      <c r="A80" s="14" t="n">
        <v>77</v>
      </c>
      <c r="B80" s="15" t="inlineStr">
        <is>
          <t>Gbt</t>
        </is>
      </c>
      <c r="C80" s="10" t="n">
        <v>11</v>
      </c>
      <c r="D80" s="10" t="n">
        <v>20</v>
      </c>
      <c r="E80" s="17" t="n">
        <v>365</v>
      </c>
      <c r="F80" s="22" t="n">
        <v>0.0001</v>
      </c>
      <c r="G80" s="10" t="n">
        <v>900</v>
      </c>
      <c r="H80" s="13" t="n">
        <v>0.0014</v>
      </c>
      <c r="I80" s="18" t="n">
        <v>10950</v>
      </c>
      <c r="J80" s="20" t="n">
        <v>1</v>
      </c>
      <c r="K80" s="19">
        <f>(F80*G80*E80*J80)/(D80*I80)</f>
        <v/>
      </c>
      <c r="L80" s="2">
        <f>(F80*G80*E80*5)/(D80*I80)</f>
        <v/>
      </c>
      <c r="M80" s="2">
        <f>(F80*G80*E80*10)/(D80*I80)</f>
        <v/>
      </c>
      <c r="N80" s="2">
        <f>(F80*G80*E80*15)/(D80*I80)</f>
        <v/>
      </c>
      <c r="O80" s="2">
        <f>(F80*G80*E80*20)/(D80*I80)</f>
        <v/>
      </c>
      <c r="P80" s="2">
        <f>(F80*G80*E80*25)/(D80*I80)</f>
        <v/>
      </c>
      <c r="Q80" s="2">
        <f>(F80*G80*E80*30)/(D80*I80)</f>
        <v/>
      </c>
      <c r="R80" s="2">
        <f>K80/H80</f>
        <v/>
      </c>
      <c r="S80" s="2">
        <f>L80/H80</f>
        <v/>
      </c>
      <c r="T80" s="2">
        <f>M80/H80</f>
        <v/>
      </c>
      <c r="U80" s="2">
        <f>N80/H80</f>
        <v/>
      </c>
      <c r="V80" s="2">
        <f>O80/H80</f>
        <v/>
      </c>
      <c r="W80" s="2">
        <f>P80/H80</f>
        <v/>
      </c>
      <c r="X80" s="2">
        <f>Q80/H80</f>
        <v/>
      </c>
      <c r="Y80" s="5">
        <f>IF(R80&gt;1,"1","2")</f>
        <v/>
      </c>
      <c r="Z80" s="5">
        <f>IF(S80&gt;1,"1","2")</f>
        <v/>
      </c>
      <c r="AA80" s="5">
        <f>IF(T80&gt;1,"1","2")</f>
        <v/>
      </c>
      <c r="AB80" s="5">
        <f>IF(U80&gt;1,"1","2")</f>
        <v/>
      </c>
      <c r="AC80" s="5">
        <f>IF(V80&gt;1,"1","2")</f>
        <v/>
      </c>
      <c r="AD80" s="5">
        <f>IF(W80&gt;1,"1","2")</f>
        <v/>
      </c>
      <c r="AE80" s="5">
        <f>IF(X80&gt;1,"1","2")</f>
        <v/>
      </c>
      <c r="AF80" t="n">
        <v>-5.14914</v>
      </c>
      <c r="AG80" t="n">
        <v>119.427095</v>
      </c>
    </row>
    <row r="81" ht="14.4" customHeight="1">
      <c r="A81" s="14" t="n">
        <v>78</v>
      </c>
      <c r="B81" s="15" t="inlineStr">
        <is>
          <t>Put</t>
        </is>
      </c>
      <c r="C81" s="10" t="n">
        <v>11</v>
      </c>
      <c r="D81" s="10" t="n">
        <v>33</v>
      </c>
      <c r="E81" s="17" t="n">
        <v>365</v>
      </c>
      <c r="F81" s="22" t="n">
        <v>0.0001</v>
      </c>
      <c r="G81" s="10" t="n">
        <v>900</v>
      </c>
      <c r="H81" s="13" t="n">
        <v>0.0014</v>
      </c>
      <c r="I81" s="18" t="n">
        <v>10950</v>
      </c>
      <c r="J81" s="20" t="n">
        <v>11</v>
      </c>
      <c r="K81" s="19">
        <f>(F81*G81*E81*J81)/(D81*I81)</f>
        <v/>
      </c>
      <c r="L81" s="2">
        <f>(F81*G81*E81*5)/(D81*I81)</f>
        <v/>
      </c>
      <c r="M81" s="2">
        <f>(F81*G81*E81*10)/(D81*I81)</f>
        <v/>
      </c>
      <c r="N81" s="2">
        <f>(F81*G81*E81*15)/(D81*I81)</f>
        <v/>
      </c>
      <c r="O81" s="2">
        <f>(F81*G81*E81*20)/(D81*I81)</f>
        <v/>
      </c>
      <c r="P81" s="2">
        <f>(F81*G81*E81*25)/(D81*I81)</f>
        <v/>
      </c>
      <c r="Q81" s="2">
        <f>(F81*G81*E81*30)/(D81*I81)</f>
        <v/>
      </c>
      <c r="R81" s="2">
        <f>K81/H81</f>
        <v/>
      </c>
      <c r="S81" s="2">
        <f>L81/H81</f>
        <v/>
      </c>
      <c r="T81" s="2">
        <f>M81/H81</f>
        <v/>
      </c>
      <c r="U81" s="2">
        <f>N81/H81</f>
        <v/>
      </c>
      <c r="V81" s="2">
        <f>O81/H81</f>
        <v/>
      </c>
      <c r="W81" s="2">
        <f>P81/H81</f>
        <v/>
      </c>
      <c r="X81" s="2">
        <f>Q81/H81</f>
        <v/>
      </c>
      <c r="Y81" s="5">
        <f>IF(R81&gt;1,"1","2")</f>
        <v/>
      </c>
      <c r="Z81" s="5">
        <f>IF(S81&gt;1,"1","2")</f>
        <v/>
      </c>
      <c r="AA81" s="5">
        <f>IF(T81&gt;1,"1","2")</f>
        <v/>
      </c>
      <c r="AB81" s="5">
        <f>IF(U81&gt;1,"1","2")</f>
        <v/>
      </c>
      <c r="AC81" s="5">
        <f>IF(V81&gt;1,"1","2")</f>
        <v/>
      </c>
      <c r="AD81" s="5">
        <f>IF(W81&gt;1,"1","2")</f>
        <v/>
      </c>
      <c r="AE81" s="5">
        <f>IF(X81&gt;1,"1","2")</f>
        <v/>
      </c>
      <c r="AF81" t="n">
        <v>-5.139762</v>
      </c>
      <c r="AG81" t="n">
        <v>119.422664</v>
      </c>
    </row>
    <row r="82" ht="14.4" customHeight="1">
      <c r="A82" s="14" t="n">
        <v>79</v>
      </c>
      <c r="B82" s="15" t="inlineStr">
        <is>
          <t>Bak</t>
        </is>
      </c>
      <c r="C82" s="10" t="n">
        <v>11</v>
      </c>
      <c r="D82" s="10" t="n">
        <v>32</v>
      </c>
      <c r="E82" s="17" t="n">
        <v>365</v>
      </c>
      <c r="F82" s="22" t="n">
        <v>0.0001</v>
      </c>
      <c r="G82" s="10" t="n">
        <v>900</v>
      </c>
      <c r="H82" s="13" t="n">
        <v>0.0014</v>
      </c>
      <c r="I82" s="18" t="n">
        <v>10950</v>
      </c>
      <c r="J82" s="20" t="n">
        <v>11</v>
      </c>
      <c r="K82" s="19">
        <f>(F82*G82*E82*J82)/(D82*I82)</f>
        <v/>
      </c>
      <c r="L82" s="2">
        <f>(F82*G82*E82*5)/(D82*I82)</f>
        <v/>
      </c>
      <c r="M82" s="2">
        <f>(F82*G82*E82*10)/(D82*I82)</f>
        <v/>
      </c>
      <c r="N82" s="2">
        <f>(F82*G82*E82*15)/(D82*I82)</f>
        <v/>
      </c>
      <c r="O82" s="2">
        <f>(F82*G82*E82*20)/(D82*I82)</f>
        <v/>
      </c>
      <c r="P82" s="2">
        <f>(F82*G82*E82*25)/(D82*I82)</f>
        <v/>
      </c>
      <c r="Q82" s="2">
        <f>(F82*G82*E82*30)/(D82*I82)</f>
        <v/>
      </c>
      <c r="R82" s="2">
        <f>K82/H82</f>
        <v/>
      </c>
      <c r="S82" s="2">
        <f>L82/H82</f>
        <v/>
      </c>
      <c r="T82" s="2">
        <f>M82/H82</f>
        <v/>
      </c>
      <c r="U82" s="2">
        <f>N82/H82</f>
        <v/>
      </c>
      <c r="V82" s="2">
        <f>O82/H82</f>
        <v/>
      </c>
      <c r="W82" s="2">
        <f>P82/H82</f>
        <v/>
      </c>
      <c r="X82" s="2">
        <f>Q82/H82</f>
        <v/>
      </c>
      <c r="Y82" s="5">
        <f>IF(R82&gt;1,"1","2")</f>
        <v/>
      </c>
      <c r="Z82" s="5">
        <f>IF(S82&gt;1,"1","2")</f>
        <v/>
      </c>
      <c r="AA82" s="5">
        <f>IF(T82&gt;1,"1","2")</f>
        <v/>
      </c>
      <c r="AB82" s="5">
        <f>IF(U82&gt;1,"1","2")</f>
        <v/>
      </c>
      <c r="AC82" s="5">
        <f>IF(V82&gt;1,"1","2")</f>
        <v/>
      </c>
      <c r="AD82" s="5">
        <f>IF(W82&gt;1,"1","2")</f>
        <v/>
      </c>
      <c r="AE82" s="5">
        <f>IF(X82&gt;1,"1","2")</f>
        <v/>
      </c>
      <c r="AF82" t="n">
        <v>-5.154211</v>
      </c>
      <c r="AG82" t="n">
        <v>119.424495</v>
      </c>
    </row>
    <row r="83" ht="14.4" customHeight="1">
      <c r="A83" s="14" t="n">
        <v>80</v>
      </c>
      <c r="B83" s="15" t="inlineStr">
        <is>
          <t>Aik</t>
        </is>
      </c>
      <c r="C83" s="10" t="n">
        <v>11</v>
      </c>
      <c r="D83" s="10" t="n">
        <v>23</v>
      </c>
      <c r="E83" s="17" t="n">
        <v>365</v>
      </c>
      <c r="F83" s="22" t="n">
        <v>0.0001</v>
      </c>
      <c r="G83" s="10" t="n">
        <v>900</v>
      </c>
      <c r="H83" s="13" t="n">
        <v>0.0014</v>
      </c>
      <c r="I83" s="18" t="n">
        <v>10950</v>
      </c>
      <c r="J83" s="20" t="n">
        <v>11</v>
      </c>
      <c r="K83" s="19">
        <f>(F83*G83*E83*J83)/(D83*I83)</f>
        <v/>
      </c>
      <c r="L83" s="2">
        <f>(F83*G83*E83*5)/(D83*I83)</f>
        <v/>
      </c>
      <c r="M83" s="2">
        <f>(F83*G83*E83*10)/(D83*I83)</f>
        <v/>
      </c>
      <c r="N83" s="2">
        <f>(F83*G83*E83*15)/(D83*I83)</f>
        <v/>
      </c>
      <c r="O83" s="2">
        <f>(F83*G83*E83*20)/(D83*I83)</f>
        <v/>
      </c>
      <c r="P83" s="2">
        <f>(F83*G83*E83*25)/(D83*I83)</f>
        <v/>
      </c>
      <c r="Q83" s="2">
        <f>(F83*G83*E83*30)/(D83*I83)</f>
        <v/>
      </c>
      <c r="R83" s="2">
        <f>K83/H83</f>
        <v/>
      </c>
      <c r="S83" s="2">
        <f>L83/H83</f>
        <v/>
      </c>
      <c r="T83" s="2">
        <f>M83/H83</f>
        <v/>
      </c>
      <c r="U83" s="2">
        <f>N83/H83</f>
        <v/>
      </c>
      <c r="V83" s="2">
        <f>O83/H83</f>
        <v/>
      </c>
      <c r="W83" s="2">
        <f>P83/H83</f>
        <v/>
      </c>
      <c r="X83" s="2">
        <f>Q83/H83</f>
        <v/>
      </c>
      <c r="Y83" s="5">
        <f>IF(R83&gt;1,"1","2")</f>
        <v/>
      </c>
      <c r="Z83" s="5">
        <f>IF(S83&gt;1,"1","2")</f>
        <v/>
      </c>
      <c r="AA83" s="5">
        <f>IF(T83&gt;1,"1","2")</f>
        <v/>
      </c>
      <c r="AB83" s="5">
        <f>IF(U83&gt;1,"1","2")</f>
        <v/>
      </c>
      <c r="AC83" s="5">
        <f>IF(V83&gt;1,"1","2")</f>
        <v/>
      </c>
      <c r="AD83" s="5">
        <f>IF(W83&gt;1,"1","2")</f>
        <v/>
      </c>
      <c r="AE83" s="5">
        <f>IF(X83&gt;1,"1","2")</f>
        <v/>
      </c>
      <c r="AF83" t="n">
        <v>-5.140154</v>
      </c>
      <c r="AG83" t="n">
        <v>119.442838</v>
      </c>
    </row>
    <row r="84" ht="14.4" customHeight="1">
      <c r="A84" s="14" t="n">
        <v>81</v>
      </c>
      <c r="B84" s="15" t="inlineStr">
        <is>
          <t>Aul</t>
        </is>
      </c>
      <c r="C84" s="10" t="n">
        <v>11</v>
      </c>
      <c r="D84" s="10" t="n">
        <v>34</v>
      </c>
      <c r="E84" s="17" t="n">
        <v>365</v>
      </c>
      <c r="F84" s="22" t="n">
        <v>0.0001</v>
      </c>
      <c r="G84" s="10" t="n">
        <v>1200</v>
      </c>
      <c r="H84" s="13" t="n">
        <v>0.0014</v>
      </c>
      <c r="I84" s="18" t="n">
        <v>10950</v>
      </c>
      <c r="J84" s="20" t="n">
        <v>11</v>
      </c>
      <c r="K84" s="19">
        <f>(F84*G84*E84*J84)/(D84*I84)</f>
        <v/>
      </c>
      <c r="L84" s="2">
        <f>(F84*G84*E84*5)/(D84*I84)</f>
        <v/>
      </c>
      <c r="M84" s="2">
        <f>(F84*G84*E84*10)/(D84*I84)</f>
        <v/>
      </c>
      <c r="N84" s="2">
        <f>(F84*G84*E84*15)/(D84*I84)</f>
        <v/>
      </c>
      <c r="O84" s="2">
        <f>(F84*G84*E84*20)/(D84*I84)</f>
        <v/>
      </c>
      <c r="P84" s="2">
        <f>(F84*G84*E84*25)/(D84*I84)</f>
        <v/>
      </c>
      <c r="Q84" s="2">
        <f>(F84*G84*E84*30)/(D84*I84)</f>
        <v/>
      </c>
      <c r="R84" s="2">
        <f>K84/H84</f>
        <v/>
      </c>
      <c r="S84" s="2">
        <f>L84/H84</f>
        <v/>
      </c>
      <c r="T84" s="2">
        <f>M84/H84</f>
        <v/>
      </c>
      <c r="U84" s="2">
        <f>N84/H84</f>
        <v/>
      </c>
      <c r="V84" s="2">
        <f>O84/H84</f>
        <v/>
      </c>
      <c r="W84" s="2">
        <f>P84/H84</f>
        <v/>
      </c>
      <c r="X84" s="2">
        <f>Q84/H84</f>
        <v/>
      </c>
      <c r="Y84" s="5">
        <f>IF(R84&gt;1,"1","2")</f>
        <v/>
      </c>
      <c r="Z84" s="5">
        <f>IF(S84&gt;1,"1","2")</f>
        <v/>
      </c>
      <c r="AA84" s="5">
        <f>IF(T84&gt;1,"1","2")</f>
        <v/>
      </c>
      <c r="AB84" s="5">
        <f>IF(U84&gt;1,"1","2")</f>
        <v/>
      </c>
      <c r="AC84" s="5">
        <f>IF(V84&gt;1,"1","2")</f>
        <v/>
      </c>
      <c r="AD84" s="5">
        <f>IF(W84&gt;1,"1","2")</f>
        <v/>
      </c>
      <c r="AE84" s="5">
        <f>IF(X84&gt;1,"1","2")</f>
        <v/>
      </c>
      <c r="AF84" t="n">
        <v>-5.130739</v>
      </c>
      <c r="AG84" t="n">
        <v>119.445703</v>
      </c>
    </row>
    <row r="85" ht="14.4" customHeight="1">
      <c r="A85" s="14" t="n">
        <v>82</v>
      </c>
      <c r="B85" s="15" t="inlineStr">
        <is>
          <t>Ari</t>
        </is>
      </c>
      <c r="C85" s="10" t="n">
        <v>11</v>
      </c>
      <c r="D85" s="10" t="n">
        <v>32</v>
      </c>
      <c r="E85" s="17" t="n">
        <v>365</v>
      </c>
      <c r="F85" s="22" t="n">
        <v>0.0001</v>
      </c>
      <c r="G85" s="10" t="n">
        <v>900</v>
      </c>
      <c r="H85" s="13" t="n">
        <v>0.0014</v>
      </c>
      <c r="I85" s="18" t="n">
        <v>10950</v>
      </c>
      <c r="J85" s="20" t="n">
        <v>11</v>
      </c>
      <c r="K85" s="19">
        <f>(F85*G85*E85*J85)/(D85*I85)</f>
        <v/>
      </c>
      <c r="L85" s="2">
        <f>(F85*G85*E85*5)/(D85*I85)</f>
        <v/>
      </c>
      <c r="M85" s="2">
        <f>(F85*G85*E85*10)/(D85*I85)</f>
        <v/>
      </c>
      <c r="N85" s="2">
        <f>(F85*G85*E85*15)/(D85*I85)</f>
        <v/>
      </c>
      <c r="O85" s="2">
        <f>(F85*G85*E85*20)/(D85*I85)</f>
        <v/>
      </c>
      <c r="P85" s="2">
        <f>(F85*G85*E85*25)/(D85*I85)</f>
        <v/>
      </c>
      <c r="Q85" s="2">
        <f>(F85*G85*E85*30)/(D85*I85)</f>
        <v/>
      </c>
      <c r="R85" s="2">
        <f>K85/H85</f>
        <v/>
      </c>
      <c r="S85" s="2">
        <f>L85/H85</f>
        <v/>
      </c>
      <c r="T85" s="2">
        <f>M85/H85</f>
        <v/>
      </c>
      <c r="U85" s="2">
        <f>N85/H85</f>
        <v/>
      </c>
      <c r="V85" s="2">
        <f>O85/H85</f>
        <v/>
      </c>
      <c r="W85" s="2">
        <f>P85/H85</f>
        <v/>
      </c>
      <c r="X85" s="2">
        <f>Q85/H85</f>
        <v/>
      </c>
      <c r="Y85" s="5">
        <f>IF(R85&gt;1,"1","2")</f>
        <v/>
      </c>
      <c r="Z85" s="5">
        <f>IF(S85&gt;1,"1","2")</f>
        <v/>
      </c>
      <c r="AA85" s="5">
        <f>IF(T85&gt;1,"1","2")</f>
        <v/>
      </c>
      <c r="AB85" s="5">
        <f>IF(U85&gt;1,"1","2")</f>
        <v/>
      </c>
      <c r="AC85" s="5">
        <f>IF(V85&gt;1,"1","2")</f>
        <v/>
      </c>
      <c r="AD85" s="5">
        <f>IF(W85&gt;1,"1","2")</f>
        <v/>
      </c>
      <c r="AE85" s="5">
        <f>IF(X85&gt;1,"1","2")</f>
        <v/>
      </c>
      <c r="AF85" t="n">
        <v>-5.152016</v>
      </c>
      <c r="AG85" t="n">
        <v>119.430753</v>
      </c>
    </row>
    <row r="86" ht="14.4" customHeight="1">
      <c r="A86" s="14" t="n">
        <v>83</v>
      </c>
      <c r="B86" s="15" t="inlineStr">
        <is>
          <t>Tia</t>
        </is>
      </c>
      <c r="C86" s="10" t="n">
        <v>11</v>
      </c>
      <c r="D86" s="10" t="n">
        <v>35</v>
      </c>
      <c r="E86" s="17" t="n">
        <v>365</v>
      </c>
      <c r="F86" s="22" t="n">
        <v>0.0001</v>
      </c>
      <c r="G86" s="10" t="n">
        <v>900</v>
      </c>
      <c r="H86" s="13" t="n">
        <v>0.0014</v>
      </c>
      <c r="I86" s="18" t="n">
        <v>10950</v>
      </c>
      <c r="J86" s="20" t="n">
        <v>6</v>
      </c>
      <c r="K86" s="19">
        <f>(F86*G86*E86*J86)/(D86*I86)</f>
        <v/>
      </c>
      <c r="L86" s="2">
        <f>(F86*G86*E86*5)/(D86*I86)</f>
        <v/>
      </c>
      <c r="M86" s="2">
        <f>(F86*G86*E86*10)/(D86*I86)</f>
        <v/>
      </c>
      <c r="N86" s="2">
        <f>(F86*G86*E86*15)/(D86*I86)</f>
        <v/>
      </c>
      <c r="O86" s="2">
        <f>(F86*G86*E86*20)/(D86*I86)</f>
        <v/>
      </c>
      <c r="P86" s="2">
        <f>(F86*G86*E86*25)/(D86*I86)</f>
        <v/>
      </c>
      <c r="Q86" s="2">
        <f>(F86*G86*E86*30)/(D86*I86)</f>
        <v/>
      </c>
      <c r="R86" s="2">
        <f>K86/H86</f>
        <v/>
      </c>
      <c r="S86" s="2">
        <f>L86/H86</f>
        <v/>
      </c>
      <c r="T86" s="2">
        <f>M86/H86</f>
        <v/>
      </c>
      <c r="U86" s="2">
        <f>N86/H86</f>
        <v/>
      </c>
      <c r="V86" s="2">
        <f>O86/H86</f>
        <v/>
      </c>
      <c r="W86" s="2">
        <f>P86/H86</f>
        <v/>
      </c>
      <c r="X86" s="2">
        <f>Q86/H86</f>
        <v/>
      </c>
      <c r="Y86" s="5">
        <f>IF(R86&gt;1,"1","2")</f>
        <v/>
      </c>
      <c r="Z86" s="5">
        <f>IF(S86&gt;1,"1","2")</f>
        <v/>
      </c>
      <c r="AA86" s="5">
        <f>IF(T86&gt;1,"1","2")</f>
        <v/>
      </c>
      <c r="AB86" s="5">
        <f>IF(U86&gt;1,"1","2")</f>
        <v/>
      </c>
      <c r="AC86" s="5">
        <f>IF(V86&gt;1,"1","2")</f>
        <v/>
      </c>
      <c r="AD86" s="5">
        <f>IF(W86&gt;1,"1","2")</f>
        <v/>
      </c>
      <c r="AE86" s="5">
        <f>IF(X86&gt;1,"1","2")</f>
        <v/>
      </c>
      <c r="AF86" t="n">
        <v>-5.128339</v>
      </c>
      <c r="AG86" t="n">
        <v>119.401552</v>
      </c>
    </row>
    <row r="87" ht="14.4" customHeight="1">
      <c r="A87" s="14" t="n">
        <v>84</v>
      </c>
      <c r="B87" s="15" t="inlineStr">
        <is>
          <t>Aft</t>
        </is>
      </c>
      <c r="C87" s="10" t="n">
        <v>12</v>
      </c>
      <c r="D87" s="10" t="n">
        <v>28</v>
      </c>
      <c r="E87" s="17" t="n">
        <v>365</v>
      </c>
      <c r="F87" s="22" t="n">
        <v>0.0001</v>
      </c>
      <c r="G87" s="10" t="n">
        <v>900</v>
      </c>
      <c r="H87" s="13" t="n">
        <v>0.0014</v>
      </c>
      <c r="I87" s="18" t="n">
        <v>10950</v>
      </c>
      <c r="J87" s="20" t="n">
        <v>12</v>
      </c>
      <c r="K87" s="19">
        <f>(F87*G87*E87*J87)/(D87*I87)</f>
        <v/>
      </c>
      <c r="L87" s="2">
        <f>(F87*G87*E87*5)/(D87*I87)</f>
        <v/>
      </c>
      <c r="M87" s="2">
        <f>(F87*G87*E87*10)/(D87*I87)</f>
        <v/>
      </c>
      <c r="N87" s="2">
        <f>(F87*G87*E87*15)/(D87*I87)</f>
        <v/>
      </c>
      <c r="O87" s="2">
        <f>(F87*G87*E87*20)/(D87*I87)</f>
        <v/>
      </c>
      <c r="P87" s="2">
        <f>(F87*G87*E87*25)/(D87*I87)</f>
        <v/>
      </c>
      <c r="Q87" s="2">
        <f>(F87*G87*E87*30)/(D87*I87)</f>
        <v/>
      </c>
      <c r="R87" s="2">
        <f>K87/H87</f>
        <v/>
      </c>
      <c r="S87" s="2">
        <f>L87/H87</f>
        <v/>
      </c>
      <c r="T87" s="2">
        <f>M87/H87</f>
        <v/>
      </c>
      <c r="U87" s="2">
        <f>N87/H87</f>
        <v/>
      </c>
      <c r="V87" s="2">
        <f>O87/H87</f>
        <v/>
      </c>
      <c r="W87" s="2">
        <f>P87/H87</f>
        <v/>
      </c>
      <c r="X87" s="2">
        <f>Q87/H87</f>
        <v/>
      </c>
      <c r="Y87" s="5">
        <f>IF(R87&gt;1,"1","2")</f>
        <v/>
      </c>
      <c r="Z87" s="5">
        <f>IF(S87&gt;1,"1","2")</f>
        <v/>
      </c>
      <c r="AA87" s="5">
        <f>IF(T87&gt;1,"1","2")</f>
        <v/>
      </c>
      <c r="AB87" s="5">
        <f>IF(U87&gt;1,"1","2")</f>
        <v/>
      </c>
      <c r="AC87" s="5">
        <f>IF(V87&gt;1,"1","2")</f>
        <v/>
      </c>
      <c r="AD87" s="5">
        <f>IF(W87&gt;1,"1","2")</f>
        <v/>
      </c>
      <c r="AE87" s="5">
        <f>IF(X87&gt;1,"1","2")</f>
        <v/>
      </c>
      <c r="AF87" t="n">
        <v>-5.154162</v>
      </c>
      <c r="AG87" t="n">
        <v>119.409459</v>
      </c>
    </row>
    <row r="88" ht="14.4" customHeight="1">
      <c r="A88" s="14" t="n">
        <v>85</v>
      </c>
      <c r="B88" s="15" t="inlineStr">
        <is>
          <t>NM</t>
        </is>
      </c>
      <c r="C88" s="10" t="n">
        <v>12</v>
      </c>
      <c r="D88" s="10" t="n">
        <v>28</v>
      </c>
      <c r="E88" s="17" t="n">
        <v>365</v>
      </c>
      <c r="F88" s="22" t="n">
        <v>0.0001</v>
      </c>
      <c r="G88" s="10" t="n">
        <v>900</v>
      </c>
      <c r="H88" s="13" t="n">
        <v>0.0014</v>
      </c>
      <c r="I88" s="18" t="n">
        <v>10950</v>
      </c>
      <c r="J88" s="20" t="n">
        <v>12</v>
      </c>
      <c r="K88" s="19">
        <f>(F88*G88*E88*J88)/(D88*I88)</f>
        <v/>
      </c>
      <c r="L88" s="2">
        <f>(F88*G88*E88*5)/(D88*I88)</f>
        <v/>
      </c>
      <c r="M88" s="2">
        <f>(F88*G88*E88*10)/(D88*I88)</f>
        <v/>
      </c>
      <c r="N88" s="2">
        <f>(F88*G88*E88*15)/(D88*I88)</f>
        <v/>
      </c>
      <c r="O88" s="2">
        <f>(F88*G88*E88*20)/(D88*I88)</f>
        <v/>
      </c>
      <c r="P88" s="2">
        <f>(F88*G88*E88*25)/(D88*I88)</f>
        <v/>
      </c>
      <c r="Q88" s="2">
        <f>(F88*G88*E88*30)/(D88*I88)</f>
        <v/>
      </c>
      <c r="R88" s="2">
        <f>K88/H88</f>
        <v/>
      </c>
      <c r="S88" s="2">
        <f>L88/H88</f>
        <v/>
      </c>
      <c r="T88" s="2">
        <f>M88/H88</f>
        <v/>
      </c>
      <c r="U88" s="2">
        <f>N88/H88</f>
        <v/>
      </c>
      <c r="V88" s="2">
        <f>O88/H88</f>
        <v/>
      </c>
      <c r="W88" s="2">
        <f>P88/H88</f>
        <v/>
      </c>
      <c r="X88" s="2">
        <f>Q88/H88</f>
        <v/>
      </c>
      <c r="Y88" s="5">
        <f>IF(R88&gt;1,"1","2")</f>
        <v/>
      </c>
      <c r="Z88" s="5">
        <f>IF(S88&gt;1,"1","2")</f>
        <v/>
      </c>
      <c r="AA88" s="5">
        <f>IF(T88&gt;1,"1","2")</f>
        <v/>
      </c>
      <c r="AB88" s="5">
        <f>IF(U88&gt;1,"1","2")</f>
        <v/>
      </c>
      <c r="AC88" s="5">
        <f>IF(V88&gt;1,"1","2")</f>
        <v/>
      </c>
      <c r="AD88" s="5">
        <f>IF(W88&gt;1,"1","2")</f>
        <v/>
      </c>
      <c r="AE88" s="5">
        <f>IF(X88&gt;1,"1","2")</f>
        <v/>
      </c>
      <c r="AF88" t="n">
        <v>-5.1441</v>
      </c>
      <c r="AG88" t="n">
        <v>119.409476</v>
      </c>
    </row>
    <row r="89" ht="14.4" customHeight="1">
      <c r="A89" s="14" t="n">
        <v>86</v>
      </c>
      <c r="B89" s="15" t="inlineStr">
        <is>
          <t>Cna</t>
        </is>
      </c>
      <c r="C89" s="10" t="n">
        <v>12</v>
      </c>
      <c r="D89" s="10" t="n">
        <v>40</v>
      </c>
      <c r="E89" s="17" t="n">
        <v>365</v>
      </c>
      <c r="F89" s="22" t="n">
        <v>0.0001</v>
      </c>
      <c r="G89" s="10" t="n">
        <v>1800</v>
      </c>
      <c r="H89" s="13" t="n">
        <v>0.0014</v>
      </c>
      <c r="I89" s="18" t="n">
        <v>10950</v>
      </c>
      <c r="J89" s="20" t="n">
        <v>5</v>
      </c>
      <c r="K89" s="19">
        <f>(F89*G89*E89*J89)/(D89*I89)</f>
        <v/>
      </c>
      <c r="L89" s="2">
        <f>(F89*G89*E89*5)/(D89*I89)</f>
        <v/>
      </c>
      <c r="M89" s="2">
        <f>(F89*G89*E89*10)/(D89*I89)</f>
        <v/>
      </c>
      <c r="N89" s="2">
        <f>(F89*G89*E89*15)/(D89*I89)</f>
        <v/>
      </c>
      <c r="O89" s="2">
        <f>(F89*G89*E89*20)/(D89*I89)</f>
        <v/>
      </c>
      <c r="P89" s="2">
        <f>(F89*G89*E89*25)/(D89*I89)</f>
        <v/>
      </c>
      <c r="Q89" s="2">
        <f>(F89*G89*E89*30)/(D89*I89)</f>
        <v/>
      </c>
      <c r="R89" s="2">
        <f>K89/H89</f>
        <v/>
      </c>
      <c r="S89" s="2">
        <f>L89/H89</f>
        <v/>
      </c>
      <c r="T89" s="2">
        <f>M89/H89</f>
        <v/>
      </c>
      <c r="U89" s="2">
        <f>N89/H89</f>
        <v/>
      </c>
      <c r="V89" s="2">
        <f>O89/H89</f>
        <v/>
      </c>
      <c r="W89" s="2">
        <f>P89/H89</f>
        <v/>
      </c>
      <c r="X89" s="2">
        <f>Q89/H89</f>
        <v/>
      </c>
      <c r="Y89" s="5">
        <f>IF(R89&gt;1,"1","2")</f>
        <v/>
      </c>
      <c r="Z89" s="5">
        <f>IF(S89&gt;1,"1","2")</f>
        <v/>
      </c>
      <c r="AA89" s="5">
        <f>IF(T89&gt;1,"1","2")</f>
        <v/>
      </c>
      <c r="AB89" s="5">
        <f>IF(U89&gt;1,"1","2")</f>
        <v/>
      </c>
      <c r="AC89" s="5">
        <f>IF(V89&gt;1,"1","2")</f>
        <v/>
      </c>
      <c r="AD89" s="5">
        <f>IF(W89&gt;1,"1","2")</f>
        <v/>
      </c>
      <c r="AE89" s="5">
        <f>IF(X89&gt;1,"1","2")</f>
        <v/>
      </c>
      <c r="AF89" t="n">
        <v>-5.156756</v>
      </c>
      <c r="AG89" t="n">
        <v>119.43034</v>
      </c>
    </row>
    <row r="90" ht="14.4" customHeight="1">
      <c r="A90" s="14" t="n">
        <v>87</v>
      </c>
      <c r="B90" s="15" t="inlineStr">
        <is>
          <t>Srp</t>
        </is>
      </c>
      <c r="C90" s="10" t="n">
        <v>12</v>
      </c>
      <c r="D90" s="10" t="n">
        <v>23</v>
      </c>
      <c r="E90" s="17" t="n">
        <v>365</v>
      </c>
      <c r="F90" s="22" t="n">
        <v>0.0001</v>
      </c>
      <c r="G90" s="10" t="n">
        <v>900</v>
      </c>
      <c r="H90" s="13" t="n">
        <v>0.0014</v>
      </c>
      <c r="I90" s="18" t="n">
        <v>10950</v>
      </c>
      <c r="J90" s="20" t="n">
        <v>12</v>
      </c>
      <c r="K90" s="19">
        <f>(F90*G90*E90*J90)/(D90*I90)</f>
        <v/>
      </c>
      <c r="L90" s="2">
        <f>(F90*G90*E90*5)/(D90*I90)</f>
        <v/>
      </c>
      <c r="M90" s="2">
        <f>(F90*G90*E90*10)/(D90*I90)</f>
        <v/>
      </c>
      <c r="N90" s="2">
        <f>(F90*G90*E90*15)/(D90*I90)</f>
        <v/>
      </c>
      <c r="O90" s="2">
        <f>(F90*G90*E90*20)/(D90*I90)</f>
        <v/>
      </c>
      <c r="P90" s="2">
        <f>(F90*G90*E90*25)/(D90*I90)</f>
        <v/>
      </c>
      <c r="Q90" s="2">
        <f>(F90*G90*E90*30)/(D90*I90)</f>
        <v/>
      </c>
      <c r="R90" s="2">
        <f>K90/H90</f>
        <v/>
      </c>
      <c r="S90" s="2">
        <f>L90/H90</f>
        <v/>
      </c>
      <c r="T90" s="2">
        <f>M90/H90</f>
        <v/>
      </c>
      <c r="U90" s="2">
        <f>N90/H90</f>
        <v/>
      </c>
      <c r="V90" s="2">
        <f>O90/H90</f>
        <v/>
      </c>
      <c r="W90" s="2">
        <f>P90/H90</f>
        <v/>
      </c>
      <c r="X90" s="2">
        <f>Q90/H90</f>
        <v/>
      </c>
      <c r="Y90" s="5">
        <f>IF(R90&gt;1,"1","2")</f>
        <v/>
      </c>
      <c r="Z90" s="5">
        <f>IF(S90&gt;1,"1","2")</f>
        <v/>
      </c>
      <c r="AA90" s="5">
        <f>IF(T90&gt;1,"1","2")</f>
        <v/>
      </c>
      <c r="AB90" s="5">
        <f>IF(U90&gt;1,"1","2")</f>
        <v/>
      </c>
      <c r="AC90" s="5">
        <f>IF(V90&gt;1,"1","2")</f>
        <v/>
      </c>
      <c r="AD90" s="5">
        <f>IF(W90&gt;1,"1","2")</f>
        <v/>
      </c>
      <c r="AE90" s="5">
        <f>IF(X90&gt;1,"1","2")</f>
        <v/>
      </c>
      <c r="AF90" t="n">
        <v>-5.151853</v>
      </c>
      <c r="AG90" t="n">
        <v>119.404635</v>
      </c>
    </row>
    <row r="91" ht="14.4" customHeight="1">
      <c r="A91" s="14" t="n">
        <v>88</v>
      </c>
      <c r="B91" s="15" t="inlineStr">
        <is>
          <t>Srp</t>
        </is>
      </c>
      <c r="C91" s="10" t="n">
        <v>12</v>
      </c>
      <c r="D91" s="10" t="n">
        <v>23</v>
      </c>
      <c r="E91" s="17" t="n">
        <v>365</v>
      </c>
      <c r="F91" s="22" t="n">
        <v>0.0001</v>
      </c>
      <c r="G91" s="10" t="n">
        <v>900</v>
      </c>
      <c r="H91" s="13" t="n">
        <v>0.0014</v>
      </c>
      <c r="I91" s="18" t="n">
        <v>10950</v>
      </c>
      <c r="J91" s="20" t="n">
        <v>12</v>
      </c>
      <c r="K91" s="19">
        <f>(F91*G91*E91*J91)/(D91*I91)</f>
        <v/>
      </c>
      <c r="L91" s="2">
        <f>(F91*G91*E91*5)/(D91*I91)</f>
        <v/>
      </c>
      <c r="M91" s="2">
        <f>(F91*G91*E91*10)/(D91*I91)</f>
        <v/>
      </c>
      <c r="N91" s="2">
        <f>(F91*G91*E91*15)/(D91*I91)</f>
        <v/>
      </c>
      <c r="O91" s="2">
        <f>(F91*G91*E91*20)/(D91*I91)</f>
        <v/>
      </c>
      <c r="P91" s="2">
        <f>(F91*G91*E91*25)/(D91*I91)</f>
        <v/>
      </c>
      <c r="Q91" s="2">
        <f>(F91*G91*E91*30)/(D91*I91)</f>
        <v/>
      </c>
      <c r="R91" s="2">
        <f>K91/H91</f>
        <v/>
      </c>
      <c r="S91" s="2">
        <f>L91/H91</f>
        <v/>
      </c>
      <c r="T91" s="2">
        <f>M91/H91</f>
        <v/>
      </c>
      <c r="U91" s="2">
        <f>N91/H91</f>
        <v/>
      </c>
      <c r="V91" s="2">
        <f>O91/H91</f>
        <v/>
      </c>
      <c r="W91" s="2">
        <f>P91/H91</f>
        <v/>
      </c>
      <c r="X91" s="2">
        <f>Q91/H91</f>
        <v/>
      </c>
      <c r="Y91" s="5">
        <f>IF(R91&gt;1,"1","2")</f>
        <v/>
      </c>
      <c r="Z91" s="5">
        <f>IF(S91&gt;1,"1","2")</f>
        <v/>
      </c>
      <c r="AA91" s="5">
        <f>IF(T91&gt;1,"1","2")</f>
        <v/>
      </c>
      <c r="AB91" s="5">
        <f>IF(U91&gt;1,"1","2")</f>
        <v/>
      </c>
      <c r="AC91" s="5">
        <f>IF(V91&gt;1,"1","2")</f>
        <v/>
      </c>
      <c r="AD91" s="5">
        <f>IF(W91&gt;1,"1","2")</f>
        <v/>
      </c>
      <c r="AE91" s="5">
        <f>IF(X91&gt;1,"1","2")</f>
        <v/>
      </c>
      <c r="AF91" t="n">
        <v>-5.156659</v>
      </c>
      <c r="AG91" t="n">
        <v>119.408619</v>
      </c>
    </row>
    <row r="92" ht="14.4" customHeight="1">
      <c r="A92" s="14" t="n">
        <v>89</v>
      </c>
      <c r="B92" s="15" t="inlineStr">
        <is>
          <t>Mhp</t>
        </is>
      </c>
      <c r="C92" s="10" t="n">
        <v>12</v>
      </c>
      <c r="D92" s="10" t="n">
        <v>25</v>
      </c>
      <c r="E92" s="17" t="n">
        <v>365</v>
      </c>
      <c r="F92" s="22" t="n">
        <v>0.0001</v>
      </c>
      <c r="G92" s="10" t="n">
        <v>1200</v>
      </c>
      <c r="H92" s="13" t="n">
        <v>0.0014</v>
      </c>
      <c r="I92" s="18" t="n">
        <v>10950</v>
      </c>
      <c r="J92" s="20" t="n">
        <v>12</v>
      </c>
      <c r="K92" s="19">
        <f>(F92*G92*E92*J92)/(D92*I92)</f>
        <v/>
      </c>
      <c r="L92" s="2">
        <f>(F92*G92*E92*5)/(D92*I92)</f>
        <v/>
      </c>
      <c r="M92" s="2">
        <f>(F92*G92*E92*10)/(D92*I92)</f>
        <v/>
      </c>
      <c r="N92" s="2">
        <f>(F92*G92*E92*15)/(D92*I92)</f>
        <v/>
      </c>
      <c r="O92" s="2">
        <f>(F92*G92*E92*20)/(D92*I92)</f>
        <v/>
      </c>
      <c r="P92" s="2">
        <f>(F92*G92*E92*25)/(D92*I92)</f>
        <v/>
      </c>
      <c r="Q92" s="2">
        <f>(F92*G92*E92*30)/(D92*I92)</f>
        <v/>
      </c>
      <c r="R92" s="2">
        <f>K92/H92</f>
        <v/>
      </c>
      <c r="S92" s="2">
        <f>L92/H92</f>
        <v/>
      </c>
      <c r="T92" s="2">
        <f>M92/H92</f>
        <v/>
      </c>
      <c r="U92" s="2">
        <f>N92/H92</f>
        <v/>
      </c>
      <c r="V92" s="2">
        <f>O92/H92</f>
        <v/>
      </c>
      <c r="W92" s="2">
        <f>P92/H92</f>
        <v/>
      </c>
      <c r="X92" s="2">
        <f>Q92/H92</f>
        <v/>
      </c>
      <c r="Y92" s="5">
        <f>IF(R92&gt;1,"1","2")</f>
        <v/>
      </c>
      <c r="Z92" s="5">
        <f>IF(S92&gt;1,"1","2")</f>
        <v/>
      </c>
      <c r="AA92" s="5">
        <f>IF(T92&gt;1,"1","2")</f>
        <v/>
      </c>
      <c r="AB92" s="5">
        <f>IF(U92&gt;1,"1","2")</f>
        <v/>
      </c>
      <c r="AC92" s="5">
        <f>IF(V92&gt;1,"1","2")</f>
        <v/>
      </c>
      <c r="AD92" s="5">
        <f>IF(W92&gt;1,"1","2")</f>
        <v/>
      </c>
      <c r="AE92" s="5">
        <f>IF(X92&gt;1,"1","2")</f>
        <v/>
      </c>
      <c r="AF92" t="n">
        <v>-5.143158</v>
      </c>
      <c r="AG92" t="n">
        <v>119.428246</v>
      </c>
    </row>
    <row r="93" ht="14.4" customHeight="1">
      <c r="A93" s="14" t="n">
        <v>90</v>
      </c>
      <c r="B93" s="15" t="inlineStr">
        <is>
          <t>Ydh</t>
        </is>
      </c>
      <c r="C93" s="10" t="n">
        <v>12</v>
      </c>
      <c r="D93" s="10" t="n">
        <v>28</v>
      </c>
      <c r="E93" s="17" t="n">
        <v>365</v>
      </c>
      <c r="F93" s="22" t="n">
        <v>0.0001</v>
      </c>
      <c r="G93" s="10" t="n">
        <v>1800</v>
      </c>
      <c r="H93" s="13" t="n">
        <v>0.0014</v>
      </c>
      <c r="I93" s="18" t="n">
        <v>10950</v>
      </c>
      <c r="J93" s="20" t="n">
        <v>12</v>
      </c>
      <c r="K93" s="19">
        <f>(F93*G93*E93*J93)/(D93*I93)</f>
        <v/>
      </c>
      <c r="L93" s="2">
        <f>(F93*G93*E93*5)/(D93*I93)</f>
        <v/>
      </c>
      <c r="M93" s="2">
        <f>(F93*G93*E93*10)/(D93*I93)</f>
        <v/>
      </c>
      <c r="N93" s="2">
        <f>(F93*G93*E93*15)/(D93*I93)</f>
        <v/>
      </c>
      <c r="O93" s="2">
        <f>(F93*G93*E93*20)/(D93*I93)</f>
        <v/>
      </c>
      <c r="P93" s="2">
        <f>(F93*G93*E93*25)/(D93*I93)</f>
        <v/>
      </c>
      <c r="Q93" s="2">
        <f>(F93*G93*E93*30)/(D93*I93)</f>
        <v/>
      </c>
      <c r="R93" s="2">
        <f>K93/H93</f>
        <v/>
      </c>
      <c r="S93" s="2">
        <f>L93/H93</f>
        <v/>
      </c>
      <c r="T93" s="2">
        <f>M93/H93</f>
        <v/>
      </c>
      <c r="U93" s="2">
        <f>N93/H93</f>
        <v/>
      </c>
      <c r="V93" s="2">
        <f>O93/H93</f>
        <v/>
      </c>
      <c r="W93" s="2">
        <f>P93/H93</f>
        <v/>
      </c>
      <c r="X93" s="2">
        <f>Q93/H93</f>
        <v/>
      </c>
      <c r="Y93" s="5">
        <f>IF(R93&gt;1,"1","2")</f>
        <v/>
      </c>
      <c r="Z93" s="5">
        <f>IF(S93&gt;1,"1","2")</f>
        <v/>
      </c>
      <c r="AA93" s="5">
        <f>IF(T93&gt;1,"1","2")</f>
        <v/>
      </c>
      <c r="AB93" s="5">
        <f>IF(U93&gt;1,"1","2")</f>
        <v/>
      </c>
      <c r="AC93" s="5">
        <f>IF(V93&gt;1,"1","2")</f>
        <v/>
      </c>
      <c r="AD93" s="5">
        <f>IF(W93&gt;1,"1","2")</f>
        <v/>
      </c>
      <c r="AE93" s="5">
        <f>IF(X93&gt;1,"1","2")</f>
        <v/>
      </c>
      <c r="AF93" t="n">
        <v>-5.123506</v>
      </c>
      <c r="AG93" t="n">
        <v>119.424717</v>
      </c>
    </row>
    <row r="94" ht="14.4" customHeight="1">
      <c r="A94" s="14" t="n">
        <v>91</v>
      </c>
      <c r="B94" s="15" t="inlineStr">
        <is>
          <t>Nur</t>
        </is>
      </c>
      <c r="C94" s="10" t="n">
        <v>12</v>
      </c>
      <c r="D94" s="10" t="n">
        <v>28</v>
      </c>
      <c r="E94" s="17" t="n">
        <v>365</v>
      </c>
      <c r="F94" s="22" t="n">
        <v>0.0001</v>
      </c>
      <c r="G94" s="10" t="n">
        <v>900</v>
      </c>
      <c r="H94" s="13" t="n">
        <v>0.0014</v>
      </c>
      <c r="I94" s="18" t="n">
        <v>10950</v>
      </c>
      <c r="J94" s="20" t="n">
        <v>12</v>
      </c>
      <c r="K94" s="19">
        <f>(F94*G94*E94*J94)/(D94*I94)</f>
        <v/>
      </c>
      <c r="L94" s="2">
        <f>(F94*G94*E94*5)/(D94*I94)</f>
        <v/>
      </c>
      <c r="M94" s="2">
        <f>(F94*G94*E94*10)/(D94*I94)</f>
        <v/>
      </c>
      <c r="N94" s="2">
        <f>(F94*G94*E94*15)/(D94*I94)</f>
        <v/>
      </c>
      <c r="O94" s="2">
        <f>(F94*G94*E94*20)/(D94*I94)</f>
        <v/>
      </c>
      <c r="P94" s="2">
        <f>(F94*G94*E94*25)/(D94*I94)</f>
        <v/>
      </c>
      <c r="Q94" s="2">
        <f>(F94*G94*E94*30)/(D94*I94)</f>
        <v/>
      </c>
      <c r="R94" s="2">
        <f>K94/H94</f>
        <v/>
      </c>
      <c r="S94" s="2">
        <f>L94/H94</f>
        <v/>
      </c>
      <c r="T94" s="2">
        <f>M94/H94</f>
        <v/>
      </c>
      <c r="U94" s="2">
        <f>N94/H94</f>
        <v/>
      </c>
      <c r="V94" s="2">
        <f>O94/H94</f>
        <v/>
      </c>
      <c r="W94" s="2">
        <f>P94/H94</f>
        <v/>
      </c>
      <c r="X94" s="2">
        <f>Q94/H94</f>
        <v/>
      </c>
      <c r="Y94" s="5">
        <f>IF(R94&gt;1,"1","2")</f>
        <v/>
      </c>
      <c r="Z94" s="5">
        <f>IF(S94&gt;1,"1","2")</f>
        <v/>
      </c>
      <c r="AA94" s="5">
        <f>IF(T94&gt;1,"1","2")</f>
        <v/>
      </c>
      <c r="AB94" s="5">
        <f>IF(U94&gt;1,"1","2")</f>
        <v/>
      </c>
      <c r="AC94" s="5">
        <f>IF(V94&gt;1,"1","2")</f>
        <v/>
      </c>
      <c r="AD94" s="5">
        <f>IF(W94&gt;1,"1","2")</f>
        <v/>
      </c>
      <c r="AE94" s="5">
        <f>IF(X94&gt;1,"1","2")</f>
        <v/>
      </c>
      <c r="AF94" t="n">
        <v>-5.138128</v>
      </c>
      <c r="AG94" t="n">
        <v>119.406206</v>
      </c>
    </row>
    <row r="95" ht="14.4" customHeight="1">
      <c r="A95" s="14" t="n">
        <v>92</v>
      </c>
      <c r="B95" s="15" t="inlineStr">
        <is>
          <t>Cah</t>
        </is>
      </c>
      <c r="C95" s="10" t="n">
        <v>12</v>
      </c>
      <c r="D95" s="10" t="n">
        <v>40</v>
      </c>
      <c r="E95" s="17" t="n">
        <v>365</v>
      </c>
      <c r="F95" s="22" t="n">
        <v>0.0001</v>
      </c>
      <c r="G95" s="10" t="n">
        <v>1800</v>
      </c>
      <c r="H95" s="13" t="n">
        <v>0.0014</v>
      </c>
      <c r="I95" s="18" t="n">
        <v>10950</v>
      </c>
      <c r="J95" s="20" t="n">
        <v>5</v>
      </c>
      <c r="K95" s="19">
        <f>(F95*G95*E95*J95)/(D95*I95)</f>
        <v/>
      </c>
      <c r="L95" s="2">
        <f>(F95*G95*E95*5)/(D95*I95)</f>
        <v/>
      </c>
      <c r="M95" s="2">
        <f>(F95*G95*E95*10)/(D95*I95)</f>
        <v/>
      </c>
      <c r="N95" s="2">
        <f>(F95*G95*E95*15)/(D95*I95)</f>
        <v/>
      </c>
      <c r="O95" s="2">
        <f>(F95*G95*E95*20)/(D95*I95)</f>
        <v/>
      </c>
      <c r="P95" s="2">
        <f>(F95*G95*E95*25)/(D95*I95)</f>
        <v/>
      </c>
      <c r="Q95" s="2">
        <f>(F95*G95*E95*30)/(D95*I95)</f>
        <v/>
      </c>
      <c r="R95" s="2">
        <f>K95/H95</f>
        <v/>
      </c>
      <c r="S95" s="2">
        <f>L95/H95</f>
        <v/>
      </c>
      <c r="T95" s="2">
        <f>M95/H95</f>
        <v/>
      </c>
      <c r="U95" s="2">
        <f>N95/H95</f>
        <v/>
      </c>
      <c r="V95" s="2">
        <f>O95/H95</f>
        <v/>
      </c>
      <c r="W95" s="2">
        <f>P95/H95</f>
        <v/>
      </c>
      <c r="X95" s="2">
        <f>Q95/H95</f>
        <v/>
      </c>
      <c r="Y95" s="5">
        <f>IF(R95&gt;1,"1","2")</f>
        <v/>
      </c>
      <c r="Z95" s="5">
        <f>IF(S95&gt;1,"1","2")</f>
        <v/>
      </c>
      <c r="AA95" s="5">
        <f>IF(T95&gt;1,"1","2")</f>
        <v/>
      </c>
      <c r="AB95" s="5">
        <f>IF(U95&gt;1,"1","2")</f>
        <v/>
      </c>
      <c r="AC95" s="5">
        <f>IF(V95&gt;1,"1","2")</f>
        <v/>
      </c>
      <c r="AD95" s="5">
        <f>IF(W95&gt;1,"1","2")</f>
        <v/>
      </c>
      <c r="AE95" s="5">
        <f>IF(X95&gt;1,"1","2")</f>
        <v/>
      </c>
      <c r="AF95" t="n">
        <v>-5.129594</v>
      </c>
      <c r="AG95" t="n">
        <v>119.425691</v>
      </c>
    </row>
    <row r="96" ht="14.4" customHeight="1">
      <c r="A96" s="14" t="n">
        <v>93</v>
      </c>
      <c r="B96" s="15" t="inlineStr">
        <is>
          <t>Srl</t>
        </is>
      </c>
      <c r="C96" s="10" t="n">
        <v>12</v>
      </c>
      <c r="D96" s="10" t="n">
        <v>23</v>
      </c>
      <c r="E96" s="17" t="n">
        <v>365</v>
      </c>
      <c r="F96" s="22" t="n">
        <v>0.0001</v>
      </c>
      <c r="G96" s="10" t="n">
        <v>900</v>
      </c>
      <c r="H96" s="13" t="n">
        <v>0.0014</v>
      </c>
      <c r="I96" s="18" t="n">
        <v>10950</v>
      </c>
      <c r="J96" s="20" t="n">
        <v>12</v>
      </c>
      <c r="K96" s="19">
        <f>(F96*G96*E96*J96)/(D96*I96)</f>
        <v/>
      </c>
      <c r="L96" s="2">
        <f>(F96*G96*E96*5)/(D96*I96)</f>
        <v/>
      </c>
      <c r="M96" s="2">
        <f>(F96*G96*E96*10)/(D96*I96)</f>
        <v/>
      </c>
      <c r="N96" s="2">
        <f>(F96*G96*E96*15)/(D96*I96)</f>
        <v/>
      </c>
      <c r="O96" s="2">
        <f>(F96*G96*E96*20)/(D96*I96)</f>
        <v/>
      </c>
      <c r="P96" s="2">
        <f>(F96*G96*E96*25)/(D96*I96)</f>
        <v/>
      </c>
      <c r="Q96" s="2">
        <f>(F96*G96*E96*30)/(D96*I96)</f>
        <v/>
      </c>
      <c r="R96" s="2">
        <f>K96/H96</f>
        <v/>
      </c>
      <c r="S96" s="2">
        <f>L96/H96</f>
        <v/>
      </c>
      <c r="T96" s="2">
        <f>M96/H96</f>
        <v/>
      </c>
      <c r="U96" s="2">
        <f>N96/H96</f>
        <v/>
      </c>
      <c r="V96" s="2">
        <f>O96/H96</f>
        <v/>
      </c>
      <c r="W96" s="2">
        <f>P96/H96</f>
        <v/>
      </c>
      <c r="X96" s="2">
        <f>Q96/H96</f>
        <v/>
      </c>
      <c r="Y96" s="5">
        <f>IF(R96&gt;1,"1","2")</f>
        <v/>
      </c>
      <c r="Z96" s="5">
        <f>IF(S96&gt;1,"1","2")</f>
        <v/>
      </c>
      <c r="AA96" s="5">
        <f>IF(T96&gt;1,"1","2")</f>
        <v/>
      </c>
      <c r="AB96" s="5">
        <f>IF(U96&gt;1,"1","2")</f>
        <v/>
      </c>
      <c r="AC96" s="5">
        <f>IF(V96&gt;1,"1","2")</f>
        <v/>
      </c>
      <c r="AD96" s="5">
        <f>IF(W96&gt;1,"1","2")</f>
        <v/>
      </c>
      <c r="AE96" s="5">
        <f>IF(X96&gt;1,"1","2")</f>
        <v/>
      </c>
      <c r="AF96" t="n">
        <v>-5.145176</v>
      </c>
      <c r="AG96" t="n">
        <v>119.445381</v>
      </c>
    </row>
    <row r="97" ht="14.4" customHeight="1">
      <c r="A97" s="14" t="n">
        <v>94</v>
      </c>
      <c r="B97" s="15" t="inlineStr">
        <is>
          <t>Afn</t>
        </is>
      </c>
      <c r="C97" s="10" t="n">
        <v>12</v>
      </c>
      <c r="D97" s="10" t="n">
        <v>25</v>
      </c>
      <c r="E97" s="17" t="n">
        <v>365</v>
      </c>
      <c r="F97" s="22" t="n">
        <v>0.0001</v>
      </c>
      <c r="G97" s="10" t="n">
        <v>900</v>
      </c>
      <c r="H97" s="13" t="n">
        <v>0.0014</v>
      </c>
      <c r="I97" s="18" t="n">
        <v>10950</v>
      </c>
      <c r="J97" s="20" t="n">
        <v>12</v>
      </c>
      <c r="K97" s="19">
        <f>(F97*G97*E97*J97)/(D97*I97)</f>
        <v/>
      </c>
      <c r="L97" s="2">
        <f>(F97*G97*E97*5)/(D97*I97)</f>
        <v/>
      </c>
      <c r="M97" s="2">
        <f>(F97*G97*E97*10)/(D97*I97)</f>
        <v/>
      </c>
      <c r="N97" s="2">
        <f>(F97*G97*E97*15)/(D97*I97)</f>
        <v/>
      </c>
      <c r="O97" s="2">
        <f>(F97*G97*E97*20)/(D97*I97)</f>
        <v/>
      </c>
      <c r="P97" s="2">
        <f>(F97*G97*E97*25)/(D97*I97)</f>
        <v/>
      </c>
      <c r="Q97" s="2">
        <f>(F97*G97*E97*30)/(D97*I97)</f>
        <v/>
      </c>
      <c r="R97" s="2">
        <f>K97/H97</f>
        <v/>
      </c>
      <c r="S97" s="2">
        <f>L97/H97</f>
        <v/>
      </c>
      <c r="T97" s="2">
        <f>M97/H97</f>
        <v/>
      </c>
      <c r="U97" s="2">
        <f>N97/H97</f>
        <v/>
      </c>
      <c r="V97" s="2">
        <f>O97/H97</f>
        <v/>
      </c>
      <c r="W97" s="2">
        <f>P97/H97</f>
        <v/>
      </c>
      <c r="X97" s="2">
        <f>Q97/H97</f>
        <v/>
      </c>
      <c r="Y97" s="5">
        <f>IF(R97&gt;1,"1","2")</f>
        <v/>
      </c>
      <c r="Z97" s="5">
        <f>IF(S97&gt;1,"1","2")</f>
        <v/>
      </c>
      <c r="AA97" s="5">
        <f>IF(T97&gt;1,"1","2")</f>
        <v/>
      </c>
      <c r="AB97" s="5">
        <f>IF(U97&gt;1,"1","2")</f>
        <v/>
      </c>
      <c r="AC97" s="5">
        <f>IF(V97&gt;1,"1","2")</f>
        <v/>
      </c>
      <c r="AD97" s="5">
        <f>IF(W97&gt;1,"1","2")</f>
        <v/>
      </c>
      <c r="AE97" s="5">
        <f>IF(X97&gt;1,"1","2")</f>
        <v/>
      </c>
      <c r="AF97" t="n">
        <v>-5.152219</v>
      </c>
      <c r="AG97" t="n">
        <v>119.440304</v>
      </c>
    </row>
    <row r="98" ht="14.4" customHeight="1">
      <c r="A98" s="14" t="n">
        <v>95</v>
      </c>
      <c r="B98" s="15" t="inlineStr">
        <is>
          <t>Mad</t>
        </is>
      </c>
      <c r="C98" s="10" t="n">
        <v>12</v>
      </c>
      <c r="D98" s="10" t="n">
        <v>28</v>
      </c>
      <c r="E98" s="17" t="n">
        <v>365</v>
      </c>
      <c r="F98" s="22" t="n">
        <v>0.0001</v>
      </c>
      <c r="G98" s="10" t="n">
        <v>900</v>
      </c>
      <c r="H98" s="13" t="n">
        <v>0.0014</v>
      </c>
      <c r="I98" s="18" t="n">
        <v>10950</v>
      </c>
      <c r="J98" s="20" t="n">
        <v>12</v>
      </c>
      <c r="K98" s="19">
        <f>(F98*G98*E98*J98)/(D98*I98)</f>
        <v/>
      </c>
      <c r="L98" s="2">
        <f>(F98*G98*E98*5)/(D98*I98)</f>
        <v/>
      </c>
      <c r="M98" s="2">
        <f>(F98*G98*E98*10)/(D98*I98)</f>
        <v/>
      </c>
      <c r="N98" s="2">
        <f>(F98*G98*E98*15)/(D98*I98)</f>
        <v/>
      </c>
      <c r="O98" s="2">
        <f>(F98*G98*E98*20)/(D98*I98)</f>
        <v/>
      </c>
      <c r="P98" s="2">
        <f>(F98*G98*E98*25)/(D98*I98)</f>
        <v/>
      </c>
      <c r="Q98" s="2">
        <f>(F98*G98*E98*30)/(D98*I98)</f>
        <v/>
      </c>
      <c r="R98" s="2">
        <f>K98/H98</f>
        <v/>
      </c>
      <c r="S98" s="2">
        <f>L98/H98</f>
        <v/>
      </c>
      <c r="T98" s="2">
        <f>M98/H98</f>
        <v/>
      </c>
      <c r="U98" s="2">
        <f>N98/H98</f>
        <v/>
      </c>
      <c r="V98" s="2">
        <f>O98/H98</f>
        <v/>
      </c>
      <c r="W98" s="2">
        <f>P98/H98</f>
        <v/>
      </c>
      <c r="X98" s="2">
        <f>Q98/H98</f>
        <v/>
      </c>
      <c r="Y98" s="5">
        <f>IF(R98&gt;1,"1","2")</f>
        <v/>
      </c>
      <c r="Z98" s="5">
        <f>IF(S98&gt;1,"1","2")</f>
        <v/>
      </c>
      <c r="AA98" s="5">
        <f>IF(T98&gt;1,"1","2")</f>
        <v/>
      </c>
      <c r="AB98" s="5">
        <f>IF(U98&gt;1,"1","2")</f>
        <v/>
      </c>
      <c r="AC98" s="5">
        <f>IF(V98&gt;1,"1","2")</f>
        <v/>
      </c>
      <c r="AD98" s="5">
        <f>IF(W98&gt;1,"1","2")</f>
        <v/>
      </c>
      <c r="AE98" s="5">
        <f>IF(X98&gt;1,"1","2")</f>
        <v/>
      </c>
      <c r="AF98" t="n">
        <v>-5.145744</v>
      </c>
      <c r="AG98" t="n">
        <v>119.441558</v>
      </c>
    </row>
    <row r="99" ht="14.4" customHeight="1">
      <c r="A99" s="14" t="n">
        <v>96</v>
      </c>
      <c r="B99" s="15" t="inlineStr">
        <is>
          <t>Nas</t>
        </is>
      </c>
      <c r="C99" s="10" t="n">
        <v>12</v>
      </c>
      <c r="D99" s="10" t="n">
        <v>40</v>
      </c>
      <c r="E99" s="17" t="n">
        <v>365</v>
      </c>
      <c r="F99" s="22" t="n">
        <v>0.0001</v>
      </c>
      <c r="G99" s="10" t="n">
        <v>1800</v>
      </c>
      <c r="H99" s="13" t="n">
        <v>0.0014</v>
      </c>
      <c r="I99" s="18" t="n">
        <v>10950</v>
      </c>
      <c r="J99" s="20" t="n">
        <v>5</v>
      </c>
      <c r="K99" s="19">
        <f>(F99*G99*E99*J99)/(D99*I99)</f>
        <v/>
      </c>
      <c r="L99" s="2">
        <f>(F99*G99*E99*5)/(D99*I99)</f>
        <v/>
      </c>
      <c r="M99" s="2">
        <f>(F99*G99*E99*10)/(D99*I99)</f>
        <v/>
      </c>
      <c r="N99" s="2">
        <f>(F99*G99*E99*15)/(D99*I99)</f>
        <v/>
      </c>
      <c r="O99" s="2">
        <f>(F99*G99*E99*20)/(D99*I99)</f>
        <v/>
      </c>
      <c r="P99" s="2">
        <f>(F99*G99*E99*25)/(D99*I99)</f>
        <v/>
      </c>
      <c r="Q99" s="2">
        <f>(F99*G99*E99*30)/(D99*I99)</f>
        <v/>
      </c>
      <c r="R99" s="2">
        <f>K99/H99</f>
        <v/>
      </c>
      <c r="S99" s="2">
        <f>L99/H99</f>
        <v/>
      </c>
      <c r="T99" s="2">
        <f>M99/H99</f>
        <v/>
      </c>
      <c r="U99" s="2">
        <f>N99/H99</f>
        <v/>
      </c>
      <c r="V99" s="2">
        <f>O99/H99</f>
        <v/>
      </c>
      <c r="W99" s="2">
        <f>P99/H99</f>
        <v/>
      </c>
      <c r="X99" s="2">
        <f>Q99/H99</f>
        <v/>
      </c>
      <c r="Y99" s="5">
        <f>IF(R99&gt;1,"1","2")</f>
        <v/>
      </c>
      <c r="Z99" s="5">
        <f>IF(S99&gt;1,"1","2")</f>
        <v/>
      </c>
      <c r="AA99" s="5">
        <f>IF(T99&gt;1,"1","2")</f>
        <v/>
      </c>
      <c r="AB99" s="5">
        <f>IF(U99&gt;1,"1","2")</f>
        <v/>
      </c>
      <c r="AC99" s="5">
        <f>IF(V99&gt;1,"1","2")</f>
        <v/>
      </c>
      <c r="AD99" s="5">
        <f>IF(W99&gt;1,"1","2")</f>
        <v/>
      </c>
      <c r="AE99" s="5">
        <f>IF(X99&gt;1,"1","2")</f>
        <v/>
      </c>
      <c r="AF99" t="n">
        <v>-5.143841</v>
      </c>
      <c r="AG99" t="n">
        <v>119.410004</v>
      </c>
    </row>
    <row r="100" ht="14.4" customHeight="1">
      <c r="A100" s="14" t="n">
        <v>97</v>
      </c>
      <c r="B100" s="15" t="inlineStr">
        <is>
          <t>Dat</t>
        </is>
      </c>
      <c r="C100" s="10" t="n">
        <v>12</v>
      </c>
      <c r="D100" s="10" t="n">
        <v>28</v>
      </c>
      <c r="E100" s="17" t="n">
        <v>365</v>
      </c>
      <c r="F100" s="22" t="n">
        <v>0.0001</v>
      </c>
      <c r="G100" s="10" t="n">
        <v>900</v>
      </c>
      <c r="H100" s="13" t="n">
        <v>0.0014</v>
      </c>
      <c r="I100" s="18" t="n">
        <v>10950</v>
      </c>
      <c r="J100" s="20" t="n">
        <v>12</v>
      </c>
      <c r="K100" s="19">
        <f>(F100*G100*E100*J100)/(D100*I100)</f>
        <v/>
      </c>
      <c r="L100" s="2">
        <f>(F100*G100*E100*5)/(D100*I100)</f>
        <v/>
      </c>
      <c r="M100" s="2">
        <f>(F100*G100*E100*10)/(D100*I100)</f>
        <v/>
      </c>
      <c r="N100" s="2">
        <f>(F100*G100*E100*15)/(D100*I100)</f>
        <v/>
      </c>
      <c r="O100" s="2">
        <f>(F100*G100*E100*20)/(D100*I100)</f>
        <v/>
      </c>
      <c r="P100" s="2">
        <f>(F100*G100*E100*25)/(D100*I100)</f>
        <v/>
      </c>
      <c r="Q100" s="2">
        <f>(F100*G100*E100*30)/(D100*I100)</f>
        <v/>
      </c>
      <c r="R100" s="2">
        <f>K100/H100</f>
        <v/>
      </c>
      <c r="S100" s="2">
        <f>L100/H100</f>
        <v/>
      </c>
      <c r="T100" s="2">
        <f>M100/H100</f>
        <v/>
      </c>
      <c r="U100" s="2">
        <f>N100/H100</f>
        <v/>
      </c>
      <c r="V100" s="2">
        <f>O100/H100</f>
        <v/>
      </c>
      <c r="W100" s="2">
        <f>P100/H100</f>
        <v/>
      </c>
      <c r="X100" s="2">
        <f>Q100/H100</f>
        <v/>
      </c>
      <c r="Y100" s="5">
        <f>IF(R100&gt;1,"1","2")</f>
        <v/>
      </c>
      <c r="Z100" s="5">
        <f>IF(S100&gt;1,"1","2")</f>
        <v/>
      </c>
      <c r="AA100" s="5">
        <f>IF(T100&gt;1,"1","2")</f>
        <v/>
      </c>
      <c r="AB100" s="5">
        <f>IF(U100&gt;1,"1","2")</f>
        <v/>
      </c>
      <c r="AC100" s="5">
        <f>IF(V100&gt;1,"1","2")</f>
        <v/>
      </c>
      <c r="AD100" s="5">
        <f>IF(W100&gt;1,"1","2")</f>
        <v/>
      </c>
      <c r="AE100" s="5">
        <f>IF(X100&gt;1,"1","2")</f>
        <v/>
      </c>
      <c r="AF100" t="n">
        <v>-5.154173</v>
      </c>
      <c r="AG100" t="n">
        <v>119.422746</v>
      </c>
    </row>
    <row r="101" ht="14.4" customHeight="1">
      <c r="A101" s="14" t="n">
        <v>98</v>
      </c>
      <c r="B101" s="15" t="inlineStr">
        <is>
          <t>Nas</t>
        </is>
      </c>
      <c r="C101" s="10" t="n">
        <v>12</v>
      </c>
      <c r="D101" s="10" t="n">
        <v>40</v>
      </c>
      <c r="E101" s="17" t="n">
        <v>365</v>
      </c>
      <c r="F101" s="22" t="n">
        <v>0.0001</v>
      </c>
      <c r="G101" s="10" t="n">
        <v>1800</v>
      </c>
      <c r="H101" s="13" t="n">
        <v>0.0014</v>
      </c>
      <c r="I101" s="18" t="n">
        <v>10950</v>
      </c>
      <c r="J101" s="20" t="n">
        <v>5</v>
      </c>
      <c r="K101" s="19">
        <f>(F101*G101*E101*J101)/(D101*I101)</f>
        <v/>
      </c>
      <c r="L101" s="2">
        <f>(F101*G101*E101*5)/(D101*I101)</f>
        <v/>
      </c>
      <c r="M101" s="2">
        <f>(F101*G101*E101*10)/(D101*I101)</f>
        <v/>
      </c>
      <c r="N101" s="2">
        <f>(F101*G101*E101*15)/(D101*I101)</f>
        <v/>
      </c>
      <c r="O101" s="2">
        <f>(F101*G101*E101*20)/(D101*I101)</f>
        <v/>
      </c>
      <c r="P101" s="2">
        <f>(F101*G101*E101*25)/(D101*I101)</f>
        <v/>
      </c>
      <c r="Q101" s="2">
        <f>(F101*G101*E101*30)/(D101*I101)</f>
        <v/>
      </c>
      <c r="R101" s="2">
        <f>K101/H101</f>
        <v/>
      </c>
      <c r="S101" s="2">
        <f>L101/H101</f>
        <v/>
      </c>
      <c r="T101" s="2">
        <f>M101/H101</f>
        <v/>
      </c>
      <c r="U101" s="2">
        <f>N101/H101</f>
        <v/>
      </c>
      <c r="V101" s="2">
        <f>O101/H101</f>
        <v/>
      </c>
      <c r="W101" s="2">
        <f>P101/H101</f>
        <v/>
      </c>
      <c r="X101" s="2">
        <f>Q101/H101</f>
        <v/>
      </c>
      <c r="Y101" s="5">
        <f>IF(R101&gt;1,"1","2")</f>
        <v/>
      </c>
      <c r="Z101" s="5">
        <f>IF(S101&gt;1,"1","2")</f>
        <v/>
      </c>
      <c r="AA101" s="5">
        <f>IF(T101&gt;1,"1","2")</f>
        <v/>
      </c>
      <c r="AB101" s="5">
        <f>IF(U101&gt;1,"1","2")</f>
        <v/>
      </c>
      <c r="AC101" s="5">
        <f>IF(V101&gt;1,"1","2")</f>
        <v/>
      </c>
      <c r="AD101" s="5">
        <f>IF(W101&gt;1,"1","2")</f>
        <v/>
      </c>
      <c r="AE101" s="5">
        <f>IF(X101&gt;1,"1","2")</f>
        <v/>
      </c>
      <c r="AF101" t="n">
        <v>-5.136754</v>
      </c>
      <c r="AG101" t="n">
        <v>119.409738</v>
      </c>
    </row>
    <row r="102" ht="14.4" customHeight="1">
      <c r="A102" s="14" t="n">
        <v>99</v>
      </c>
      <c r="B102" s="15" t="inlineStr">
        <is>
          <t>Dan</t>
        </is>
      </c>
      <c r="C102" s="10" t="n">
        <v>12</v>
      </c>
      <c r="D102" s="10" t="n">
        <v>28</v>
      </c>
      <c r="E102" s="17" t="n">
        <v>365</v>
      </c>
      <c r="F102" s="22" t="n">
        <v>0.0001</v>
      </c>
      <c r="G102" s="10" t="n">
        <v>1800</v>
      </c>
      <c r="H102" s="13" t="n">
        <v>0.0014</v>
      </c>
      <c r="I102" s="18" t="n">
        <v>10950</v>
      </c>
      <c r="J102" s="20" t="n">
        <v>12</v>
      </c>
      <c r="K102" s="19">
        <f>(F102*G102*E102*J102)/(D102*I102)</f>
        <v/>
      </c>
      <c r="L102" s="2">
        <f>(F102*G102*E102*5)/(D102*I102)</f>
        <v/>
      </c>
      <c r="M102" s="2">
        <f>(F102*G102*E102*10)/(D102*I102)</f>
        <v/>
      </c>
      <c r="N102" s="2">
        <f>(F102*G102*E102*15)/(D102*I102)</f>
        <v/>
      </c>
      <c r="O102" s="2">
        <f>(F102*G102*E102*20)/(D102*I102)</f>
        <v/>
      </c>
      <c r="P102" s="2">
        <f>(F102*G102*E102*25)/(D102*I102)</f>
        <v/>
      </c>
      <c r="Q102" s="2">
        <f>(F102*G102*E102*30)/(D102*I102)</f>
        <v/>
      </c>
      <c r="R102" s="2">
        <f>K102/H102</f>
        <v/>
      </c>
      <c r="S102" s="2">
        <f>L102/H102</f>
        <v/>
      </c>
      <c r="T102" s="2">
        <f>M102/H102</f>
        <v/>
      </c>
      <c r="U102" s="2">
        <f>N102/H102</f>
        <v/>
      </c>
      <c r="V102" s="2">
        <f>O102/H102</f>
        <v/>
      </c>
      <c r="W102" s="2">
        <f>P102/H102</f>
        <v/>
      </c>
      <c r="X102" s="2">
        <f>Q102/H102</f>
        <v/>
      </c>
      <c r="Y102" s="5">
        <f>IF(R102&gt;1,"1","2")</f>
        <v/>
      </c>
      <c r="Z102" s="5">
        <f>IF(S102&gt;1,"1","2")</f>
        <v/>
      </c>
      <c r="AA102" s="5">
        <f>IF(T102&gt;1,"1","2")</f>
        <v/>
      </c>
      <c r="AB102" s="5">
        <f>IF(U102&gt;1,"1","2")</f>
        <v/>
      </c>
      <c r="AC102" s="5">
        <f>IF(V102&gt;1,"1","2")</f>
        <v/>
      </c>
      <c r="AD102" s="5">
        <f>IF(W102&gt;1,"1","2")</f>
        <v/>
      </c>
      <c r="AE102" s="5">
        <f>IF(X102&gt;1,"1","2")</f>
        <v/>
      </c>
      <c r="AF102" t="n">
        <v>-5.154073</v>
      </c>
      <c r="AG102" t="n">
        <v>119.430798</v>
      </c>
    </row>
    <row r="103" ht="14.4" customHeight="1">
      <c r="A103" s="14" t="n">
        <v>100</v>
      </c>
      <c r="B103" s="15" t="inlineStr">
        <is>
          <t>Adm</t>
        </is>
      </c>
      <c r="C103" s="10" t="n">
        <v>12</v>
      </c>
      <c r="D103" s="10" t="n">
        <v>28</v>
      </c>
      <c r="E103" s="17" t="n">
        <v>365</v>
      </c>
      <c r="F103" s="22" t="n">
        <v>0.0001</v>
      </c>
      <c r="G103" s="10" t="n">
        <v>900</v>
      </c>
      <c r="H103" s="13" t="n">
        <v>0.0014</v>
      </c>
      <c r="I103" s="18" t="n">
        <v>10950</v>
      </c>
      <c r="J103" s="20" t="n">
        <v>12</v>
      </c>
      <c r="K103" s="19">
        <f>(F103*G103*E103*J103)/(D103*I103)</f>
        <v/>
      </c>
      <c r="L103" s="2">
        <f>(F103*G103*E103*5)/(D103*I103)</f>
        <v/>
      </c>
      <c r="M103" s="2">
        <f>(F103*G103*E103*10)/(D103*I103)</f>
        <v/>
      </c>
      <c r="N103" s="2">
        <f>(F103*G103*E103*15)/(D103*I103)</f>
        <v/>
      </c>
      <c r="O103" s="2">
        <f>(F103*G103*E103*20)/(D103*I103)</f>
        <v/>
      </c>
      <c r="P103" s="2">
        <f>(F103*G103*E103*25)/(D103*I103)</f>
        <v/>
      </c>
      <c r="Q103" s="2">
        <f>(F103*G103*E103*30)/(D103*I103)</f>
        <v/>
      </c>
      <c r="R103" s="2">
        <f>K103/H103</f>
        <v/>
      </c>
      <c r="S103" s="2">
        <f>L103/H103</f>
        <v/>
      </c>
      <c r="T103" s="2">
        <f>M103/H103</f>
        <v/>
      </c>
      <c r="U103" s="2">
        <f>N103/H103</f>
        <v/>
      </c>
      <c r="V103" s="2">
        <f>O103/H103</f>
        <v/>
      </c>
      <c r="W103" s="2">
        <f>P103/H103</f>
        <v/>
      </c>
      <c r="X103" s="2">
        <f>Q103/H103</f>
        <v/>
      </c>
      <c r="Y103" s="5">
        <f>IF(R103&gt;1,"1","2")</f>
        <v/>
      </c>
      <c r="Z103" s="5">
        <f>IF(S103&gt;1,"1","2")</f>
        <v/>
      </c>
      <c r="AA103" s="5">
        <f>IF(T103&gt;1,"1","2")</f>
        <v/>
      </c>
      <c r="AB103" s="5">
        <f>IF(U103&gt;1,"1","2")</f>
        <v/>
      </c>
      <c r="AC103" s="5">
        <f>IF(V103&gt;1,"1","2")</f>
        <v/>
      </c>
      <c r="AD103" s="5">
        <f>IF(W103&gt;1,"1","2")</f>
        <v/>
      </c>
      <c r="AE103" s="5">
        <f>IF(X103&gt;1,"1","2")</f>
        <v/>
      </c>
      <c r="AF103" t="n">
        <v>-5.120838</v>
      </c>
      <c r="AG103" t="n">
        <v>119.422815</v>
      </c>
    </row>
    <row r="104"/>
    <row r="105">
      <c r="A105" s="3" t="inlineStr">
        <is>
          <t>Interpretasi RQ</t>
        </is>
      </c>
      <c r="AF105" t="n">
        <v>-5.124876</v>
      </c>
      <c r="AG105" t="n">
        <v>119.417456</v>
      </c>
    </row>
    <row r="106">
      <c r="A106" s="3" t="inlineStr">
        <is>
          <t>1: Tidak aman</t>
        </is>
      </c>
      <c r="AF106" t="n">
        <v>-5.131573</v>
      </c>
      <c r="AG106" t="n">
        <v>119.445055</v>
      </c>
    </row>
    <row r="107">
      <c r="A107" s="3" t="inlineStr">
        <is>
          <t>2: Aman</t>
        </is>
      </c>
      <c r="AF107" t="n">
        <v>-5.150141</v>
      </c>
      <c r="AG107" t="n">
        <v>119.429064</v>
      </c>
    </row>
  </sheetData>
  <mergeCells count="31">
    <mergeCell ref="AB1:AB2"/>
    <mergeCell ref="AD1:AD2"/>
    <mergeCell ref="C1:C2"/>
    <mergeCell ref="V1:V2"/>
    <mergeCell ref="K1:K2"/>
    <mergeCell ref="E1:E2"/>
    <mergeCell ref="M1:M2"/>
    <mergeCell ref="O1:O2"/>
    <mergeCell ref="Q1:Q2"/>
    <mergeCell ref="W1:W2"/>
    <mergeCell ref="Y1:Y2"/>
    <mergeCell ref="AA1:AA2"/>
    <mergeCell ref="B1:B2"/>
    <mergeCell ref="AC1:AC2"/>
    <mergeCell ref="L1:L2"/>
    <mergeCell ref="N1:N2"/>
    <mergeCell ref="AE1:AE2"/>
    <mergeCell ref="T1:T2"/>
    <mergeCell ref="X1:X2"/>
    <mergeCell ref="G1:G2"/>
    <mergeCell ref="Z1:Z2"/>
    <mergeCell ref="I1:I2"/>
    <mergeCell ref="S1:S2"/>
    <mergeCell ref="U1:U2"/>
    <mergeCell ref="D1:D2"/>
    <mergeCell ref="R1:R2"/>
    <mergeCell ref="F1:F2"/>
    <mergeCell ref="H1:H2"/>
    <mergeCell ref="J1:J2"/>
    <mergeCell ref="P1:P2"/>
    <mergeCell ref="A1:A2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AZJ107"/>
  <sheetViews>
    <sheetView workbookViewId="0">
      <selection activeCell="I26" sqref="I26"/>
    </sheetView>
  </sheetViews>
  <sheetFormatPr baseColWidth="8" defaultColWidth="9.109375" defaultRowHeight="13.8"/>
  <cols>
    <col width="5.33203125" customWidth="1" style="3" min="1" max="1"/>
    <col width="15.6640625" customWidth="1" style="3" min="2" max="2"/>
    <col width="8.33203125" customWidth="1" style="3" min="3" max="4"/>
    <col width="5" customWidth="1" style="6" min="5" max="5"/>
    <col width="10.6640625" customWidth="1" style="3" min="6" max="6"/>
    <col width="9.109375" customWidth="1" style="3" min="7" max="10"/>
    <col width="10" bestFit="1" customWidth="1" style="3" min="11" max="11"/>
    <col width="10.88671875" customWidth="1" style="3" min="12" max="25"/>
    <col width="9.5546875" bestFit="1" customWidth="1" style="3" min="26" max="26"/>
    <col width="9.109375" customWidth="1" style="3" min="27" max="16384"/>
  </cols>
  <sheetData>
    <row r="1" ht="15" customHeight="1">
      <c r="A1" s="25" t="inlineStr">
        <is>
          <t>No</t>
        </is>
      </c>
      <c r="B1" s="26" t="inlineStr">
        <is>
          <t>Responden</t>
        </is>
      </c>
      <c r="C1" s="26" t="inlineStr">
        <is>
          <t>Umur</t>
        </is>
      </c>
      <c r="D1" s="26" t="inlineStr">
        <is>
          <t>Wb</t>
        </is>
      </c>
      <c r="E1" s="26" t="inlineStr">
        <is>
          <t>f</t>
        </is>
      </c>
      <c r="F1" s="23" t="inlineStr">
        <is>
          <t>C</t>
        </is>
      </c>
      <c r="G1" s="23" t="inlineStr">
        <is>
          <t>R</t>
        </is>
      </c>
      <c r="H1" s="23" t="inlineStr">
        <is>
          <t>RfD</t>
        </is>
      </c>
      <c r="I1" s="26" t="inlineStr">
        <is>
          <t>tavg</t>
        </is>
      </c>
      <c r="J1" s="23" t="inlineStr">
        <is>
          <t>Dt (realtime)</t>
        </is>
      </c>
      <c r="K1" s="23" t="inlineStr">
        <is>
          <t>Intake (Dt= realtime)</t>
        </is>
      </c>
      <c r="L1" s="23" t="inlineStr">
        <is>
          <t>Intake (Dt=5th)</t>
        </is>
      </c>
      <c r="M1" s="23" t="inlineStr">
        <is>
          <t>Intake (Dt=10th)</t>
        </is>
      </c>
      <c r="N1" s="23" t="inlineStr">
        <is>
          <t>Intake (Dt=15th)</t>
        </is>
      </c>
      <c r="O1" s="23" t="inlineStr">
        <is>
          <t>Intake (Dt=20th)</t>
        </is>
      </c>
      <c r="P1" s="23" t="inlineStr">
        <is>
          <t>Intake (Dt=25th)</t>
        </is>
      </c>
      <c r="Q1" s="23" t="inlineStr">
        <is>
          <t>Intake (Dt=30th)</t>
        </is>
      </c>
      <c r="R1" s="23" t="inlineStr">
        <is>
          <t>RQ (Dt=realtime)</t>
        </is>
      </c>
      <c r="S1" s="23" t="inlineStr">
        <is>
          <t>RQ (Dt=5th)</t>
        </is>
      </c>
      <c r="T1" s="23" t="inlineStr">
        <is>
          <t>RQ (Dt=10th)</t>
        </is>
      </c>
      <c r="U1" s="23" t="inlineStr">
        <is>
          <t>RQ (Dt=15th)</t>
        </is>
      </c>
      <c r="V1" s="23" t="inlineStr">
        <is>
          <t>RQ (Dt=20th)</t>
        </is>
      </c>
      <c r="W1" s="23" t="inlineStr">
        <is>
          <t>RQ (Dt=25th)</t>
        </is>
      </c>
      <c r="X1" s="23" t="inlineStr">
        <is>
          <t>RQ (Dt=30th)</t>
        </is>
      </c>
      <c r="Y1" s="23" t="inlineStr">
        <is>
          <t>Interpretasi RQ (realtime)</t>
        </is>
      </c>
      <c r="Z1" s="23" t="inlineStr">
        <is>
          <t>Interpretasi RQ (5 tahun)</t>
        </is>
      </c>
      <c r="AA1" s="23" t="inlineStr">
        <is>
          <t>Interpretasi RQ (10 tahun)</t>
        </is>
      </c>
      <c r="AB1" s="23" t="inlineStr">
        <is>
          <t>Interpretasi RQ (15 tahun)</t>
        </is>
      </c>
      <c r="AC1" s="23" t="inlineStr">
        <is>
          <t>Interpretasi RQ (20 tahun)</t>
        </is>
      </c>
      <c r="AD1" s="23" t="inlineStr">
        <is>
          <t>Interpretasi RQ (25 tahun)</t>
        </is>
      </c>
      <c r="AE1" s="23" t="inlineStr">
        <is>
          <t>Interpretasi RQ (30 tahun)</t>
        </is>
      </c>
      <c r="AF1" t="inlineStr">
        <is>
          <t>Latitude</t>
        </is>
      </c>
      <c r="AG1" t="inlineStr">
        <is>
          <t>Longitude</t>
        </is>
      </c>
    </row>
    <row r="2" ht="30.75" customHeight="1">
      <c r="A2" s="29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</row>
    <row r="3" ht="13.2" customFormat="1" customHeight="1" s="9">
      <c r="A3" s="7" t="n">
        <v>1</v>
      </c>
      <c r="B3" s="8" t="n">
        <v>2</v>
      </c>
      <c r="C3" s="7" t="n">
        <v>3</v>
      </c>
      <c r="D3" s="8" t="n">
        <v>4</v>
      </c>
      <c r="E3" s="7" t="n">
        <v>5</v>
      </c>
      <c r="F3" s="8" t="n">
        <v>6</v>
      </c>
      <c r="G3" s="7" t="n">
        <v>7</v>
      </c>
      <c r="H3" s="8" t="n">
        <v>8</v>
      </c>
      <c r="I3" s="7" t="n">
        <v>9</v>
      </c>
      <c r="J3" s="8" t="n">
        <v>10</v>
      </c>
      <c r="K3" s="7" t="n">
        <v>11</v>
      </c>
      <c r="L3" s="8" t="n">
        <v>12</v>
      </c>
      <c r="M3" s="7" t="n">
        <v>13</v>
      </c>
      <c r="N3" s="8" t="n">
        <v>14</v>
      </c>
      <c r="O3" s="7" t="n">
        <v>15</v>
      </c>
      <c r="P3" s="8" t="n">
        <v>16</v>
      </c>
      <c r="Q3" s="7" t="n">
        <v>17</v>
      </c>
      <c r="R3" s="8" t="n">
        <v>18</v>
      </c>
      <c r="S3" s="7" t="n">
        <v>19</v>
      </c>
      <c r="T3" s="8" t="n">
        <v>20</v>
      </c>
      <c r="U3" s="7" t="n">
        <v>21</v>
      </c>
      <c r="V3" s="8" t="n">
        <v>22</v>
      </c>
      <c r="W3" s="7" t="n">
        <v>23</v>
      </c>
      <c r="X3" s="8" t="n">
        <v>24</v>
      </c>
      <c r="Y3" s="7" t="n">
        <v>25</v>
      </c>
      <c r="Z3" s="8" t="n">
        <v>26</v>
      </c>
      <c r="AA3" s="7" t="n">
        <v>27</v>
      </c>
      <c r="AB3" s="8" t="n">
        <v>28</v>
      </c>
      <c r="AC3" s="7" t="n">
        <v>29</v>
      </c>
      <c r="AD3" s="8" t="n">
        <v>30</v>
      </c>
      <c r="AE3" s="7" t="n">
        <v>31</v>
      </c>
      <c r="AF3" s="11" t="n">
        <v>-5.150481</v>
      </c>
      <c r="AG3" s="11" t="n">
        <v>119.427211</v>
      </c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n"/>
      <c r="CD3" s="11" t="n"/>
      <c r="CE3" s="11" t="n"/>
      <c r="CF3" s="11" t="n"/>
      <c r="CG3" s="11" t="n"/>
      <c r="CH3" s="11" t="n"/>
      <c r="CI3" s="11" t="n"/>
      <c r="CJ3" s="11" t="n"/>
      <c r="CK3" s="11" t="n"/>
      <c r="CL3" s="11" t="n"/>
      <c r="CM3" s="11" t="n"/>
      <c r="CN3" s="11" t="n"/>
      <c r="CO3" s="11" t="n"/>
      <c r="CP3" s="11" t="n"/>
      <c r="CQ3" s="11" t="n"/>
      <c r="CR3" s="11" t="n"/>
      <c r="CS3" s="11" t="n"/>
      <c r="CT3" s="11" t="n"/>
      <c r="CU3" s="11" t="n"/>
      <c r="CV3" s="11" t="n"/>
      <c r="CW3" s="11" t="n"/>
      <c r="CX3" s="11" t="n"/>
      <c r="CY3" s="11" t="n"/>
      <c r="CZ3" s="11" t="n"/>
      <c r="DA3" s="11" t="n"/>
      <c r="DB3" s="11" t="n"/>
      <c r="DC3" s="11" t="n"/>
      <c r="DD3" s="11" t="n"/>
      <c r="DE3" s="11" t="n"/>
      <c r="DF3" s="11" t="n"/>
      <c r="DG3" s="11" t="n"/>
      <c r="DH3" s="11" t="n"/>
      <c r="DI3" s="11" t="n"/>
      <c r="DJ3" s="11" t="n"/>
      <c r="DK3" s="11" t="n"/>
      <c r="DL3" s="11" t="n"/>
      <c r="DM3" s="11" t="n"/>
      <c r="DN3" s="11" t="n"/>
      <c r="DO3" s="11" t="n"/>
      <c r="DP3" s="11" t="n"/>
      <c r="DQ3" s="11" t="n"/>
      <c r="DR3" s="11" t="n"/>
      <c r="DS3" s="11" t="n"/>
      <c r="DT3" s="11" t="n"/>
      <c r="DU3" s="11" t="n"/>
      <c r="DV3" s="11" t="n"/>
      <c r="DW3" s="11" t="n"/>
      <c r="DX3" s="11" t="n"/>
      <c r="DY3" s="11" t="n"/>
      <c r="DZ3" s="11" t="n"/>
      <c r="EA3" s="11" t="n"/>
      <c r="EB3" s="11" t="n"/>
      <c r="EC3" s="11" t="n"/>
      <c r="ED3" s="11" t="n"/>
      <c r="EE3" s="11" t="n"/>
      <c r="EF3" s="11" t="n"/>
      <c r="EG3" s="11" t="n"/>
      <c r="EH3" s="11" t="n"/>
      <c r="EI3" s="11" t="n"/>
      <c r="EJ3" s="11" t="n"/>
      <c r="EK3" s="11" t="n"/>
      <c r="EL3" s="11" t="n"/>
      <c r="EM3" s="11" t="n"/>
      <c r="EN3" s="11" t="n"/>
      <c r="EO3" s="11" t="n"/>
      <c r="EP3" s="11" t="n"/>
      <c r="EQ3" s="11" t="n"/>
      <c r="ER3" s="11" t="n"/>
      <c r="ES3" s="11" t="n"/>
      <c r="ET3" s="11" t="n"/>
      <c r="EU3" s="11" t="n"/>
      <c r="EV3" s="11" t="n"/>
      <c r="EW3" s="11" t="n"/>
      <c r="EX3" s="11" t="n"/>
      <c r="EY3" s="11" t="n"/>
      <c r="EZ3" s="11" t="n"/>
      <c r="FA3" s="11" t="n"/>
      <c r="FB3" s="11" t="n"/>
      <c r="FC3" s="11" t="n"/>
      <c r="FD3" s="11" t="n"/>
      <c r="FE3" s="11" t="n"/>
      <c r="FF3" s="11" t="n"/>
      <c r="FG3" s="11" t="n"/>
      <c r="FH3" s="11" t="n"/>
      <c r="FI3" s="11" t="n"/>
      <c r="FJ3" s="11" t="n"/>
      <c r="FK3" s="11" t="n"/>
      <c r="FL3" s="11" t="n"/>
      <c r="FM3" s="11" t="n"/>
      <c r="FN3" s="11" t="n"/>
      <c r="FO3" s="11" t="n"/>
      <c r="FP3" s="11" t="n"/>
      <c r="FQ3" s="11" t="n"/>
      <c r="FR3" s="11" t="n"/>
      <c r="FS3" s="11" t="n"/>
      <c r="FT3" s="11" t="n"/>
      <c r="FU3" s="11" t="n"/>
      <c r="FV3" s="11" t="n"/>
      <c r="FW3" s="11" t="n"/>
      <c r="FX3" s="11" t="n"/>
      <c r="FY3" s="11" t="n"/>
      <c r="FZ3" s="11" t="n"/>
      <c r="GA3" s="11" t="n"/>
      <c r="GB3" s="11" t="n"/>
      <c r="GC3" s="11" t="n"/>
      <c r="GD3" s="11" t="n"/>
      <c r="GE3" s="11" t="n"/>
      <c r="GF3" s="11" t="n"/>
      <c r="GG3" s="11" t="n"/>
      <c r="GH3" s="11" t="n"/>
      <c r="GI3" s="11" t="n"/>
      <c r="GJ3" s="11" t="n"/>
      <c r="GK3" s="11" t="n"/>
      <c r="GL3" s="11" t="n"/>
      <c r="GM3" s="11" t="n"/>
      <c r="GN3" s="11" t="n"/>
      <c r="GO3" s="11" t="n"/>
      <c r="GP3" s="11" t="n"/>
      <c r="GQ3" s="11" t="n"/>
      <c r="GR3" s="11" t="n"/>
      <c r="GS3" s="11" t="n"/>
      <c r="GT3" s="11" t="n"/>
      <c r="GU3" s="11" t="n"/>
      <c r="GV3" s="11" t="n"/>
      <c r="GW3" s="11" t="n"/>
      <c r="GX3" s="11" t="n"/>
      <c r="GY3" s="11" t="n"/>
      <c r="GZ3" s="11" t="n"/>
      <c r="HA3" s="11" t="n"/>
      <c r="HB3" s="11" t="n"/>
      <c r="HC3" s="11" t="n"/>
      <c r="HD3" s="11" t="n"/>
      <c r="HE3" s="11" t="n"/>
      <c r="HF3" s="11" t="n"/>
      <c r="HG3" s="11" t="n"/>
      <c r="HH3" s="11" t="n"/>
      <c r="HI3" s="11" t="n"/>
      <c r="HJ3" s="11" t="n"/>
      <c r="HK3" s="11" t="n"/>
      <c r="HL3" s="11" t="n"/>
      <c r="HM3" s="11" t="n"/>
      <c r="HN3" s="11" t="n"/>
      <c r="HO3" s="11" t="n"/>
      <c r="HP3" s="11" t="n"/>
      <c r="HQ3" s="11" t="n"/>
      <c r="HR3" s="11" t="n"/>
      <c r="HS3" s="11" t="n"/>
      <c r="HT3" s="11" t="n"/>
      <c r="HU3" s="11" t="n"/>
      <c r="HV3" s="11" t="n"/>
      <c r="HW3" s="11" t="n"/>
      <c r="HX3" s="11" t="n"/>
      <c r="HY3" s="11" t="n"/>
      <c r="HZ3" s="11" t="n"/>
      <c r="IA3" s="11" t="n"/>
      <c r="IB3" s="11" t="n"/>
      <c r="IC3" s="11" t="n"/>
      <c r="ID3" s="11" t="n"/>
      <c r="IE3" s="11" t="n"/>
      <c r="IF3" s="11" t="n"/>
      <c r="IG3" s="11" t="n"/>
      <c r="IH3" s="11" t="n"/>
      <c r="II3" s="11" t="n"/>
      <c r="IJ3" s="11" t="n"/>
      <c r="IK3" s="11" t="n"/>
      <c r="IL3" s="11" t="n"/>
      <c r="IM3" s="11" t="n"/>
      <c r="IN3" s="11" t="n"/>
      <c r="IO3" s="11" t="n"/>
      <c r="IP3" s="11" t="n"/>
      <c r="IQ3" s="11" t="n"/>
      <c r="IR3" s="11" t="n"/>
      <c r="IS3" s="11" t="n"/>
      <c r="IT3" s="11" t="n"/>
      <c r="IU3" s="11" t="n"/>
      <c r="IV3" s="11" t="n"/>
      <c r="IW3" s="11" t="n"/>
      <c r="IX3" s="11" t="n"/>
      <c r="IY3" s="11" t="n"/>
      <c r="IZ3" s="11" t="n"/>
      <c r="JA3" s="11" t="n"/>
      <c r="JB3" s="11" t="n"/>
      <c r="JC3" s="11" t="n"/>
      <c r="JD3" s="11" t="n"/>
      <c r="JE3" s="11" t="n"/>
      <c r="JF3" s="11" t="n"/>
      <c r="JG3" s="11" t="n"/>
      <c r="JH3" s="11" t="n"/>
      <c r="JI3" s="11" t="n"/>
      <c r="JJ3" s="11" t="n"/>
      <c r="JK3" s="11" t="n"/>
      <c r="JL3" s="11" t="n"/>
      <c r="JM3" s="11" t="n"/>
      <c r="JN3" s="11" t="n"/>
      <c r="JO3" s="11" t="n"/>
      <c r="JP3" s="11" t="n"/>
      <c r="JQ3" s="11" t="n"/>
      <c r="JR3" s="11" t="n"/>
      <c r="JS3" s="11" t="n"/>
      <c r="JT3" s="11" t="n"/>
      <c r="JU3" s="11" t="n"/>
      <c r="JV3" s="11" t="n"/>
      <c r="JW3" s="11" t="n"/>
      <c r="JX3" s="11" t="n"/>
      <c r="JY3" s="11" t="n"/>
      <c r="JZ3" s="11" t="n"/>
      <c r="KA3" s="11" t="n"/>
      <c r="KB3" s="11" t="n"/>
      <c r="KC3" s="11" t="n"/>
      <c r="KD3" s="11" t="n"/>
      <c r="KE3" s="11" t="n"/>
      <c r="KF3" s="11" t="n"/>
      <c r="KG3" s="11" t="n"/>
      <c r="KH3" s="11" t="n"/>
      <c r="KI3" s="11" t="n"/>
      <c r="KJ3" s="11" t="n"/>
      <c r="KK3" s="11" t="n"/>
      <c r="KL3" s="11" t="n"/>
      <c r="KM3" s="11" t="n"/>
      <c r="KN3" s="11" t="n"/>
      <c r="KO3" s="11" t="n"/>
      <c r="KP3" s="11" t="n"/>
      <c r="KQ3" s="11" t="n"/>
      <c r="KR3" s="11" t="n"/>
      <c r="KS3" s="11" t="n"/>
      <c r="KT3" s="11" t="n"/>
      <c r="KU3" s="11" t="n"/>
      <c r="KV3" s="11" t="n"/>
      <c r="KW3" s="11" t="n"/>
      <c r="KX3" s="11" t="n"/>
      <c r="KY3" s="11" t="n"/>
      <c r="KZ3" s="11" t="n"/>
      <c r="LA3" s="11" t="n"/>
      <c r="LB3" s="11" t="n"/>
      <c r="LC3" s="11" t="n"/>
      <c r="LD3" s="11" t="n"/>
      <c r="LE3" s="11" t="n"/>
      <c r="LF3" s="11" t="n"/>
      <c r="LG3" s="11" t="n"/>
      <c r="LH3" s="11" t="n"/>
      <c r="LI3" s="11" t="n"/>
      <c r="LJ3" s="11" t="n"/>
      <c r="LK3" s="11" t="n"/>
      <c r="LL3" s="11" t="n"/>
      <c r="LM3" s="11" t="n"/>
      <c r="LN3" s="11" t="n"/>
      <c r="LO3" s="11" t="n"/>
      <c r="LP3" s="11" t="n"/>
      <c r="LQ3" s="11" t="n"/>
      <c r="LR3" s="11" t="n"/>
      <c r="LS3" s="11" t="n"/>
      <c r="LT3" s="11" t="n"/>
      <c r="LU3" s="11" t="n"/>
      <c r="LV3" s="11" t="n"/>
      <c r="LW3" s="11" t="n"/>
      <c r="LX3" s="11" t="n"/>
      <c r="LY3" s="11" t="n"/>
      <c r="LZ3" s="11" t="n"/>
      <c r="MA3" s="11" t="n"/>
      <c r="MB3" s="11" t="n"/>
      <c r="MC3" s="11" t="n"/>
      <c r="MD3" s="11" t="n"/>
      <c r="ME3" s="11" t="n"/>
      <c r="MF3" s="11" t="n"/>
      <c r="MG3" s="11" t="n"/>
      <c r="MH3" s="11" t="n"/>
      <c r="MI3" s="11" t="n"/>
      <c r="MJ3" s="11" t="n"/>
      <c r="MK3" s="11" t="n"/>
      <c r="ML3" s="11" t="n"/>
      <c r="MM3" s="11" t="n"/>
      <c r="MN3" s="11" t="n"/>
      <c r="MO3" s="11" t="n"/>
      <c r="MP3" s="11" t="n"/>
      <c r="MQ3" s="11" t="n"/>
      <c r="MR3" s="11" t="n"/>
      <c r="MS3" s="11" t="n"/>
      <c r="MT3" s="11" t="n"/>
      <c r="MU3" s="11" t="n"/>
      <c r="MV3" s="11" t="n"/>
      <c r="MW3" s="11" t="n"/>
      <c r="MX3" s="11" t="n"/>
      <c r="MY3" s="11" t="n"/>
      <c r="MZ3" s="11" t="n"/>
      <c r="NA3" s="11" t="n"/>
      <c r="NB3" s="11" t="n"/>
      <c r="NC3" s="11" t="n"/>
      <c r="ND3" s="11" t="n"/>
      <c r="NE3" s="11" t="n"/>
      <c r="NF3" s="11" t="n"/>
      <c r="NG3" s="11" t="n"/>
      <c r="NH3" s="11" t="n"/>
      <c r="NI3" s="11" t="n"/>
      <c r="NJ3" s="11" t="n"/>
      <c r="NK3" s="11" t="n"/>
      <c r="NL3" s="11" t="n"/>
      <c r="NM3" s="11" t="n"/>
      <c r="NN3" s="11" t="n"/>
      <c r="NO3" s="11" t="n"/>
      <c r="NP3" s="11" t="n"/>
      <c r="NQ3" s="11" t="n"/>
      <c r="NR3" s="11" t="n"/>
      <c r="NS3" s="11" t="n"/>
      <c r="NT3" s="11" t="n"/>
      <c r="NU3" s="11" t="n"/>
      <c r="NV3" s="11" t="n"/>
      <c r="NW3" s="11" t="n"/>
      <c r="NX3" s="11" t="n"/>
      <c r="NY3" s="11" t="n"/>
      <c r="NZ3" s="11" t="n"/>
      <c r="OA3" s="11" t="n"/>
      <c r="OB3" s="11" t="n"/>
      <c r="OC3" s="11" t="n"/>
      <c r="OD3" s="11" t="n"/>
      <c r="OE3" s="11" t="n"/>
      <c r="OF3" s="11" t="n"/>
      <c r="OG3" s="11" t="n"/>
      <c r="OH3" s="11" t="n"/>
      <c r="OI3" s="11" t="n"/>
      <c r="OJ3" s="11" t="n"/>
      <c r="OK3" s="11" t="n"/>
      <c r="OL3" s="11" t="n"/>
      <c r="OM3" s="11" t="n"/>
      <c r="ON3" s="11" t="n"/>
      <c r="OO3" s="11" t="n"/>
      <c r="OP3" s="11" t="n"/>
      <c r="OQ3" s="11" t="n"/>
      <c r="OR3" s="11" t="n"/>
      <c r="OS3" s="11" t="n"/>
      <c r="OT3" s="11" t="n"/>
      <c r="OU3" s="11" t="n"/>
      <c r="OV3" s="11" t="n"/>
      <c r="OW3" s="11" t="n"/>
      <c r="OX3" s="11" t="n"/>
      <c r="OY3" s="11" t="n"/>
      <c r="OZ3" s="11" t="n"/>
      <c r="PA3" s="11" t="n"/>
      <c r="PB3" s="11" t="n"/>
      <c r="PC3" s="11" t="n"/>
      <c r="PD3" s="11" t="n"/>
      <c r="PE3" s="11" t="n"/>
      <c r="PF3" s="11" t="n"/>
      <c r="PG3" s="11" t="n"/>
      <c r="PH3" s="11" t="n"/>
      <c r="PI3" s="11" t="n"/>
      <c r="PJ3" s="11" t="n"/>
      <c r="PK3" s="11" t="n"/>
      <c r="PL3" s="11" t="n"/>
      <c r="PM3" s="11" t="n"/>
      <c r="PN3" s="11" t="n"/>
      <c r="PO3" s="11" t="n"/>
      <c r="PP3" s="11" t="n"/>
      <c r="PQ3" s="11" t="n"/>
      <c r="PR3" s="11" t="n"/>
      <c r="PS3" s="11" t="n"/>
      <c r="PT3" s="11" t="n"/>
      <c r="PU3" s="11" t="n"/>
      <c r="PV3" s="11" t="n"/>
      <c r="PW3" s="11" t="n"/>
      <c r="PX3" s="11" t="n"/>
      <c r="PY3" s="11" t="n"/>
      <c r="PZ3" s="11" t="n"/>
      <c r="QA3" s="11" t="n"/>
      <c r="QB3" s="11" t="n"/>
      <c r="QC3" s="11" t="n"/>
      <c r="QD3" s="11" t="n"/>
      <c r="QE3" s="11" t="n"/>
      <c r="QF3" s="11" t="n"/>
      <c r="QG3" s="11" t="n"/>
      <c r="QH3" s="11" t="n"/>
      <c r="QI3" s="11" t="n"/>
      <c r="QJ3" s="11" t="n"/>
      <c r="QK3" s="11" t="n"/>
      <c r="QL3" s="11" t="n"/>
      <c r="QM3" s="11" t="n"/>
      <c r="QN3" s="11" t="n"/>
      <c r="QO3" s="11" t="n"/>
      <c r="QP3" s="11" t="n"/>
      <c r="QQ3" s="11" t="n"/>
      <c r="QR3" s="11" t="n"/>
      <c r="QS3" s="11" t="n"/>
      <c r="QT3" s="11" t="n"/>
      <c r="QU3" s="11" t="n"/>
      <c r="QV3" s="11" t="n"/>
      <c r="QW3" s="11" t="n"/>
      <c r="QX3" s="11" t="n"/>
      <c r="QY3" s="11" t="n"/>
      <c r="QZ3" s="11" t="n"/>
      <c r="RA3" s="11" t="n"/>
      <c r="RB3" s="11" t="n"/>
      <c r="RC3" s="11" t="n"/>
      <c r="RD3" s="11" t="n"/>
      <c r="RE3" s="11" t="n"/>
      <c r="RF3" s="11" t="n"/>
      <c r="RG3" s="11" t="n"/>
      <c r="RH3" s="11" t="n"/>
      <c r="RI3" s="11" t="n"/>
      <c r="RJ3" s="11" t="n"/>
      <c r="RK3" s="11" t="n"/>
      <c r="RL3" s="11" t="n"/>
      <c r="RM3" s="11" t="n"/>
      <c r="RN3" s="11" t="n"/>
      <c r="RO3" s="11" t="n"/>
      <c r="RP3" s="11" t="n"/>
      <c r="RQ3" s="11" t="n"/>
      <c r="RR3" s="11" t="n"/>
      <c r="RS3" s="11" t="n"/>
      <c r="RT3" s="11" t="n"/>
      <c r="RU3" s="11" t="n"/>
      <c r="RV3" s="11" t="n"/>
      <c r="RW3" s="11" t="n"/>
      <c r="RX3" s="11" t="n"/>
      <c r="RY3" s="11" t="n"/>
      <c r="RZ3" s="11" t="n"/>
      <c r="SA3" s="11" t="n"/>
      <c r="SB3" s="11" t="n"/>
      <c r="SC3" s="11" t="n"/>
      <c r="SD3" s="11" t="n"/>
      <c r="SE3" s="11" t="n"/>
      <c r="SF3" s="11" t="n"/>
      <c r="SG3" s="11" t="n"/>
      <c r="SH3" s="11" t="n"/>
      <c r="SI3" s="11" t="n"/>
      <c r="SJ3" s="11" t="n"/>
      <c r="SK3" s="11" t="n"/>
      <c r="SL3" s="11" t="n"/>
      <c r="SM3" s="11" t="n"/>
      <c r="SN3" s="11" t="n"/>
      <c r="SO3" s="11" t="n"/>
      <c r="SP3" s="11" t="n"/>
      <c r="SQ3" s="11" t="n"/>
      <c r="SR3" s="11" t="n"/>
      <c r="SS3" s="11" t="n"/>
      <c r="ST3" s="11" t="n"/>
      <c r="SU3" s="11" t="n"/>
      <c r="SV3" s="11" t="n"/>
      <c r="SW3" s="11" t="n"/>
      <c r="SX3" s="11" t="n"/>
      <c r="SY3" s="11" t="n"/>
      <c r="SZ3" s="11" t="n"/>
      <c r="TA3" s="11" t="n"/>
      <c r="TB3" s="11" t="n"/>
      <c r="TC3" s="11" t="n"/>
      <c r="TD3" s="11" t="n"/>
      <c r="TE3" s="11" t="n"/>
      <c r="TF3" s="11" t="n"/>
      <c r="TG3" s="11" t="n"/>
      <c r="TH3" s="11" t="n"/>
      <c r="TI3" s="11" t="n"/>
      <c r="TJ3" s="11" t="n"/>
      <c r="TK3" s="11" t="n"/>
      <c r="TL3" s="11" t="n"/>
      <c r="TM3" s="11" t="n"/>
      <c r="TN3" s="11" t="n"/>
      <c r="TO3" s="11" t="n"/>
      <c r="TP3" s="11" t="n"/>
      <c r="TQ3" s="11" t="n"/>
      <c r="TR3" s="11" t="n"/>
      <c r="TS3" s="11" t="n"/>
      <c r="TT3" s="11" t="n"/>
      <c r="TU3" s="11" t="n"/>
      <c r="TV3" s="11" t="n"/>
      <c r="TW3" s="11" t="n"/>
      <c r="TX3" s="11" t="n"/>
      <c r="TY3" s="11" t="n"/>
      <c r="TZ3" s="11" t="n"/>
      <c r="UA3" s="11" t="n"/>
      <c r="UB3" s="11" t="n"/>
      <c r="UC3" s="11" t="n"/>
      <c r="UD3" s="11" t="n"/>
      <c r="UE3" s="11" t="n"/>
      <c r="UF3" s="11" t="n"/>
      <c r="UG3" s="11" t="n"/>
      <c r="UH3" s="11" t="n"/>
      <c r="UI3" s="11" t="n"/>
      <c r="UJ3" s="11" t="n"/>
      <c r="UK3" s="11" t="n"/>
      <c r="UL3" s="11" t="n"/>
      <c r="UM3" s="11" t="n"/>
      <c r="UN3" s="11" t="n"/>
      <c r="UO3" s="11" t="n"/>
      <c r="UP3" s="11" t="n"/>
      <c r="UQ3" s="11" t="n"/>
      <c r="UR3" s="11" t="n"/>
      <c r="US3" s="11" t="n"/>
      <c r="UT3" s="11" t="n"/>
      <c r="UU3" s="11" t="n"/>
      <c r="UV3" s="11" t="n"/>
      <c r="UW3" s="11" t="n"/>
      <c r="UX3" s="11" t="n"/>
      <c r="UY3" s="11" t="n"/>
      <c r="UZ3" s="11" t="n"/>
      <c r="VA3" s="11" t="n"/>
      <c r="VB3" s="11" t="n"/>
      <c r="VC3" s="11" t="n"/>
      <c r="VD3" s="11" t="n"/>
      <c r="VE3" s="11" t="n"/>
      <c r="VF3" s="11" t="n"/>
      <c r="VG3" s="11" t="n"/>
      <c r="VH3" s="11" t="n"/>
      <c r="VI3" s="11" t="n"/>
      <c r="VJ3" s="11" t="n"/>
      <c r="VK3" s="11" t="n"/>
      <c r="VL3" s="11" t="n"/>
      <c r="VM3" s="11" t="n"/>
      <c r="VN3" s="11" t="n"/>
      <c r="VO3" s="11" t="n"/>
      <c r="VP3" s="11" t="n"/>
      <c r="VQ3" s="11" t="n"/>
      <c r="VR3" s="11" t="n"/>
      <c r="VS3" s="11" t="n"/>
      <c r="VT3" s="11" t="n"/>
      <c r="VU3" s="11" t="n"/>
      <c r="VV3" s="11" t="n"/>
      <c r="VW3" s="11" t="n"/>
      <c r="VX3" s="11" t="n"/>
      <c r="VY3" s="11" t="n"/>
      <c r="VZ3" s="11" t="n"/>
      <c r="WA3" s="11" t="n"/>
      <c r="WB3" s="11" t="n"/>
      <c r="WC3" s="11" t="n"/>
      <c r="WD3" s="11" t="n"/>
      <c r="WE3" s="11" t="n"/>
      <c r="WF3" s="11" t="n"/>
      <c r="WG3" s="11" t="n"/>
      <c r="WH3" s="11" t="n"/>
      <c r="WI3" s="11" t="n"/>
      <c r="WJ3" s="11" t="n"/>
      <c r="WK3" s="11" t="n"/>
      <c r="WL3" s="11" t="n"/>
      <c r="WM3" s="11" t="n"/>
      <c r="WN3" s="11" t="n"/>
      <c r="WO3" s="11" t="n"/>
      <c r="WP3" s="11" t="n"/>
      <c r="WQ3" s="11" t="n"/>
      <c r="WR3" s="11" t="n"/>
      <c r="WS3" s="11" t="n"/>
      <c r="WT3" s="11" t="n"/>
      <c r="WU3" s="11" t="n"/>
      <c r="WV3" s="11" t="n"/>
      <c r="WW3" s="11" t="n"/>
      <c r="WX3" s="11" t="n"/>
      <c r="WY3" s="11" t="n"/>
      <c r="WZ3" s="11" t="n"/>
      <c r="XA3" s="11" t="n"/>
      <c r="XB3" s="11" t="n"/>
      <c r="XC3" s="11" t="n"/>
      <c r="XD3" s="11" t="n"/>
      <c r="XE3" s="11" t="n"/>
      <c r="XF3" s="11" t="n"/>
      <c r="XG3" s="11" t="n"/>
      <c r="XH3" s="11" t="n"/>
      <c r="XI3" s="11" t="n"/>
      <c r="XJ3" s="11" t="n"/>
      <c r="XK3" s="11" t="n"/>
      <c r="XL3" s="11" t="n"/>
      <c r="XM3" s="11" t="n"/>
      <c r="XN3" s="11" t="n"/>
      <c r="XO3" s="11" t="n"/>
      <c r="XP3" s="11" t="n"/>
      <c r="XQ3" s="11" t="n"/>
      <c r="XR3" s="11" t="n"/>
      <c r="XS3" s="11" t="n"/>
      <c r="XT3" s="11" t="n"/>
      <c r="XU3" s="11" t="n"/>
      <c r="XV3" s="11" t="n"/>
      <c r="XW3" s="11" t="n"/>
      <c r="XX3" s="11" t="n"/>
      <c r="XY3" s="11" t="n"/>
      <c r="XZ3" s="11" t="n"/>
      <c r="YA3" s="11" t="n"/>
      <c r="YB3" s="11" t="n"/>
      <c r="YC3" s="11" t="n"/>
      <c r="YD3" s="11" t="n"/>
      <c r="YE3" s="11" t="n"/>
      <c r="YF3" s="11" t="n"/>
      <c r="YG3" s="11" t="n"/>
      <c r="YH3" s="11" t="n"/>
      <c r="YI3" s="11" t="n"/>
      <c r="YJ3" s="11" t="n"/>
      <c r="YK3" s="11" t="n"/>
      <c r="YL3" s="11" t="n"/>
      <c r="YM3" s="11" t="n"/>
      <c r="YN3" s="11" t="n"/>
      <c r="YO3" s="11" t="n"/>
      <c r="YP3" s="11" t="n"/>
      <c r="YQ3" s="11" t="n"/>
      <c r="YR3" s="11" t="n"/>
      <c r="YS3" s="11" t="n"/>
      <c r="YT3" s="11" t="n"/>
      <c r="YU3" s="11" t="n"/>
      <c r="YV3" s="11" t="n"/>
      <c r="YW3" s="11" t="n"/>
      <c r="YX3" s="11" t="n"/>
      <c r="YY3" s="11" t="n"/>
      <c r="YZ3" s="11" t="n"/>
      <c r="ZA3" s="11" t="n"/>
      <c r="ZB3" s="11" t="n"/>
      <c r="ZC3" s="11" t="n"/>
      <c r="ZD3" s="11" t="n"/>
      <c r="ZE3" s="11" t="n"/>
      <c r="ZF3" s="11" t="n"/>
      <c r="ZG3" s="11" t="n"/>
      <c r="ZH3" s="11" t="n"/>
      <c r="ZI3" s="11" t="n"/>
      <c r="ZJ3" s="11" t="n"/>
      <c r="ZK3" s="11" t="n"/>
      <c r="ZL3" s="11" t="n"/>
      <c r="ZM3" s="11" t="n"/>
      <c r="ZN3" s="11" t="n"/>
      <c r="ZO3" s="11" t="n"/>
      <c r="ZP3" s="11" t="n"/>
      <c r="ZQ3" s="11" t="n"/>
      <c r="ZR3" s="11" t="n"/>
      <c r="ZS3" s="11" t="n"/>
      <c r="ZT3" s="11" t="n"/>
      <c r="ZU3" s="11" t="n"/>
      <c r="ZV3" s="11" t="n"/>
      <c r="ZW3" s="11" t="n"/>
      <c r="ZX3" s="11" t="n"/>
      <c r="ZY3" s="11" t="n"/>
      <c r="ZZ3" s="11" t="n"/>
      <c r="AAA3" s="11" t="n"/>
      <c r="AAB3" s="11" t="n"/>
      <c r="AAC3" s="11" t="n"/>
      <c r="AAD3" s="11" t="n"/>
      <c r="AAE3" s="11" t="n"/>
      <c r="AAF3" s="11" t="n"/>
      <c r="AAG3" s="11" t="n"/>
      <c r="AAH3" s="11" t="n"/>
      <c r="AAI3" s="11" t="n"/>
      <c r="AAJ3" s="11" t="n"/>
      <c r="AAK3" s="11" t="n"/>
      <c r="AAL3" s="11" t="n"/>
      <c r="AAM3" s="11" t="n"/>
      <c r="AAN3" s="11" t="n"/>
      <c r="AAO3" s="11" t="n"/>
      <c r="AAP3" s="11" t="n"/>
      <c r="AAQ3" s="11" t="n"/>
      <c r="AAR3" s="11" t="n"/>
      <c r="AAS3" s="11" t="n"/>
      <c r="AAT3" s="11" t="n"/>
      <c r="AAU3" s="11" t="n"/>
      <c r="AAV3" s="11" t="n"/>
      <c r="AAW3" s="11" t="n"/>
      <c r="AAX3" s="11" t="n"/>
      <c r="AAY3" s="11" t="n"/>
      <c r="AAZ3" s="11" t="n"/>
      <c r="ABA3" s="11" t="n"/>
      <c r="ABB3" s="11" t="n"/>
      <c r="ABC3" s="11" t="n"/>
      <c r="ABD3" s="11" t="n"/>
      <c r="ABE3" s="11" t="n"/>
      <c r="ABF3" s="11" t="n"/>
      <c r="ABG3" s="11" t="n"/>
      <c r="ABH3" s="11" t="n"/>
      <c r="ABI3" s="11" t="n"/>
      <c r="ABJ3" s="11" t="n"/>
      <c r="ABK3" s="11" t="n"/>
      <c r="ABL3" s="11" t="n"/>
      <c r="ABM3" s="11" t="n"/>
      <c r="ABN3" s="11" t="n"/>
      <c r="ABO3" s="11" t="n"/>
      <c r="ABP3" s="11" t="n"/>
      <c r="ABQ3" s="11" t="n"/>
      <c r="ABR3" s="11" t="n"/>
      <c r="ABS3" s="11" t="n"/>
      <c r="ABT3" s="11" t="n"/>
      <c r="ABU3" s="11" t="n"/>
      <c r="ABV3" s="11" t="n"/>
      <c r="ABW3" s="11" t="n"/>
      <c r="ABX3" s="11" t="n"/>
      <c r="ABY3" s="11" t="n"/>
      <c r="ABZ3" s="11" t="n"/>
      <c r="ACA3" s="11" t="n"/>
      <c r="ACB3" s="11" t="n"/>
      <c r="ACC3" s="11" t="n"/>
      <c r="ACD3" s="11" t="n"/>
      <c r="ACE3" s="11" t="n"/>
      <c r="ACF3" s="11" t="n"/>
      <c r="ACG3" s="11" t="n"/>
      <c r="ACH3" s="11" t="n"/>
      <c r="ACI3" s="11" t="n"/>
      <c r="ACJ3" s="11" t="n"/>
      <c r="ACK3" s="11" t="n"/>
      <c r="ACL3" s="11" t="n"/>
      <c r="ACM3" s="11" t="n"/>
      <c r="ACN3" s="11" t="n"/>
      <c r="ACO3" s="11" t="n"/>
      <c r="ACP3" s="11" t="n"/>
      <c r="ACQ3" s="11" t="n"/>
      <c r="ACR3" s="11" t="n"/>
      <c r="ACS3" s="11" t="n"/>
      <c r="ACT3" s="11" t="n"/>
      <c r="ACU3" s="11" t="n"/>
      <c r="ACV3" s="11" t="n"/>
      <c r="ACW3" s="11" t="n"/>
      <c r="ACX3" s="11" t="n"/>
      <c r="ACY3" s="11" t="n"/>
      <c r="ACZ3" s="11" t="n"/>
      <c r="ADA3" s="11" t="n"/>
      <c r="ADB3" s="11" t="n"/>
      <c r="ADC3" s="11" t="n"/>
      <c r="ADD3" s="11" t="n"/>
      <c r="ADE3" s="11" t="n"/>
      <c r="ADF3" s="11" t="n"/>
      <c r="ADG3" s="11" t="n"/>
      <c r="ADH3" s="11" t="n"/>
      <c r="ADI3" s="11" t="n"/>
      <c r="ADJ3" s="11" t="n"/>
      <c r="ADK3" s="11" t="n"/>
      <c r="ADL3" s="11" t="n"/>
      <c r="ADM3" s="11" t="n"/>
      <c r="ADN3" s="11" t="n"/>
      <c r="ADO3" s="11" t="n"/>
      <c r="ADP3" s="11" t="n"/>
      <c r="ADQ3" s="11" t="n"/>
      <c r="ADR3" s="11" t="n"/>
      <c r="ADS3" s="11" t="n"/>
      <c r="ADT3" s="11" t="n"/>
      <c r="ADU3" s="11" t="n"/>
      <c r="ADV3" s="11" t="n"/>
      <c r="ADW3" s="11" t="n"/>
      <c r="ADX3" s="11" t="n"/>
      <c r="ADY3" s="11" t="n"/>
      <c r="ADZ3" s="11" t="n"/>
      <c r="AEA3" s="11" t="n"/>
      <c r="AEB3" s="11" t="n"/>
      <c r="AEC3" s="11" t="n"/>
      <c r="AED3" s="11" t="n"/>
      <c r="AEE3" s="11" t="n"/>
      <c r="AEF3" s="11" t="n"/>
      <c r="AEG3" s="11" t="n"/>
      <c r="AEH3" s="11" t="n"/>
      <c r="AEI3" s="11" t="n"/>
      <c r="AEJ3" s="11" t="n"/>
      <c r="AEK3" s="11" t="n"/>
      <c r="AEL3" s="11" t="n"/>
      <c r="AEM3" s="11" t="n"/>
      <c r="AEN3" s="11" t="n"/>
      <c r="AEO3" s="11" t="n"/>
      <c r="AEP3" s="11" t="n"/>
      <c r="AEQ3" s="11" t="n"/>
      <c r="AER3" s="11" t="n"/>
      <c r="AES3" s="11" t="n"/>
      <c r="AET3" s="11" t="n"/>
      <c r="AEU3" s="11" t="n"/>
      <c r="AEV3" s="11" t="n"/>
      <c r="AEW3" s="11" t="n"/>
      <c r="AEX3" s="11" t="n"/>
      <c r="AEY3" s="11" t="n"/>
      <c r="AEZ3" s="11" t="n"/>
      <c r="AFA3" s="11" t="n"/>
      <c r="AFB3" s="11" t="n"/>
      <c r="AFC3" s="11" t="n"/>
      <c r="AFD3" s="11" t="n"/>
      <c r="AFE3" s="11" t="n"/>
      <c r="AFF3" s="11" t="n"/>
      <c r="AFG3" s="11" t="n"/>
      <c r="AFH3" s="11" t="n"/>
      <c r="AFI3" s="11" t="n"/>
      <c r="AFJ3" s="11" t="n"/>
      <c r="AFK3" s="11" t="n"/>
      <c r="AFL3" s="11" t="n"/>
      <c r="AFM3" s="11" t="n"/>
      <c r="AFN3" s="11" t="n"/>
      <c r="AFO3" s="11" t="n"/>
      <c r="AFP3" s="11" t="n"/>
      <c r="AFQ3" s="11" t="n"/>
      <c r="AFR3" s="11" t="n"/>
      <c r="AFS3" s="11" t="n"/>
      <c r="AFT3" s="11" t="n"/>
      <c r="AFU3" s="11" t="n"/>
      <c r="AFV3" s="11" t="n"/>
      <c r="AFW3" s="11" t="n"/>
      <c r="AFX3" s="11" t="n"/>
      <c r="AFY3" s="11" t="n"/>
      <c r="AFZ3" s="11" t="n"/>
      <c r="AGA3" s="11" t="n"/>
      <c r="AGB3" s="11" t="n"/>
      <c r="AGC3" s="11" t="n"/>
      <c r="AGD3" s="11" t="n"/>
      <c r="AGE3" s="11" t="n"/>
      <c r="AGF3" s="11" t="n"/>
      <c r="AGG3" s="11" t="n"/>
      <c r="AGH3" s="11" t="n"/>
      <c r="AGI3" s="11" t="n"/>
      <c r="AGJ3" s="11" t="n"/>
      <c r="AGK3" s="11" t="n"/>
      <c r="AGL3" s="11" t="n"/>
      <c r="AGM3" s="11" t="n"/>
      <c r="AGN3" s="11" t="n"/>
      <c r="AGO3" s="11" t="n"/>
      <c r="AGP3" s="11" t="n"/>
      <c r="AGQ3" s="11" t="n"/>
      <c r="AGR3" s="11" t="n"/>
      <c r="AGS3" s="11" t="n"/>
      <c r="AGT3" s="11" t="n"/>
      <c r="AGU3" s="11" t="n"/>
      <c r="AGV3" s="11" t="n"/>
      <c r="AGW3" s="11" t="n"/>
      <c r="AGX3" s="11" t="n"/>
      <c r="AGY3" s="11" t="n"/>
      <c r="AGZ3" s="11" t="n"/>
      <c r="AHA3" s="11" t="n"/>
      <c r="AHB3" s="11" t="n"/>
      <c r="AHC3" s="11" t="n"/>
      <c r="AHD3" s="11" t="n"/>
      <c r="AHE3" s="11" t="n"/>
      <c r="AHF3" s="11" t="n"/>
      <c r="AHG3" s="11" t="n"/>
      <c r="AHH3" s="11" t="n"/>
      <c r="AHI3" s="11" t="n"/>
      <c r="AHJ3" s="11" t="n"/>
      <c r="AHK3" s="11" t="n"/>
      <c r="AHL3" s="11" t="n"/>
      <c r="AHM3" s="11" t="n"/>
      <c r="AHN3" s="11" t="n"/>
      <c r="AHO3" s="11" t="n"/>
      <c r="AHP3" s="11" t="n"/>
      <c r="AHQ3" s="11" t="n"/>
      <c r="AHR3" s="11" t="n"/>
      <c r="AHS3" s="11" t="n"/>
      <c r="AHT3" s="11" t="n"/>
      <c r="AHU3" s="11" t="n"/>
      <c r="AHV3" s="11" t="n"/>
      <c r="AHW3" s="11" t="n"/>
      <c r="AHX3" s="11" t="n"/>
      <c r="AHY3" s="11" t="n"/>
      <c r="AHZ3" s="11" t="n"/>
      <c r="AIA3" s="11" t="n"/>
      <c r="AIB3" s="11" t="n"/>
      <c r="AIC3" s="11" t="n"/>
      <c r="AID3" s="11" t="n"/>
      <c r="AIE3" s="11" t="n"/>
      <c r="AIF3" s="11" t="n"/>
      <c r="AIG3" s="11" t="n"/>
      <c r="AIH3" s="11" t="n"/>
      <c r="AII3" s="11" t="n"/>
      <c r="AIJ3" s="11" t="n"/>
      <c r="AIK3" s="11" t="n"/>
      <c r="AIL3" s="11" t="n"/>
      <c r="AIM3" s="11" t="n"/>
      <c r="AIN3" s="11" t="n"/>
      <c r="AIO3" s="11" t="n"/>
      <c r="AIP3" s="11" t="n"/>
      <c r="AIQ3" s="11" t="n"/>
      <c r="AIR3" s="11" t="n"/>
      <c r="AIS3" s="11" t="n"/>
      <c r="AIT3" s="11" t="n"/>
      <c r="AIU3" s="11" t="n"/>
      <c r="AIV3" s="11" t="n"/>
      <c r="AIW3" s="11" t="n"/>
      <c r="AIX3" s="11" t="n"/>
      <c r="AIY3" s="11" t="n"/>
      <c r="AIZ3" s="11" t="n"/>
      <c r="AJA3" s="11" t="n"/>
      <c r="AJB3" s="11" t="n"/>
      <c r="AJC3" s="11" t="n"/>
      <c r="AJD3" s="11" t="n"/>
      <c r="AJE3" s="11" t="n"/>
      <c r="AJF3" s="11" t="n"/>
      <c r="AJG3" s="11" t="n"/>
      <c r="AJH3" s="11" t="n"/>
      <c r="AJI3" s="11" t="n"/>
      <c r="AJJ3" s="11" t="n"/>
      <c r="AJK3" s="11" t="n"/>
      <c r="AJL3" s="11" t="n"/>
      <c r="AJM3" s="11" t="n"/>
      <c r="AJN3" s="11" t="n"/>
      <c r="AJO3" s="11" t="n"/>
      <c r="AJP3" s="11" t="n"/>
      <c r="AJQ3" s="11" t="n"/>
      <c r="AJR3" s="11" t="n"/>
      <c r="AJS3" s="11" t="n"/>
      <c r="AJT3" s="11" t="n"/>
      <c r="AJU3" s="11" t="n"/>
      <c r="AJV3" s="11" t="n"/>
      <c r="AJW3" s="11" t="n"/>
      <c r="AJX3" s="11" t="n"/>
      <c r="AJY3" s="11" t="n"/>
      <c r="AJZ3" s="11" t="n"/>
      <c r="AKA3" s="11" t="n"/>
      <c r="AKB3" s="11" t="n"/>
      <c r="AKC3" s="11" t="n"/>
      <c r="AKD3" s="11" t="n"/>
      <c r="AKE3" s="11" t="n"/>
      <c r="AKF3" s="11" t="n"/>
      <c r="AKG3" s="11" t="n"/>
      <c r="AKH3" s="11" t="n"/>
      <c r="AKI3" s="11" t="n"/>
      <c r="AKJ3" s="11" t="n"/>
      <c r="AKK3" s="11" t="n"/>
      <c r="AKL3" s="11" t="n"/>
      <c r="AKM3" s="11" t="n"/>
      <c r="AKN3" s="11" t="n"/>
      <c r="AKO3" s="11" t="n"/>
      <c r="AKP3" s="11" t="n"/>
      <c r="AKQ3" s="11" t="n"/>
      <c r="AKR3" s="11" t="n"/>
      <c r="AKS3" s="11" t="n"/>
      <c r="AKT3" s="11" t="n"/>
      <c r="AKU3" s="11" t="n"/>
      <c r="AKV3" s="11" t="n"/>
      <c r="AKW3" s="11" t="n"/>
      <c r="AKX3" s="11" t="n"/>
      <c r="AKY3" s="11" t="n"/>
      <c r="AKZ3" s="11" t="n"/>
      <c r="ALA3" s="11" t="n"/>
      <c r="ALB3" s="11" t="n"/>
      <c r="ALC3" s="11" t="n"/>
      <c r="ALD3" s="11" t="n"/>
      <c r="ALE3" s="11" t="n"/>
      <c r="ALF3" s="11" t="n"/>
      <c r="ALG3" s="11" t="n"/>
      <c r="ALH3" s="11" t="n"/>
      <c r="ALI3" s="11" t="n"/>
      <c r="ALJ3" s="11" t="n"/>
      <c r="ALK3" s="11" t="n"/>
      <c r="ALL3" s="11" t="n"/>
      <c r="ALM3" s="11" t="n"/>
      <c r="ALN3" s="11" t="n"/>
      <c r="ALO3" s="11" t="n"/>
      <c r="ALP3" s="11" t="n"/>
      <c r="ALQ3" s="11" t="n"/>
      <c r="ALR3" s="11" t="n"/>
      <c r="ALS3" s="11" t="n"/>
      <c r="ALT3" s="11" t="n"/>
      <c r="ALU3" s="11" t="n"/>
      <c r="ALV3" s="11" t="n"/>
      <c r="ALW3" s="11" t="n"/>
      <c r="ALX3" s="11" t="n"/>
      <c r="ALY3" s="11" t="n"/>
      <c r="ALZ3" s="11" t="n"/>
      <c r="AMA3" s="11" t="n"/>
      <c r="AMB3" s="11" t="n"/>
      <c r="AMC3" s="11" t="n"/>
      <c r="AMD3" s="11" t="n"/>
      <c r="AME3" s="11" t="n"/>
      <c r="AMF3" s="11" t="n"/>
      <c r="AMG3" s="11" t="n"/>
      <c r="AMH3" s="11" t="n"/>
      <c r="AMI3" s="11" t="n"/>
      <c r="AMJ3" s="11" t="n"/>
      <c r="AMK3" s="11" t="n"/>
      <c r="AML3" s="11" t="n"/>
      <c r="AMM3" s="11" t="n"/>
      <c r="AMN3" s="11" t="n"/>
      <c r="AMO3" s="11" t="n"/>
      <c r="AMP3" s="11" t="n"/>
      <c r="AMQ3" s="11" t="n"/>
      <c r="AMR3" s="11" t="n"/>
      <c r="AMS3" s="11" t="n"/>
      <c r="AMT3" s="11" t="n"/>
      <c r="AMU3" s="11" t="n"/>
      <c r="AMV3" s="11" t="n"/>
      <c r="AMW3" s="11" t="n"/>
      <c r="AMX3" s="11" t="n"/>
      <c r="AMY3" s="11" t="n"/>
      <c r="AMZ3" s="11" t="n"/>
      <c r="ANA3" s="11" t="n"/>
      <c r="ANB3" s="11" t="n"/>
      <c r="ANC3" s="11" t="n"/>
      <c r="AND3" s="11" t="n"/>
      <c r="ANE3" s="11" t="n"/>
      <c r="ANF3" s="11" t="n"/>
      <c r="ANG3" s="11" t="n"/>
      <c r="ANH3" s="11" t="n"/>
      <c r="ANI3" s="11" t="n"/>
      <c r="ANJ3" s="11" t="n"/>
      <c r="ANK3" s="11" t="n"/>
      <c r="ANL3" s="11" t="n"/>
      <c r="ANM3" s="11" t="n"/>
      <c r="ANN3" s="11" t="n"/>
      <c r="ANO3" s="11" t="n"/>
      <c r="ANP3" s="11" t="n"/>
      <c r="ANQ3" s="11" t="n"/>
      <c r="ANR3" s="11" t="n"/>
      <c r="ANS3" s="11" t="n"/>
      <c r="ANT3" s="11" t="n"/>
      <c r="ANU3" s="11" t="n"/>
      <c r="ANV3" s="11" t="n"/>
      <c r="ANW3" s="11" t="n"/>
      <c r="ANX3" s="11" t="n"/>
      <c r="ANY3" s="11" t="n"/>
      <c r="ANZ3" s="11" t="n"/>
      <c r="AOA3" s="11" t="n"/>
      <c r="AOB3" s="11" t="n"/>
      <c r="AOC3" s="11" t="n"/>
      <c r="AOD3" s="11" t="n"/>
      <c r="AOE3" s="11" t="n"/>
      <c r="AOF3" s="11" t="n"/>
      <c r="AOG3" s="11" t="n"/>
      <c r="AOH3" s="11" t="n"/>
      <c r="AOI3" s="11" t="n"/>
      <c r="AOJ3" s="11" t="n"/>
      <c r="AOK3" s="11" t="n"/>
      <c r="AOL3" s="11" t="n"/>
      <c r="AOM3" s="11" t="n"/>
      <c r="AON3" s="11" t="n"/>
      <c r="AOO3" s="11" t="n"/>
      <c r="AOP3" s="11" t="n"/>
      <c r="AOQ3" s="11" t="n"/>
      <c r="AOR3" s="11" t="n"/>
      <c r="AOS3" s="11" t="n"/>
      <c r="AOT3" s="11" t="n"/>
      <c r="AOU3" s="11" t="n"/>
      <c r="AOV3" s="11" t="n"/>
      <c r="AOW3" s="11" t="n"/>
      <c r="AOX3" s="11" t="n"/>
      <c r="AOY3" s="11" t="n"/>
      <c r="AOZ3" s="11" t="n"/>
      <c r="APA3" s="11" t="n"/>
      <c r="APB3" s="11" t="n"/>
      <c r="APC3" s="11" t="n"/>
      <c r="APD3" s="11" t="n"/>
      <c r="APE3" s="11" t="n"/>
      <c r="APF3" s="11" t="n"/>
      <c r="APG3" s="11" t="n"/>
      <c r="APH3" s="11" t="n"/>
      <c r="API3" s="11" t="n"/>
      <c r="APJ3" s="11" t="n"/>
      <c r="APK3" s="11" t="n"/>
      <c r="APL3" s="11" t="n"/>
      <c r="APM3" s="11" t="n"/>
      <c r="APN3" s="11" t="n"/>
      <c r="APO3" s="11" t="n"/>
      <c r="APP3" s="11" t="n"/>
      <c r="APQ3" s="11" t="n"/>
      <c r="APR3" s="11" t="n"/>
      <c r="APS3" s="11" t="n"/>
      <c r="APT3" s="11" t="n"/>
      <c r="APU3" s="11" t="n"/>
      <c r="APV3" s="11" t="n"/>
      <c r="APW3" s="11" t="n"/>
      <c r="APX3" s="11" t="n"/>
      <c r="APY3" s="11" t="n"/>
      <c r="APZ3" s="11" t="n"/>
      <c r="AQA3" s="11" t="n"/>
      <c r="AQB3" s="11" t="n"/>
      <c r="AQC3" s="11" t="n"/>
      <c r="AQD3" s="11" t="n"/>
      <c r="AQE3" s="11" t="n"/>
      <c r="AQF3" s="11" t="n"/>
      <c r="AQG3" s="11" t="n"/>
      <c r="AQH3" s="11" t="n"/>
      <c r="AQI3" s="11" t="n"/>
      <c r="AQJ3" s="11" t="n"/>
      <c r="AQK3" s="11" t="n"/>
      <c r="AQL3" s="11" t="n"/>
      <c r="AQM3" s="11" t="n"/>
      <c r="AQN3" s="11" t="n"/>
      <c r="AQO3" s="11" t="n"/>
      <c r="AQP3" s="11" t="n"/>
      <c r="AQQ3" s="11" t="n"/>
      <c r="AQR3" s="11" t="n"/>
      <c r="AQS3" s="11" t="n"/>
      <c r="AQT3" s="11" t="n"/>
      <c r="AQU3" s="11" t="n"/>
      <c r="AQV3" s="11" t="n"/>
      <c r="AQW3" s="11" t="n"/>
      <c r="AQX3" s="11" t="n"/>
      <c r="AQY3" s="11" t="n"/>
      <c r="AQZ3" s="11" t="n"/>
      <c r="ARA3" s="11" t="n"/>
      <c r="ARB3" s="11" t="n"/>
      <c r="ARC3" s="11" t="n"/>
      <c r="ARD3" s="11" t="n"/>
      <c r="ARE3" s="11" t="n"/>
      <c r="ARF3" s="11" t="n"/>
      <c r="ARG3" s="11" t="n"/>
      <c r="ARH3" s="11" t="n"/>
      <c r="ARI3" s="11" t="n"/>
      <c r="ARJ3" s="11" t="n"/>
      <c r="ARK3" s="11" t="n"/>
      <c r="ARL3" s="11" t="n"/>
      <c r="ARM3" s="11" t="n"/>
      <c r="ARN3" s="11" t="n"/>
      <c r="ARO3" s="11" t="n"/>
      <c r="ARP3" s="11" t="n"/>
      <c r="ARQ3" s="11" t="n"/>
      <c r="ARR3" s="11" t="n"/>
      <c r="ARS3" s="11" t="n"/>
      <c r="ART3" s="11" t="n"/>
      <c r="ARU3" s="11" t="n"/>
      <c r="ARV3" s="11" t="n"/>
      <c r="ARW3" s="11" t="n"/>
      <c r="ARX3" s="11" t="n"/>
      <c r="ARY3" s="11" t="n"/>
      <c r="ARZ3" s="11" t="n"/>
      <c r="ASA3" s="11" t="n"/>
      <c r="ASB3" s="11" t="n"/>
      <c r="ASC3" s="11" t="n"/>
      <c r="ASD3" s="11" t="n"/>
      <c r="ASE3" s="11" t="n"/>
      <c r="ASF3" s="11" t="n"/>
      <c r="ASG3" s="11" t="n"/>
      <c r="ASH3" s="11" t="n"/>
      <c r="ASI3" s="11" t="n"/>
      <c r="ASJ3" s="11" t="n"/>
      <c r="ASK3" s="11" t="n"/>
      <c r="ASL3" s="11" t="n"/>
      <c r="ASM3" s="11" t="n"/>
      <c r="ASN3" s="11" t="n"/>
      <c r="ASO3" s="11" t="n"/>
      <c r="ASP3" s="11" t="n"/>
      <c r="ASQ3" s="11" t="n"/>
      <c r="ASR3" s="11" t="n"/>
      <c r="ASS3" s="11" t="n"/>
      <c r="AST3" s="11" t="n"/>
      <c r="ASU3" s="11" t="n"/>
      <c r="ASV3" s="11" t="n"/>
      <c r="ASW3" s="11" t="n"/>
      <c r="ASX3" s="11" t="n"/>
      <c r="ASY3" s="11" t="n"/>
      <c r="ASZ3" s="11" t="n"/>
      <c r="ATA3" s="11" t="n"/>
      <c r="ATB3" s="11" t="n"/>
      <c r="ATC3" s="11" t="n"/>
      <c r="ATD3" s="11" t="n"/>
      <c r="ATE3" s="11" t="n"/>
      <c r="ATF3" s="11" t="n"/>
      <c r="ATG3" s="11" t="n"/>
      <c r="ATH3" s="11" t="n"/>
      <c r="ATI3" s="11" t="n"/>
      <c r="ATJ3" s="11" t="n"/>
      <c r="ATK3" s="11" t="n"/>
      <c r="ATL3" s="11" t="n"/>
      <c r="ATM3" s="11" t="n"/>
      <c r="ATN3" s="11" t="n"/>
      <c r="ATO3" s="11" t="n"/>
      <c r="ATP3" s="11" t="n"/>
      <c r="ATQ3" s="11" t="n"/>
      <c r="ATR3" s="11" t="n"/>
      <c r="ATS3" s="11" t="n"/>
      <c r="ATT3" s="11" t="n"/>
      <c r="ATU3" s="11" t="n"/>
      <c r="ATV3" s="11" t="n"/>
      <c r="ATW3" s="11" t="n"/>
      <c r="ATX3" s="11" t="n"/>
      <c r="ATY3" s="11" t="n"/>
      <c r="ATZ3" s="11" t="n"/>
      <c r="AUA3" s="11" t="n"/>
      <c r="AUB3" s="11" t="n"/>
      <c r="AUC3" s="11" t="n"/>
      <c r="AUD3" s="11" t="n"/>
      <c r="AUE3" s="11" t="n"/>
      <c r="AUF3" s="11" t="n"/>
      <c r="AUG3" s="11" t="n"/>
      <c r="AUH3" s="11" t="n"/>
      <c r="AUI3" s="11" t="n"/>
      <c r="AUJ3" s="11" t="n"/>
      <c r="AUK3" s="11" t="n"/>
      <c r="AUL3" s="11" t="n"/>
      <c r="AUM3" s="11" t="n"/>
      <c r="AUN3" s="11" t="n"/>
      <c r="AUO3" s="11" t="n"/>
      <c r="AUP3" s="11" t="n"/>
      <c r="AUQ3" s="11" t="n"/>
      <c r="AUR3" s="11" t="n"/>
      <c r="AUS3" s="11" t="n"/>
      <c r="AUT3" s="11" t="n"/>
      <c r="AUU3" s="11" t="n"/>
      <c r="AUV3" s="11" t="n"/>
      <c r="AUW3" s="11" t="n"/>
      <c r="AUX3" s="11" t="n"/>
      <c r="AUY3" s="11" t="n"/>
      <c r="AUZ3" s="11" t="n"/>
      <c r="AVA3" s="11" t="n"/>
      <c r="AVB3" s="11" t="n"/>
      <c r="AVC3" s="11" t="n"/>
      <c r="AVD3" s="11" t="n"/>
      <c r="AVE3" s="11" t="n"/>
      <c r="AVF3" s="11" t="n"/>
      <c r="AVG3" s="11" t="n"/>
      <c r="AVH3" s="11" t="n"/>
      <c r="AVI3" s="11" t="n"/>
      <c r="AVJ3" s="11" t="n"/>
      <c r="AVK3" s="11" t="n"/>
      <c r="AVL3" s="11" t="n"/>
      <c r="AVM3" s="11" t="n"/>
      <c r="AVN3" s="11" t="n"/>
      <c r="AVO3" s="11" t="n"/>
      <c r="AVP3" s="11" t="n"/>
      <c r="AVQ3" s="11" t="n"/>
      <c r="AVR3" s="11" t="n"/>
      <c r="AVS3" s="11" t="n"/>
      <c r="AVT3" s="11" t="n"/>
      <c r="AVU3" s="11" t="n"/>
      <c r="AVV3" s="11" t="n"/>
      <c r="AVW3" s="11" t="n"/>
      <c r="AVX3" s="11" t="n"/>
      <c r="AVY3" s="11" t="n"/>
      <c r="AVZ3" s="11" t="n"/>
      <c r="AWA3" s="11" t="n"/>
      <c r="AWB3" s="11" t="n"/>
      <c r="AWC3" s="11" t="n"/>
      <c r="AWD3" s="11" t="n"/>
      <c r="AWE3" s="11" t="n"/>
      <c r="AWF3" s="11" t="n"/>
      <c r="AWG3" s="11" t="n"/>
      <c r="AWH3" s="11" t="n"/>
      <c r="AWI3" s="11" t="n"/>
      <c r="AWJ3" s="11" t="n"/>
      <c r="AWK3" s="11" t="n"/>
      <c r="AWL3" s="11" t="n"/>
      <c r="AWM3" s="11" t="n"/>
      <c r="AWN3" s="11" t="n"/>
      <c r="AWO3" s="11" t="n"/>
      <c r="AWP3" s="11" t="n"/>
      <c r="AWQ3" s="11" t="n"/>
      <c r="AWR3" s="11" t="n"/>
      <c r="AWS3" s="11" t="n"/>
      <c r="AWT3" s="11" t="n"/>
      <c r="AWU3" s="11" t="n"/>
      <c r="AWV3" s="11" t="n"/>
      <c r="AWW3" s="11" t="n"/>
      <c r="AWX3" s="11" t="n"/>
      <c r="AWY3" s="11" t="n"/>
      <c r="AWZ3" s="11" t="n"/>
      <c r="AXA3" s="11" t="n"/>
      <c r="AXB3" s="11" t="n"/>
      <c r="AXC3" s="11" t="n"/>
      <c r="AXD3" s="11" t="n"/>
      <c r="AXE3" s="11" t="n"/>
      <c r="AXF3" s="11" t="n"/>
      <c r="AXG3" s="11" t="n"/>
      <c r="AXH3" s="11" t="n"/>
      <c r="AXI3" s="11" t="n"/>
      <c r="AXJ3" s="11" t="n"/>
      <c r="AXK3" s="11" t="n"/>
      <c r="AXL3" s="11" t="n"/>
      <c r="AXM3" s="11" t="n"/>
      <c r="AXN3" s="11" t="n"/>
      <c r="AXO3" s="11" t="n"/>
      <c r="AXP3" s="11" t="n"/>
      <c r="AXQ3" s="11" t="n"/>
      <c r="AXR3" s="11" t="n"/>
      <c r="AXS3" s="11" t="n"/>
      <c r="AXT3" s="11" t="n"/>
      <c r="AXU3" s="11" t="n"/>
      <c r="AXV3" s="11" t="n"/>
      <c r="AXW3" s="11" t="n"/>
      <c r="AXX3" s="11" t="n"/>
      <c r="AXY3" s="11" t="n"/>
      <c r="AXZ3" s="11" t="n"/>
      <c r="AYA3" s="11" t="n"/>
      <c r="AYB3" s="11" t="n"/>
      <c r="AYC3" s="11" t="n"/>
      <c r="AYD3" s="11" t="n"/>
      <c r="AYE3" s="11" t="n"/>
      <c r="AYF3" s="11" t="n"/>
      <c r="AYG3" s="11" t="n"/>
      <c r="AYH3" s="11" t="n"/>
      <c r="AYI3" s="11" t="n"/>
      <c r="AYJ3" s="11" t="n"/>
      <c r="AYK3" s="11" t="n"/>
      <c r="AYL3" s="11" t="n"/>
      <c r="AYM3" s="11" t="n"/>
      <c r="AYN3" s="11" t="n"/>
      <c r="AYO3" s="11" t="n"/>
      <c r="AYP3" s="11" t="n"/>
      <c r="AYQ3" s="11" t="n"/>
      <c r="AYR3" s="11" t="n"/>
      <c r="AYS3" s="11" t="n"/>
      <c r="AYT3" s="11" t="n"/>
      <c r="AYU3" s="11" t="n"/>
      <c r="AYV3" s="11" t="n"/>
      <c r="AYW3" s="11" t="n"/>
      <c r="AYX3" s="11" t="n"/>
      <c r="AYY3" s="11" t="n"/>
      <c r="AYZ3" s="11" t="n"/>
      <c r="AZA3" s="11" t="n"/>
      <c r="AZB3" s="11" t="n"/>
      <c r="AZC3" s="11" t="n"/>
      <c r="AZD3" s="11" t="n"/>
      <c r="AZE3" s="11" t="n"/>
      <c r="AZF3" s="11" t="n"/>
    </row>
    <row r="4" ht="14.4" customHeight="1">
      <c r="A4" s="14" t="n">
        <v>1</v>
      </c>
      <c r="B4" s="15" t="inlineStr">
        <is>
          <t>Sp</t>
        </is>
      </c>
      <c r="C4" s="10" t="n">
        <v>9</v>
      </c>
      <c r="D4" s="10" t="n">
        <v>25</v>
      </c>
      <c r="E4" s="16" t="n">
        <v>365</v>
      </c>
      <c r="F4" s="21" t="n">
        <v>0.0171</v>
      </c>
      <c r="G4" s="10" t="n">
        <v>1500</v>
      </c>
      <c r="H4" s="13" t="n">
        <v>0.02</v>
      </c>
      <c r="I4" s="18" t="n">
        <v>10950</v>
      </c>
      <c r="J4" s="20" t="n">
        <v>9</v>
      </c>
      <c r="K4" s="19">
        <f>(F4*G4*E4*J4)/(D4*I4)</f>
        <v/>
      </c>
      <c r="L4" s="2">
        <f>(F4*G4*E4*5)/(D4*I4)</f>
        <v/>
      </c>
      <c r="M4" s="2">
        <f>(F4*G4*E4*10)/(D4*I4)</f>
        <v/>
      </c>
      <c r="N4" s="2">
        <f>(F4*G4*E4*15)/(D4*I4)</f>
        <v/>
      </c>
      <c r="O4" s="2">
        <f>(F4*G4*E4*20)/(D4*I4)</f>
        <v/>
      </c>
      <c r="P4" s="2">
        <f>(F4*G4*E4*25)/(D4*I4)</f>
        <v/>
      </c>
      <c r="Q4" s="2">
        <f>(F4*G4*E4*30)/(D4*I4)</f>
        <v/>
      </c>
      <c r="R4" s="2">
        <f>K4/H4</f>
        <v/>
      </c>
      <c r="S4" s="2">
        <f>L4/H4</f>
        <v/>
      </c>
      <c r="T4" s="2">
        <f>M4/H4</f>
        <v/>
      </c>
      <c r="U4" s="2">
        <f>N4/H4</f>
        <v/>
      </c>
      <c r="V4" s="2">
        <f>O4/H4</f>
        <v/>
      </c>
      <c r="W4" s="2">
        <f>P4/H4</f>
        <v/>
      </c>
      <c r="X4" s="2">
        <f>Q4/H4</f>
        <v/>
      </c>
      <c r="Y4" s="5">
        <f>IF(R4&gt;1,"1","2")</f>
        <v/>
      </c>
      <c r="Z4" s="5">
        <f>IF(S4&gt;1,"1","2")</f>
        <v/>
      </c>
      <c r="AA4" s="5">
        <f>IF(T4&gt;1,"1","2")</f>
        <v/>
      </c>
      <c r="AB4" s="5">
        <f>IF(U4&gt;1,"1","2")</f>
        <v/>
      </c>
      <c r="AC4" s="5">
        <f>IF(V4&gt;1,"1","2")</f>
        <v/>
      </c>
      <c r="AD4" s="5">
        <f>IF(W4&gt;1,"1","2")</f>
        <v/>
      </c>
      <c r="AE4" s="5">
        <f>IF(X4&gt;1,"1","2")</f>
        <v/>
      </c>
      <c r="AF4" t="n">
        <v>-5.150558</v>
      </c>
      <c r="AG4" t="n">
        <v>119.405158</v>
      </c>
    </row>
    <row r="5" ht="14.4" customHeight="1">
      <c r="A5" s="14" t="n">
        <v>2</v>
      </c>
      <c r="B5" s="15" t="inlineStr">
        <is>
          <t>Gi</t>
        </is>
      </c>
      <c r="C5" s="10" t="n">
        <v>9</v>
      </c>
      <c r="D5" s="10" t="n">
        <v>25</v>
      </c>
      <c r="E5" s="16" t="n">
        <v>365</v>
      </c>
      <c r="F5" s="21" t="n">
        <v>0.0124</v>
      </c>
      <c r="G5" s="10" t="n">
        <v>900</v>
      </c>
      <c r="H5" s="13" t="n">
        <v>0.02</v>
      </c>
      <c r="I5" s="18" t="n">
        <v>10950</v>
      </c>
      <c r="J5" s="20" t="n">
        <v>9</v>
      </c>
      <c r="K5" s="19">
        <f>(F5*G5*E5*J5)/(D5*I5)</f>
        <v/>
      </c>
      <c r="L5" s="2">
        <f>(F5*G5*E5*5)/(D5*I5)</f>
        <v/>
      </c>
      <c r="M5" s="2">
        <f>(F5*G5*E5*10)/(D5*I5)</f>
        <v/>
      </c>
      <c r="N5" s="2">
        <f>(F5*G5*E5*15)/(D5*I5)</f>
        <v/>
      </c>
      <c r="O5" s="2">
        <f>(F5*G5*E5*20)/(D5*I5)</f>
        <v/>
      </c>
      <c r="P5" s="2">
        <f>(F5*G5*E5*25)/(D5*I5)</f>
        <v/>
      </c>
      <c r="Q5" s="2">
        <f>(F5*G5*E5*30)/(D5*I5)</f>
        <v/>
      </c>
      <c r="R5" s="2">
        <f>K5/H5</f>
        <v/>
      </c>
      <c r="S5" s="2">
        <f>L5/H5</f>
        <v/>
      </c>
      <c r="T5" s="2">
        <f>M5/H5</f>
        <v/>
      </c>
      <c r="U5" s="2">
        <f>N5/H5</f>
        <v/>
      </c>
      <c r="V5" s="2">
        <f>O5/H5</f>
        <v/>
      </c>
      <c r="W5" s="2">
        <f>P5/H5</f>
        <v/>
      </c>
      <c r="X5" s="2">
        <f>Q5/H5</f>
        <v/>
      </c>
      <c r="Y5" s="5">
        <f>IF(R5&gt;1,"1","2")</f>
        <v/>
      </c>
      <c r="Z5" s="5">
        <f>IF(S5&gt;1,"1","2")</f>
        <v/>
      </c>
      <c r="AA5" s="5">
        <f>IF(T5&gt;1,"1","2")</f>
        <v/>
      </c>
      <c r="AB5" s="5">
        <f>IF(U5&gt;1,"1","2")</f>
        <v/>
      </c>
      <c r="AC5" s="5">
        <f>IF(V5&gt;1,"1","2")</f>
        <v/>
      </c>
      <c r="AD5" s="5">
        <f>IF(W5&gt;1,"1","2")</f>
        <v/>
      </c>
      <c r="AE5" s="5">
        <f>IF(X5&gt;1,"1","2")</f>
        <v/>
      </c>
      <c r="AF5" t="n">
        <v>-5.135084</v>
      </c>
      <c r="AG5" t="n">
        <v>119.437089</v>
      </c>
    </row>
    <row r="6" ht="14.4" customHeight="1">
      <c r="A6" s="14" t="n">
        <v>3</v>
      </c>
      <c r="B6" s="15" t="inlineStr">
        <is>
          <t>Gia</t>
        </is>
      </c>
      <c r="C6" s="10" t="n">
        <v>9</v>
      </c>
      <c r="D6" s="10" t="n">
        <v>25</v>
      </c>
      <c r="E6" s="16" t="n">
        <v>365</v>
      </c>
      <c r="F6" s="21" t="n">
        <v>0.0042</v>
      </c>
      <c r="G6" s="10" t="n">
        <v>900</v>
      </c>
      <c r="H6" s="13" t="n">
        <v>0.02</v>
      </c>
      <c r="I6" s="18" t="n">
        <v>10950</v>
      </c>
      <c r="J6" s="20" t="n">
        <v>9</v>
      </c>
      <c r="K6" s="19">
        <f>(F6*G6*E6*J6)/(D6*I6)</f>
        <v/>
      </c>
      <c r="L6" s="2">
        <f>(F6*G6*E6*5)/(D6*I6)</f>
        <v/>
      </c>
      <c r="M6" s="2">
        <f>(F6*G6*E6*10)/(D6*I6)</f>
        <v/>
      </c>
      <c r="N6" s="2">
        <f>(F6*G6*E6*15)/(D6*I6)</f>
        <v/>
      </c>
      <c r="O6" s="2">
        <f>(F6*G6*E6*20)/(D6*I6)</f>
        <v/>
      </c>
      <c r="P6" s="2">
        <f>(F6*G6*E6*25)/(D6*I6)</f>
        <v/>
      </c>
      <c r="Q6" s="2">
        <f>(F6*G6*E6*30)/(D6*I6)</f>
        <v/>
      </c>
      <c r="R6" s="2">
        <f>K6/H6</f>
        <v/>
      </c>
      <c r="S6" s="2">
        <f>L6/H6</f>
        <v/>
      </c>
      <c r="T6" s="2">
        <f>M6/H6</f>
        <v/>
      </c>
      <c r="U6" s="2">
        <f>N6/H6</f>
        <v/>
      </c>
      <c r="V6" s="2">
        <f>O6/H6</f>
        <v/>
      </c>
      <c r="W6" s="2">
        <f>P6/H6</f>
        <v/>
      </c>
      <c r="X6" s="2">
        <f>Q6/H6</f>
        <v/>
      </c>
      <c r="Y6" s="5">
        <f>IF(R6&gt;1,"1","2")</f>
        <v/>
      </c>
      <c r="Z6" s="5">
        <f>IF(S6&gt;1,"1","2")</f>
        <v/>
      </c>
      <c r="AA6" s="5">
        <f>IF(T6&gt;1,"1","2")</f>
        <v/>
      </c>
      <c r="AB6" s="5">
        <f>IF(U6&gt;1,"1","2")</f>
        <v/>
      </c>
      <c r="AC6" s="5">
        <f>IF(V6&gt;1,"1","2")</f>
        <v/>
      </c>
      <c r="AD6" s="5">
        <f>IF(W6&gt;1,"1","2")</f>
        <v/>
      </c>
      <c r="AE6" s="5">
        <f>IF(X6&gt;1,"1","2")</f>
        <v/>
      </c>
      <c r="AF6" t="n">
        <v>-5.128266</v>
      </c>
      <c r="AG6" t="n">
        <v>119.441098</v>
      </c>
    </row>
    <row r="7" ht="14.4" customHeight="1">
      <c r="A7" s="14" t="n">
        <v>4</v>
      </c>
      <c r="B7" s="15" t="inlineStr">
        <is>
          <t>Rsp</t>
        </is>
      </c>
      <c r="C7" s="10" t="n">
        <v>9</v>
      </c>
      <c r="D7" s="10" t="n">
        <v>23</v>
      </c>
      <c r="E7" s="16" t="n">
        <v>365</v>
      </c>
      <c r="F7" s="21" t="n">
        <v>0.009900000000000001</v>
      </c>
      <c r="G7" s="10" t="n">
        <v>1500</v>
      </c>
      <c r="H7" s="13" t="n">
        <v>0.02</v>
      </c>
      <c r="I7" s="18" t="n">
        <v>10950</v>
      </c>
      <c r="J7" s="20" t="n">
        <v>9</v>
      </c>
      <c r="K7" s="19">
        <f>(F7*G7*E7*J7)/(D7*I7)</f>
        <v/>
      </c>
      <c r="L7" s="2">
        <f>(F7*G7*E7*5)/(D7*I7)</f>
        <v/>
      </c>
      <c r="M7" s="2">
        <f>(F7*G7*E7*10)/(D7*I7)</f>
        <v/>
      </c>
      <c r="N7" s="2">
        <f>(F7*G7*E7*15)/(D7*I7)</f>
        <v/>
      </c>
      <c r="O7" s="2">
        <f>(F7*G7*E7*20)/(D7*I7)</f>
        <v/>
      </c>
      <c r="P7" s="2">
        <f>(F7*G7*E7*25)/(D7*I7)</f>
        <v/>
      </c>
      <c r="Q7" s="2">
        <f>(F7*G7*E7*30)/(D7*I7)</f>
        <v/>
      </c>
      <c r="R7" s="2">
        <f>K7/H7</f>
        <v/>
      </c>
      <c r="S7" s="2">
        <f>L7/H7</f>
        <v/>
      </c>
      <c r="T7" s="2">
        <f>M7/H7</f>
        <v/>
      </c>
      <c r="U7" s="2">
        <f>N7/H7</f>
        <v/>
      </c>
      <c r="V7" s="2">
        <f>O7/H7</f>
        <v/>
      </c>
      <c r="W7" s="2">
        <f>P7/H7</f>
        <v/>
      </c>
      <c r="X7" s="2">
        <f>Q7/H7</f>
        <v/>
      </c>
      <c r="Y7" s="5">
        <f>IF(R7&gt;1,"1","2")</f>
        <v/>
      </c>
      <c r="Z7" s="5">
        <f>IF(S7&gt;1,"1","2")</f>
        <v/>
      </c>
      <c r="AA7" s="5">
        <f>IF(T7&gt;1,"1","2")</f>
        <v/>
      </c>
      <c r="AB7" s="5">
        <f>IF(U7&gt;1,"1","2")</f>
        <v/>
      </c>
      <c r="AC7" s="5">
        <f>IF(V7&gt;1,"1","2")</f>
        <v/>
      </c>
      <c r="AD7" s="5">
        <f>IF(W7&gt;1,"1","2")</f>
        <v/>
      </c>
      <c r="AE7" s="5">
        <f>IF(X7&gt;1,"1","2")</f>
        <v/>
      </c>
      <c r="AF7" t="n">
        <v>-5.147047</v>
      </c>
      <c r="AG7" t="n">
        <v>119.407542</v>
      </c>
    </row>
    <row r="8" ht="14.4" customHeight="1">
      <c r="A8" s="14" t="n">
        <v>5</v>
      </c>
      <c r="B8" s="15" t="inlineStr">
        <is>
          <t>Nk</t>
        </is>
      </c>
      <c r="C8" s="10" t="n">
        <v>9</v>
      </c>
      <c r="D8" s="10" t="n">
        <v>20</v>
      </c>
      <c r="E8" s="16" t="n">
        <v>365</v>
      </c>
      <c r="F8" s="21" t="n">
        <v>0.009900000000000001</v>
      </c>
      <c r="G8" s="10" t="n">
        <v>2100</v>
      </c>
      <c r="H8" s="13" t="n">
        <v>0.02</v>
      </c>
      <c r="I8" s="18" t="n">
        <v>10950</v>
      </c>
      <c r="J8" s="20" t="n">
        <v>9</v>
      </c>
      <c r="K8" s="19">
        <f>(F8*G8*E8*J8)/(D8*I8)</f>
        <v/>
      </c>
      <c r="L8" s="2">
        <f>(F8*G8*E8*5)/(D8*I8)</f>
        <v/>
      </c>
      <c r="M8" s="2">
        <f>(F8*G8*E8*10)/(D8*I8)</f>
        <v/>
      </c>
      <c r="N8" s="2">
        <f>(F8*G8*E8*15)/(D8*I8)</f>
        <v/>
      </c>
      <c r="O8" s="2">
        <f>(F8*G8*E8*20)/(D8*I8)</f>
        <v/>
      </c>
      <c r="P8" s="2">
        <f>(F8*G8*E8*25)/(D8*I8)</f>
        <v/>
      </c>
      <c r="Q8" s="2">
        <f>(F8*G8*E8*30)/(D8*I8)</f>
        <v/>
      </c>
      <c r="R8" s="2">
        <f>K8/H8</f>
        <v/>
      </c>
      <c r="S8" s="2">
        <f>L8/H8</f>
        <v/>
      </c>
      <c r="T8" s="2">
        <f>M8/H8</f>
        <v/>
      </c>
      <c r="U8" s="2">
        <f>N8/H8</f>
        <v/>
      </c>
      <c r="V8" s="2">
        <f>O8/H8</f>
        <v/>
      </c>
      <c r="W8" s="2">
        <f>P8/H8</f>
        <v/>
      </c>
      <c r="X8" s="2">
        <f>Q8/H8</f>
        <v/>
      </c>
      <c r="Y8" s="5">
        <f>IF(R8&gt;1,"1","2")</f>
        <v/>
      </c>
      <c r="Z8" s="5">
        <f>IF(S8&gt;1,"1","2")</f>
        <v/>
      </c>
      <c r="AA8" s="5">
        <f>IF(T8&gt;1,"1","2")</f>
        <v/>
      </c>
      <c r="AB8" s="5">
        <f>IF(U8&gt;1,"1","2")</f>
        <v/>
      </c>
      <c r="AC8" s="5">
        <f>IF(V8&gt;1,"1","2")</f>
        <v/>
      </c>
      <c r="AD8" s="5">
        <f>IF(W8&gt;1,"1","2")</f>
        <v/>
      </c>
      <c r="AE8" s="5">
        <f>IF(X8&gt;1,"1","2")</f>
        <v/>
      </c>
      <c r="AF8" t="n">
        <v>-5.150932</v>
      </c>
      <c r="AG8" t="n">
        <v>119.448115</v>
      </c>
    </row>
    <row r="9" ht="14.4" customHeight="1">
      <c r="A9" s="14" t="n">
        <v>6</v>
      </c>
      <c r="B9" s="15" t="inlineStr">
        <is>
          <t>Tsy</t>
        </is>
      </c>
      <c r="C9" s="10" t="n">
        <v>9</v>
      </c>
      <c r="D9" s="10" t="n">
        <v>40</v>
      </c>
      <c r="E9" s="16" t="n">
        <v>365</v>
      </c>
      <c r="F9" s="21" t="n">
        <v>0.0061</v>
      </c>
      <c r="G9" s="10" t="n">
        <v>900</v>
      </c>
      <c r="H9" s="13" t="n">
        <v>0.02</v>
      </c>
      <c r="I9" s="18" t="n">
        <v>10950</v>
      </c>
      <c r="J9" s="20" t="n">
        <v>5</v>
      </c>
      <c r="K9" s="19">
        <f>(F9*G9*E9*J9)/(D9*I9)</f>
        <v/>
      </c>
      <c r="L9" s="2">
        <f>(F9*G9*E9*5)/(D9*I9)</f>
        <v/>
      </c>
      <c r="M9" s="2">
        <f>(F9*G9*E9*10)/(D9*I9)</f>
        <v/>
      </c>
      <c r="N9" s="2">
        <f>(F9*G9*E9*15)/(D9*I9)</f>
        <v/>
      </c>
      <c r="O9" s="2">
        <f>(F9*G9*E9*20)/(D9*I9)</f>
        <v/>
      </c>
      <c r="P9" s="2">
        <f>(F9*G9*E9*25)/(D9*I9)</f>
        <v/>
      </c>
      <c r="Q9" s="2">
        <f>(F9*G9*E9*30)/(D9*I9)</f>
        <v/>
      </c>
      <c r="R9" s="2">
        <f>K9/H9</f>
        <v/>
      </c>
      <c r="S9" s="2">
        <f>L9/H9</f>
        <v/>
      </c>
      <c r="T9" s="2">
        <f>M9/H9</f>
        <v/>
      </c>
      <c r="U9" s="2">
        <f>N9/H9</f>
        <v/>
      </c>
      <c r="V9" s="2">
        <f>O9/H9</f>
        <v/>
      </c>
      <c r="W9" s="2">
        <f>P9/H9</f>
        <v/>
      </c>
      <c r="X9" s="2">
        <f>Q9/H9</f>
        <v/>
      </c>
      <c r="Y9" s="5">
        <f>IF(R9&gt;1,"1","2")</f>
        <v/>
      </c>
      <c r="Z9" s="5">
        <f>IF(S9&gt;1,"1","2")</f>
        <v/>
      </c>
      <c r="AA9" s="5">
        <f>IF(T9&gt;1,"1","2")</f>
        <v/>
      </c>
      <c r="AB9" s="5">
        <f>IF(U9&gt;1,"1","2")</f>
        <v/>
      </c>
      <c r="AC9" s="5">
        <f>IF(V9&gt;1,"1","2")</f>
        <v/>
      </c>
      <c r="AD9" s="5">
        <f>IF(W9&gt;1,"1","2")</f>
        <v/>
      </c>
      <c r="AE9" s="5">
        <f>IF(X9&gt;1,"1","2")</f>
        <v/>
      </c>
      <c r="AF9" t="n">
        <v>-5.14148</v>
      </c>
      <c r="AG9" t="n">
        <v>119.418666</v>
      </c>
    </row>
    <row r="10" ht="14.4" customHeight="1">
      <c r="A10" s="14" t="n">
        <v>7</v>
      </c>
      <c r="B10" s="15" t="inlineStr">
        <is>
          <t>Alf</t>
        </is>
      </c>
      <c r="C10" s="10" t="n">
        <v>9</v>
      </c>
      <c r="D10" s="10" t="n">
        <v>22</v>
      </c>
      <c r="E10" s="16" t="n">
        <v>365</v>
      </c>
      <c r="F10" s="21" t="n">
        <v>0.0323</v>
      </c>
      <c r="G10" s="10" t="n">
        <v>900</v>
      </c>
      <c r="H10" s="13" t="n">
        <v>0.02</v>
      </c>
      <c r="I10" s="18" t="n">
        <v>10950</v>
      </c>
      <c r="J10" s="20" t="n">
        <v>9</v>
      </c>
      <c r="K10" s="19">
        <f>(F10*G10*E10*J10)/(D10*I10)</f>
        <v/>
      </c>
      <c r="L10" s="2">
        <f>(F10*G10*E10*5)/(D10*I10)</f>
        <v/>
      </c>
      <c r="M10" s="2">
        <f>(F10*G10*E10*10)/(D10*I10)</f>
        <v/>
      </c>
      <c r="N10" s="2">
        <f>(F10*G10*E10*15)/(D10*I10)</f>
        <v/>
      </c>
      <c r="O10" s="2">
        <f>(F10*G10*E10*20)/(D10*I10)</f>
        <v/>
      </c>
      <c r="P10" s="2">
        <f>(F10*G10*E10*25)/(D10*I10)</f>
        <v/>
      </c>
      <c r="Q10" s="2">
        <f>(F10*G10*E10*30)/(D10*I10)</f>
        <v/>
      </c>
      <c r="R10" s="2">
        <f>K10/H10</f>
        <v/>
      </c>
      <c r="S10" s="2">
        <f>L10/H10</f>
        <v/>
      </c>
      <c r="T10" s="2">
        <f>M10/H10</f>
        <v/>
      </c>
      <c r="U10" s="2">
        <f>N10/H10</f>
        <v/>
      </c>
      <c r="V10" s="2">
        <f>O10/H10</f>
        <v/>
      </c>
      <c r="W10" s="2">
        <f>P10/H10</f>
        <v/>
      </c>
      <c r="X10" s="2">
        <f>Q10/H10</f>
        <v/>
      </c>
      <c r="Y10" s="5">
        <f>IF(R10&gt;1,"1","2")</f>
        <v/>
      </c>
      <c r="Z10" s="5">
        <f>IF(S10&gt;1,"1","2")</f>
        <v/>
      </c>
      <c r="AA10" s="5">
        <f>IF(T10&gt;1,"1","2")</f>
        <v/>
      </c>
      <c r="AB10" s="5">
        <f>IF(U10&gt;1,"1","2")</f>
        <v/>
      </c>
      <c r="AC10" s="5">
        <f>IF(V10&gt;1,"1","2")</f>
        <v/>
      </c>
      <c r="AD10" s="5">
        <f>IF(W10&gt;1,"1","2")</f>
        <v/>
      </c>
      <c r="AE10" s="5">
        <f>IF(X10&gt;1,"1","2")</f>
        <v/>
      </c>
      <c r="AF10" t="n">
        <v>-5.137144</v>
      </c>
      <c r="AG10" t="n">
        <v>119.421444</v>
      </c>
    </row>
    <row r="11" ht="14.4" customHeight="1">
      <c r="A11" s="14" t="n">
        <v>8</v>
      </c>
      <c r="B11" s="15" t="inlineStr">
        <is>
          <t>Sab</t>
        </is>
      </c>
      <c r="C11" s="10" t="n">
        <v>9</v>
      </c>
      <c r="D11" s="10" t="n">
        <v>20</v>
      </c>
      <c r="E11" s="16" t="n">
        <v>365</v>
      </c>
      <c r="F11" s="21" t="n">
        <v>0.0323</v>
      </c>
      <c r="G11" s="10" t="n">
        <v>900</v>
      </c>
      <c r="H11" s="13" t="n">
        <v>0.02</v>
      </c>
      <c r="I11" s="18" t="n">
        <v>10950</v>
      </c>
      <c r="J11" s="20" t="n">
        <v>6</v>
      </c>
      <c r="K11" s="19">
        <f>(F11*G11*E11*J11)/(D11*I11)</f>
        <v/>
      </c>
      <c r="L11" s="2">
        <f>(F11*G11*E11*5)/(D11*I11)</f>
        <v/>
      </c>
      <c r="M11" s="2">
        <f>(F11*G11*E11*10)/(D11*I11)</f>
        <v/>
      </c>
      <c r="N11" s="2">
        <f>(F11*G11*E11*15)/(D11*I11)</f>
        <v/>
      </c>
      <c r="O11" s="2">
        <f>(F11*G11*E11*20)/(D11*I11)</f>
        <v/>
      </c>
      <c r="P11" s="2">
        <f>(F11*G11*E11*25)/(D11*I11)</f>
        <v/>
      </c>
      <c r="Q11" s="2">
        <f>(F11*G11*E11*30)/(D11*I11)</f>
        <v/>
      </c>
      <c r="R11" s="2">
        <f>K11/H11</f>
        <v/>
      </c>
      <c r="S11" s="2">
        <f>L11/H11</f>
        <v/>
      </c>
      <c r="T11" s="2">
        <f>M11/H11</f>
        <v/>
      </c>
      <c r="U11" s="2">
        <f>N11/H11</f>
        <v/>
      </c>
      <c r="V11" s="2">
        <f>O11/H11</f>
        <v/>
      </c>
      <c r="W11" s="2">
        <f>P11/H11</f>
        <v/>
      </c>
      <c r="X11" s="2">
        <f>Q11/H11</f>
        <v/>
      </c>
      <c r="Y11" s="5">
        <f>IF(R11&gt;1,"1","2")</f>
        <v/>
      </c>
      <c r="Z11" s="5">
        <f>IF(S11&gt;1,"1","2")</f>
        <v/>
      </c>
      <c r="AA11" s="5">
        <f>IF(T11&gt;1,"1","2")</f>
        <v/>
      </c>
      <c r="AB11" s="5">
        <f>IF(U11&gt;1,"1","2")</f>
        <v/>
      </c>
      <c r="AC11" s="5">
        <f>IF(V11&gt;1,"1","2")</f>
        <v/>
      </c>
      <c r="AD11" s="5">
        <f>IF(W11&gt;1,"1","2")</f>
        <v/>
      </c>
      <c r="AE11" s="5">
        <f>IF(X11&gt;1,"1","2")</f>
        <v/>
      </c>
      <c r="AF11" t="n">
        <v>-5.141905</v>
      </c>
      <c r="AG11" t="n">
        <v>119.427989</v>
      </c>
    </row>
    <row r="12" ht="14.4" customHeight="1">
      <c r="A12" s="14" t="n">
        <v>9</v>
      </c>
      <c r="B12" s="15" t="inlineStr">
        <is>
          <t>Dea</t>
        </is>
      </c>
      <c r="C12" s="10" t="n">
        <v>9</v>
      </c>
      <c r="D12" s="10" t="n">
        <v>39</v>
      </c>
      <c r="E12" s="16" t="n">
        <v>365</v>
      </c>
      <c r="F12" s="21" t="n">
        <v>0.0331</v>
      </c>
      <c r="G12" s="10" t="n">
        <v>900</v>
      </c>
      <c r="H12" s="13" t="n">
        <v>0.02</v>
      </c>
      <c r="I12" s="18" t="n">
        <v>10950</v>
      </c>
      <c r="J12" s="20" t="n">
        <v>1</v>
      </c>
      <c r="K12" s="19">
        <f>(F12*G12*E12*J12)/(D12*I12)</f>
        <v/>
      </c>
      <c r="L12" s="2">
        <f>(F12*G12*E12*5)/(D12*I12)</f>
        <v/>
      </c>
      <c r="M12" s="2">
        <f>(F12*G12*E12*10)/(D12*I12)</f>
        <v/>
      </c>
      <c r="N12" s="2">
        <f>(F12*G12*E12*15)/(D12*I12)</f>
        <v/>
      </c>
      <c r="O12" s="2">
        <f>(F12*G12*E12*20)/(D12*I12)</f>
        <v/>
      </c>
      <c r="P12" s="2">
        <f>(F12*G12*E12*25)/(D12*I12)</f>
        <v/>
      </c>
      <c r="Q12" s="2">
        <f>(F12*G12*E12*30)/(D12*I12)</f>
        <v/>
      </c>
      <c r="R12" s="2">
        <f>K12/H12</f>
        <v/>
      </c>
      <c r="S12" s="2">
        <f>L12/H12</f>
        <v/>
      </c>
      <c r="T12" s="2">
        <f>M12/H12</f>
        <v/>
      </c>
      <c r="U12" s="2">
        <f>N12/H12</f>
        <v/>
      </c>
      <c r="V12" s="2">
        <f>O12/H12</f>
        <v/>
      </c>
      <c r="W12" s="2">
        <f>P12/H12</f>
        <v/>
      </c>
      <c r="X12" s="2">
        <f>Q12/H12</f>
        <v/>
      </c>
      <c r="Y12" s="5">
        <f>IF(R12&gt;1,"1","2")</f>
        <v/>
      </c>
      <c r="Z12" s="5">
        <f>IF(S12&gt;1,"1","2")</f>
        <v/>
      </c>
      <c r="AA12" s="5">
        <f>IF(T12&gt;1,"1","2")</f>
        <v/>
      </c>
      <c r="AB12" s="5">
        <f>IF(U12&gt;1,"1","2")</f>
        <v/>
      </c>
      <c r="AC12" s="5">
        <f>IF(V12&gt;1,"1","2")</f>
        <v/>
      </c>
      <c r="AD12" s="5">
        <f>IF(W12&gt;1,"1","2")</f>
        <v/>
      </c>
      <c r="AE12" s="5">
        <f>IF(X12&gt;1,"1","2")</f>
        <v/>
      </c>
      <c r="AF12" t="n">
        <v>-5.141017</v>
      </c>
      <c r="AG12" t="n">
        <v>119.432874</v>
      </c>
    </row>
    <row r="13" ht="14.4" customHeight="1">
      <c r="A13" s="14" t="n">
        <v>10</v>
      </c>
      <c r="B13" s="15" t="inlineStr">
        <is>
          <t>Muh</t>
        </is>
      </c>
      <c r="C13" s="10" t="n">
        <v>9</v>
      </c>
      <c r="D13" s="10" t="n">
        <v>26</v>
      </c>
      <c r="E13" s="16" t="n">
        <v>365</v>
      </c>
      <c r="F13" s="21" t="n">
        <v>0.0331</v>
      </c>
      <c r="G13" s="10" t="n">
        <v>900</v>
      </c>
      <c r="H13" s="13" t="n">
        <v>0.02</v>
      </c>
      <c r="I13" s="18" t="n">
        <v>10950</v>
      </c>
      <c r="J13" s="20" t="n">
        <v>9</v>
      </c>
      <c r="K13" s="19">
        <f>(F13*G13*E13*J13)/(D13*I13)</f>
        <v/>
      </c>
      <c r="L13" s="2">
        <f>(F13*G13*E13*5)/(D13*I13)</f>
        <v/>
      </c>
      <c r="M13" s="2">
        <f>(F13*G13*E13*10)/(D13*I13)</f>
        <v/>
      </c>
      <c r="N13" s="2">
        <f>(F13*G13*E13*15)/(D13*I13)</f>
        <v/>
      </c>
      <c r="O13" s="2">
        <f>(F13*G13*E13*20)/(D13*I13)</f>
        <v/>
      </c>
      <c r="P13" s="2">
        <f>(F13*G13*E13*25)/(D13*I13)</f>
        <v/>
      </c>
      <c r="Q13" s="2">
        <f>(F13*G13*E13*30)/(D13*I13)</f>
        <v/>
      </c>
      <c r="R13" s="2">
        <f>K13/H13</f>
        <v/>
      </c>
      <c r="S13" s="2">
        <f>L13/H13</f>
        <v/>
      </c>
      <c r="T13" s="2">
        <f>M13/H13</f>
        <v/>
      </c>
      <c r="U13" s="2">
        <f>N13/H13</f>
        <v/>
      </c>
      <c r="V13" s="2">
        <f>O13/H13</f>
        <v/>
      </c>
      <c r="W13" s="2">
        <f>P13/H13</f>
        <v/>
      </c>
      <c r="X13" s="2">
        <f>Q13/H13</f>
        <v/>
      </c>
      <c r="Y13" s="5">
        <f>IF(R13&gt;1,"1","2")</f>
        <v/>
      </c>
      <c r="Z13" s="5">
        <f>IF(S13&gt;1,"1","2")</f>
        <v/>
      </c>
      <c r="AA13" s="5">
        <f>IF(T13&gt;1,"1","2")</f>
        <v/>
      </c>
      <c r="AB13" s="5">
        <f>IF(U13&gt;1,"1","2")</f>
        <v/>
      </c>
      <c r="AC13" s="5">
        <f>IF(V13&gt;1,"1","2")</f>
        <v/>
      </c>
      <c r="AD13" s="5">
        <f>IF(W13&gt;1,"1","2")</f>
        <v/>
      </c>
      <c r="AE13" s="5">
        <f>IF(X13&gt;1,"1","2")</f>
        <v/>
      </c>
      <c r="AF13" t="n">
        <v>-5.14964</v>
      </c>
      <c r="AG13" t="n">
        <v>119.434263</v>
      </c>
    </row>
    <row r="14" ht="14.4" customHeight="1">
      <c r="A14" s="14" t="n">
        <v>11</v>
      </c>
      <c r="B14" s="15" t="inlineStr">
        <is>
          <t>Aks</t>
        </is>
      </c>
      <c r="C14" s="10" t="n">
        <v>9</v>
      </c>
      <c r="D14" s="10" t="n">
        <v>25</v>
      </c>
      <c r="E14" s="16" t="n">
        <v>365</v>
      </c>
      <c r="F14" s="21" t="n">
        <v>0.0331</v>
      </c>
      <c r="G14" s="10" t="n">
        <v>900</v>
      </c>
      <c r="H14" s="13" t="n">
        <v>0.02</v>
      </c>
      <c r="I14" s="18" t="n">
        <v>10950</v>
      </c>
      <c r="J14" s="20" t="n">
        <v>1</v>
      </c>
      <c r="K14" s="19">
        <f>(F14*G14*E14*J14)/(D14*I14)</f>
        <v/>
      </c>
      <c r="L14" s="2">
        <f>(F14*G14*E14*5)/(D14*I14)</f>
        <v/>
      </c>
      <c r="M14" s="2">
        <f>(F14*G14*E14*10)/(D14*I14)</f>
        <v/>
      </c>
      <c r="N14" s="2">
        <f>(F14*G14*E14*15)/(D14*I14)</f>
        <v/>
      </c>
      <c r="O14" s="2">
        <f>(F14*G14*E14*20)/(D14*I14)</f>
        <v/>
      </c>
      <c r="P14" s="2">
        <f>(F14*G14*E14*25)/(D14*I14)</f>
        <v/>
      </c>
      <c r="Q14" s="2">
        <f>(F14*G14*E14*30)/(D14*I14)</f>
        <v/>
      </c>
      <c r="R14" s="2">
        <f>K14/H14</f>
        <v/>
      </c>
      <c r="S14" s="2">
        <f>L14/H14</f>
        <v/>
      </c>
      <c r="T14" s="2">
        <f>M14/H14</f>
        <v/>
      </c>
      <c r="U14" s="2">
        <f>N14/H14</f>
        <v/>
      </c>
      <c r="V14" s="2">
        <f>O14/H14</f>
        <v/>
      </c>
      <c r="W14" s="2">
        <f>P14/H14</f>
        <v/>
      </c>
      <c r="X14" s="2">
        <f>Q14/H14</f>
        <v/>
      </c>
      <c r="Y14" s="5">
        <f>IF(R14&gt;1,"1","2")</f>
        <v/>
      </c>
      <c r="Z14" s="5">
        <f>IF(S14&gt;1,"1","2")</f>
        <v/>
      </c>
      <c r="AA14" s="5">
        <f>IF(T14&gt;1,"1","2")</f>
        <v/>
      </c>
      <c r="AB14" s="5">
        <f>IF(U14&gt;1,"1","2")</f>
        <v/>
      </c>
      <c r="AC14" s="5">
        <f>IF(V14&gt;1,"1","2")</f>
        <v/>
      </c>
      <c r="AD14" s="5">
        <f>IF(W14&gt;1,"1","2")</f>
        <v/>
      </c>
      <c r="AE14" s="5">
        <f>IF(X14&gt;1,"1","2")</f>
        <v/>
      </c>
      <c r="AF14" t="n">
        <v>-5.155727</v>
      </c>
      <c r="AG14" t="n">
        <v>119.435129</v>
      </c>
    </row>
    <row r="15" ht="14.4" customHeight="1">
      <c r="A15" s="14" t="n">
        <v>12</v>
      </c>
      <c r="B15" s="15" t="inlineStr">
        <is>
          <t>Bil</t>
        </is>
      </c>
      <c r="C15" s="10" t="n">
        <v>9</v>
      </c>
      <c r="D15" s="10" t="n">
        <v>32</v>
      </c>
      <c r="E15" s="16" t="n">
        <v>365</v>
      </c>
      <c r="F15" s="21" t="n">
        <v>0.0314</v>
      </c>
      <c r="G15" s="10" t="n">
        <v>900</v>
      </c>
      <c r="H15" s="13" t="n">
        <v>0.02</v>
      </c>
      <c r="I15" s="18" t="n">
        <v>10950</v>
      </c>
      <c r="J15" s="20" t="n">
        <v>9</v>
      </c>
      <c r="K15" s="19">
        <f>(F15*G15*E15*J15)/(D15*I15)</f>
        <v/>
      </c>
      <c r="L15" s="2">
        <f>(F15*G15*E15*5)/(D15*I15)</f>
        <v/>
      </c>
      <c r="M15" s="2">
        <f>(F15*G15*E15*10)/(D15*I15)</f>
        <v/>
      </c>
      <c r="N15" s="2">
        <f>(F15*G15*E15*15)/(D15*I15)</f>
        <v/>
      </c>
      <c r="O15" s="2">
        <f>(F15*G15*E15*20)/(D15*I15)</f>
        <v/>
      </c>
      <c r="P15" s="2">
        <f>(F15*G15*E15*25)/(D15*I15)</f>
        <v/>
      </c>
      <c r="Q15" s="2">
        <f>(F15*G15*E15*30)/(D15*I15)</f>
        <v/>
      </c>
      <c r="R15" s="2">
        <f>K15/H15</f>
        <v/>
      </c>
      <c r="S15" s="2">
        <f>L15/H15</f>
        <v/>
      </c>
      <c r="T15" s="2">
        <f>M15/H15</f>
        <v/>
      </c>
      <c r="U15" s="2">
        <f>N15/H15</f>
        <v/>
      </c>
      <c r="V15" s="2">
        <f>O15/H15</f>
        <v/>
      </c>
      <c r="W15" s="2">
        <f>P15/H15</f>
        <v/>
      </c>
      <c r="X15" s="2">
        <f>Q15/H15</f>
        <v/>
      </c>
      <c r="Y15" s="5">
        <f>IF(R15&gt;1,"1","2")</f>
        <v/>
      </c>
      <c r="Z15" s="5">
        <f>IF(S15&gt;1,"1","2")</f>
        <v/>
      </c>
      <c r="AA15" s="5">
        <f>IF(T15&gt;1,"1","2")</f>
        <v/>
      </c>
      <c r="AB15" s="5">
        <f>IF(U15&gt;1,"1","2")</f>
        <v/>
      </c>
      <c r="AC15" s="5">
        <f>IF(V15&gt;1,"1","2")</f>
        <v/>
      </c>
      <c r="AD15" s="5">
        <f>IF(W15&gt;1,"1","2")</f>
        <v/>
      </c>
      <c r="AE15" s="5">
        <f>IF(X15&gt;1,"1","2")</f>
        <v/>
      </c>
      <c r="AF15" t="n">
        <v>-5.12139</v>
      </c>
      <c r="AG15" t="n">
        <v>119.400583</v>
      </c>
    </row>
    <row r="16" ht="14.4" customHeight="1">
      <c r="A16" s="14" t="n">
        <v>13</v>
      </c>
      <c r="B16" s="15" t="inlineStr">
        <is>
          <t>Abd</t>
        </is>
      </c>
      <c r="C16" s="10" t="n">
        <v>9</v>
      </c>
      <c r="D16" s="10" t="n">
        <v>24</v>
      </c>
      <c r="E16" s="16" t="n">
        <v>365</v>
      </c>
      <c r="F16" s="21" t="n">
        <v>0.0311</v>
      </c>
      <c r="G16" s="10" t="n">
        <v>900</v>
      </c>
      <c r="H16" s="13" t="n">
        <v>0.02</v>
      </c>
      <c r="I16" s="18" t="n">
        <v>10950</v>
      </c>
      <c r="J16" s="20" t="n">
        <v>9</v>
      </c>
      <c r="K16" s="19">
        <f>(F16*G16*E16*J16)/(D16*I16)</f>
        <v/>
      </c>
      <c r="L16" s="2">
        <f>(F16*G16*E16*5)/(D16*I16)</f>
        <v/>
      </c>
      <c r="M16" s="2">
        <f>(F16*G16*E16*10)/(D16*I16)</f>
        <v/>
      </c>
      <c r="N16" s="2">
        <f>(F16*G16*E16*15)/(D16*I16)</f>
        <v/>
      </c>
      <c r="O16" s="2">
        <f>(F16*G16*E16*20)/(D16*I16)</f>
        <v/>
      </c>
      <c r="P16" s="2">
        <f>(F16*G16*E16*25)/(D16*I16)</f>
        <v/>
      </c>
      <c r="Q16" s="2">
        <f>(F16*G16*E16*30)/(D16*I16)</f>
        <v/>
      </c>
      <c r="R16" s="2">
        <f>K16/H16</f>
        <v/>
      </c>
      <c r="S16" s="2">
        <f>L16/H16</f>
        <v/>
      </c>
      <c r="T16" s="2">
        <f>M16/H16</f>
        <v/>
      </c>
      <c r="U16" s="2">
        <f>N16/H16</f>
        <v/>
      </c>
      <c r="V16" s="2">
        <f>O16/H16</f>
        <v/>
      </c>
      <c r="W16" s="2">
        <f>P16/H16</f>
        <v/>
      </c>
      <c r="X16" s="2">
        <f>Q16/H16</f>
        <v/>
      </c>
      <c r="Y16" s="5">
        <f>IF(R16&gt;1,"1","2")</f>
        <v/>
      </c>
      <c r="Z16" s="5">
        <f>IF(S16&gt;1,"1","2")</f>
        <v/>
      </c>
      <c r="AA16" s="5">
        <f>IF(T16&gt;1,"1","2")</f>
        <v/>
      </c>
      <c r="AB16" s="5">
        <f>IF(U16&gt;1,"1","2")</f>
        <v/>
      </c>
      <c r="AC16" s="5">
        <f>IF(V16&gt;1,"1","2")</f>
        <v/>
      </c>
      <c r="AD16" s="5">
        <f>IF(W16&gt;1,"1","2")</f>
        <v/>
      </c>
      <c r="AE16" s="5">
        <f>IF(X16&gt;1,"1","2")</f>
        <v/>
      </c>
      <c r="AF16" t="n">
        <v>-5.145539</v>
      </c>
      <c r="AG16" t="n">
        <v>119.424024</v>
      </c>
    </row>
    <row r="17" ht="14.4" customHeight="1">
      <c r="A17" s="14" t="n">
        <v>14</v>
      </c>
      <c r="B17" s="15" t="inlineStr">
        <is>
          <t>Way</t>
        </is>
      </c>
      <c r="C17" s="10" t="n">
        <v>9</v>
      </c>
      <c r="D17" s="10" t="n">
        <v>28</v>
      </c>
      <c r="E17" s="16" t="n">
        <v>365</v>
      </c>
      <c r="F17" s="21" t="n">
        <v>0.0311</v>
      </c>
      <c r="G17" s="10" t="n">
        <v>900</v>
      </c>
      <c r="H17" s="13" t="n">
        <v>0.02</v>
      </c>
      <c r="I17" s="18" t="n">
        <v>10950</v>
      </c>
      <c r="J17" s="20" t="n">
        <v>4</v>
      </c>
      <c r="K17" s="19">
        <f>(F17*G17*E17*J17)/(D17*I17)</f>
        <v/>
      </c>
      <c r="L17" s="2">
        <f>(F17*G17*E17*5)/(D17*I17)</f>
        <v/>
      </c>
      <c r="M17" s="2">
        <f>(F17*G17*E17*10)/(D17*I17)</f>
        <v/>
      </c>
      <c r="N17" s="2">
        <f>(F17*G17*E17*15)/(D17*I17)</f>
        <v/>
      </c>
      <c r="O17" s="2">
        <f>(F17*G17*E17*20)/(D17*I17)</f>
        <v/>
      </c>
      <c r="P17" s="2">
        <f>(F17*G17*E17*25)/(D17*I17)</f>
        <v/>
      </c>
      <c r="Q17" s="2">
        <f>(F17*G17*E17*30)/(D17*I17)</f>
        <v/>
      </c>
      <c r="R17" s="2">
        <f>K17/H17</f>
        <v/>
      </c>
      <c r="S17" s="2">
        <f>L17/H17</f>
        <v/>
      </c>
      <c r="T17" s="2">
        <f>M17/H17</f>
        <v/>
      </c>
      <c r="U17" s="2">
        <f>N17/H17</f>
        <v/>
      </c>
      <c r="V17" s="2">
        <f>O17/H17</f>
        <v/>
      </c>
      <c r="W17" s="2">
        <f>P17/H17</f>
        <v/>
      </c>
      <c r="X17" s="2">
        <f>Q17/H17</f>
        <v/>
      </c>
      <c r="Y17" s="5">
        <f>IF(R17&gt;1,"1","2")</f>
        <v/>
      </c>
      <c r="Z17" s="5">
        <f>IF(S17&gt;1,"1","2")</f>
        <v/>
      </c>
      <c r="AA17" s="5">
        <f>IF(T17&gt;1,"1","2")</f>
        <v/>
      </c>
      <c r="AB17" s="5">
        <f>IF(U17&gt;1,"1","2")</f>
        <v/>
      </c>
      <c r="AC17" s="5">
        <f>IF(V17&gt;1,"1","2")</f>
        <v/>
      </c>
      <c r="AD17" s="5">
        <f>IF(W17&gt;1,"1","2")</f>
        <v/>
      </c>
      <c r="AE17" s="5">
        <f>IF(X17&gt;1,"1","2")</f>
        <v/>
      </c>
      <c r="AF17" t="n">
        <v>-5.139121</v>
      </c>
      <c r="AG17" t="n">
        <v>119.440335</v>
      </c>
    </row>
    <row r="18" ht="14.4" customHeight="1">
      <c r="A18" s="14" t="n">
        <v>15</v>
      </c>
      <c r="B18" s="15" t="inlineStr">
        <is>
          <t>Ngh</t>
        </is>
      </c>
      <c r="C18" s="10" t="n">
        <v>9</v>
      </c>
      <c r="D18" s="10" t="n">
        <v>29</v>
      </c>
      <c r="E18" s="16" t="n">
        <v>365</v>
      </c>
      <c r="F18" s="21" t="n">
        <v>0.0361</v>
      </c>
      <c r="G18" s="10" t="n">
        <v>900</v>
      </c>
      <c r="H18" s="13" t="n">
        <v>0.02</v>
      </c>
      <c r="I18" s="18" t="n">
        <v>10950</v>
      </c>
      <c r="J18" s="20" t="n">
        <v>9</v>
      </c>
      <c r="K18" s="19">
        <f>(F18*G18*E18*J18)/(D18*I18)</f>
        <v/>
      </c>
      <c r="L18" s="2">
        <f>(F18*G18*E18*5)/(D18*I18)</f>
        <v/>
      </c>
      <c r="M18" s="2">
        <f>(F18*G18*E18*10)/(D18*I18)</f>
        <v/>
      </c>
      <c r="N18" s="2">
        <f>(F18*G18*E18*15)/(D18*I18)</f>
        <v/>
      </c>
      <c r="O18" s="2">
        <f>(F18*G18*E18*20)/(D18*I18)</f>
        <v/>
      </c>
      <c r="P18" s="2">
        <f>(F18*G18*E18*25)/(D18*I18)</f>
        <v/>
      </c>
      <c r="Q18" s="2">
        <f>(F18*G18*E18*30)/(D18*I18)</f>
        <v/>
      </c>
      <c r="R18" s="2">
        <f>K18/H18</f>
        <v/>
      </c>
      <c r="S18" s="2">
        <f>L18/H18</f>
        <v/>
      </c>
      <c r="T18" s="2">
        <f>M18/H18</f>
        <v/>
      </c>
      <c r="U18" s="2">
        <f>N18/H18</f>
        <v/>
      </c>
      <c r="V18" s="2">
        <f>O18/H18</f>
        <v/>
      </c>
      <c r="W18" s="2">
        <f>P18/H18</f>
        <v/>
      </c>
      <c r="X18" s="2">
        <f>Q18/H18</f>
        <v/>
      </c>
      <c r="Y18" s="5">
        <f>IF(R18&gt;1,"1","2")</f>
        <v/>
      </c>
      <c r="Z18" s="5">
        <f>IF(S18&gt;1,"1","2")</f>
        <v/>
      </c>
      <c r="AA18" s="5">
        <f>IF(T18&gt;1,"1","2")</f>
        <v/>
      </c>
      <c r="AB18" s="5">
        <f>IF(U18&gt;1,"1","2")</f>
        <v/>
      </c>
      <c r="AC18" s="5">
        <f>IF(V18&gt;1,"1","2")</f>
        <v/>
      </c>
      <c r="AD18" s="5">
        <f>IF(W18&gt;1,"1","2")</f>
        <v/>
      </c>
      <c r="AE18" s="5">
        <f>IF(X18&gt;1,"1","2")</f>
        <v/>
      </c>
      <c r="AF18" t="n">
        <v>-5.152749</v>
      </c>
      <c r="AG18" t="n">
        <v>119.433072</v>
      </c>
    </row>
    <row r="19" ht="14.4" customHeight="1">
      <c r="A19" s="14" t="n">
        <v>16</v>
      </c>
      <c r="B19" s="15" t="inlineStr">
        <is>
          <t>Gia</t>
        </is>
      </c>
      <c r="C19" s="10" t="n">
        <v>9</v>
      </c>
      <c r="D19" s="10" t="n">
        <v>25</v>
      </c>
      <c r="E19" s="16" t="n">
        <v>365</v>
      </c>
      <c r="F19" s="21" t="n">
        <v>0.0346</v>
      </c>
      <c r="G19" s="10" t="n">
        <v>900</v>
      </c>
      <c r="H19" s="13" t="n">
        <v>0.02</v>
      </c>
      <c r="I19" s="18" t="n">
        <v>10950</v>
      </c>
      <c r="J19" s="20" t="n">
        <v>9</v>
      </c>
      <c r="K19" s="19">
        <f>(F19*G19*E19*J19)/(D19*I19)</f>
        <v/>
      </c>
      <c r="L19" s="2">
        <f>(F19*G19*E19*5)/(D19*I19)</f>
        <v/>
      </c>
      <c r="M19" s="2">
        <f>(F19*G19*E19*10)/(D19*I19)</f>
        <v/>
      </c>
      <c r="N19" s="2">
        <f>(F19*G19*E19*15)/(D19*I19)</f>
        <v/>
      </c>
      <c r="O19" s="2">
        <f>(F19*G19*E19*20)/(D19*I19)</f>
        <v/>
      </c>
      <c r="P19" s="2">
        <f>(F19*G19*E19*25)/(D19*I19)</f>
        <v/>
      </c>
      <c r="Q19" s="2">
        <f>(F19*G19*E19*30)/(D19*I19)</f>
        <v/>
      </c>
      <c r="R19" s="2">
        <f>K19/H19</f>
        <v/>
      </c>
      <c r="S19" s="2">
        <f>L19/H19</f>
        <v/>
      </c>
      <c r="T19" s="2">
        <f>M19/H19</f>
        <v/>
      </c>
      <c r="U19" s="2">
        <f>N19/H19</f>
        <v/>
      </c>
      <c r="V19" s="2">
        <f>O19/H19</f>
        <v/>
      </c>
      <c r="W19" s="2">
        <f>P19/H19</f>
        <v/>
      </c>
      <c r="X19" s="2">
        <f>Q19/H19</f>
        <v/>
      </c>
      <c r="Y19" s="5">
        <f>IF(R19&gt;1,"1","2")</f>
        <v/>
      </c>
      <c r="Z19" s="5">
        <f>IF(S19&gt;1,"1","2")</f>
        <v/>
      </c>
      <c r="AA19" s="5">
        <f>IF(T19&gt;1,"1","2")</f>
        <v/>
      </c>
      <c r="AB19" s="5">
        <f>IF(U19&gt;1,"1","2")</f>
        <v/>
      </c>
      <c r="AC19" s="5">
        <f>IF(V19&gt;1,"1","2")</f>
        <v/>
      </c>
      <c r="AD19" s="5">
        <f>IF(W19&gt;1,"1","2")</f>
        <v/>
      </c>
      <c r="AE19" s="5">
        <f>IF(X19&gt;1,"1","2")</f>
        <v/>
      </c>
      <c r="AF19" t="n">
        <v>-5.132915</v>
      </c>
      <c r="AG19" t="n">
        <v>119.439246</v>
      </c>
    </row>
    <row r="20" ht="14.4" customHeight="1">
      <c r="A20" s="14" t="n">
        <v>17</v>
      </c>
      <c r="B20" s="15" t="inlineStr">
        <is>
          <t>Sar</t>
        </is>
      </c>
      <c r="C20" s="10" t="n">
        <v>9</v>
      </c>
      <c r="D20" s="10" t="n">
        <v>25</v>
      </c>
      <c r="E20" s="16" t="n">
        <v>365</v>
      </c>
      <c r="F20" s="21" t="n">
        <v>0.0325</v>
      </c>
      <c r="G20" s="10" t="n">
        <v>1500</v>
      </c>
      <c r="H20" s="13" t="n">
        <v>0.02</v>
      </c>
      <c r="I20" s="18" t="n">
        <v>10950</v>
      </c>
      <c r="J20" s="20" t="n">
        <v>9</v>
      </c>
      <c r="K20" s="19">
        <f>(F20*G20*E20*J20)/(D20*I20)</f>
        <v/>
      </c>
      <c r="L20" s="2">
        <f>(F20*G20*E20*5)/(D20*I20)</f>
        <v/>
      </c>
      <c r="M20" s="2">
        <f>(F20*G20*E20*10)/(D20*I20)</f>
        <v/>
      </c>
      <c r="N20" s="2">
        <f>(F20*G20*E20*15)/(D20*I20)</f>
        <v/>
      </c>
      <c r="O20" s="2">
        <f>(F20*G20*E20*20)/(D20*I20)</f>
        <v/>
      </c>
      <c r="P20" s="2">
        <f>(F20*G20*E20*25)/(D20*I20)</f>
        <v/>
      </c>
      <c r="Q20" s="2">
        <f>(F20*G20*E20*30)/(D20*I20)</f>
        <v/>
      </c>
      <c r="R20" s="2">
        <f>K20/H20</f>
        <v/>
      </c>
      <c r="S20" s="2">
        <f>L20/H20</f>
        <v/>
      </c>
      <c r="T20" s="2">
        <f>M20/H20</f>
        <v/>
      </c>
      <c r="U20" s="2">
        <f>N20/H20</f>
        <v/>
      </c>
      <c r="V20" s="2">
        <f>O20/H20</f>
        <v/>
      </c>
      <c r="W20" s="2">
        <f>P20/H20</f>
        <v/>
      </c>
      <c r="X20" s="2">
        <f>Q20/H20</f>
        <v/>
      </c>
      <c r="Y20" s="5">
        <f>IF(R20&gt;1,"1","2")</f>
        <v/>
      </c>
      <c r="Z20" s="5">
        <f>IF(S20&gt;1,"1","2")</f>
        <v/>
      </c>
      <c r="AA20" s="5">
        <f>IF(T20&gt;1,"1","2")</f>
        <v/>
      </c>
      <c r="AB20" s="5">
        <f>IF(U20&gt;1,"1","2")</f>
        <v/>
      </c>
      <c r="AC20" s="5">
        <f>IF(V20&gt;1,"1","2")</f>
        <v/>
      </c>
      <c r="AD20" s="5">
        <f>IF(W20&gt;1,"1","2")</f>
        <v/>
      </c>
      <c r="AE20" s="5">
        <f>IF(X20&gt;1,"1","2")</f>
        <v/>
      </c>
      <c r="AF20" t="n">
        <v>-5.123774</v>
      </c>
      <c r="AG20" t="n">
        <v>119.434313</v>
      </c>
    </row>
    <row r="21" ht="14.4" customHeight="1">
      <c r="A21" s="14" t="n">
        <v>18</v>
      </c>
      <c r="B21" s="15" t="inlineStr">
        <is>
          <t>Gaf</t>
        </is>
      </c>
      <c r="C21" s="10" t="n">
        <v>9</v>
      </c>
      <c r="D21" s="10" t="n">
        <v>25</v>
      </c>
      <c r="E21" s="16" t="n">
        <v>365</v>
      </c>
      <c r="F21" s="21" t="n">
        <v>0.0325</v>
      </c>
      <c r="G21" s="10" t="n">
        <v>900</v>
      </c>
      <c r="H21" s="13" t="n">
        <v>0.02</v>
      </c>
      <c r="I21" s="18" t="n">
        <v>10950</v>
      </c>
      <c r="J21" s="20" t="n">
        <v>9</v>
      </c>
      <c r="K21" s="19">
        <f>(F21*G21*E21*J21)/(D21*I21)</f>
        <v/>
      </c>
      <c r="L21" s="2">
        <f>(F21*G21*E21*5)/(D21*I21)</f>
        <v/>
      </c>
      <c r="M21" s="2">
        <f>(F21*G21*E21*10)/(D21*I21)</f>
        <v/>
      </c>
      <c r="N21" s="2">
        <f>(F21*G21*E21*15)/(D21*I21)</f>
        <v/>
      </c>
      <c r="O21" s="2">
        <f>(F21*G21*E21*20)/(D21*I21)</f>
        <v/>
      </c>
      <c r="P21" s="2">
        <f>(F21*G21*E21*25)/(D21*I21)</f>
        <v/>
      </c>
      <c r="Q21" s="2">
        <f>(F21*G21*E21*30)/(D21*I21)</f>
        <v/>
      </c>
      <c r="R21" s="2">
        <f>K21/H21</f>
        <v/>
      </c>
      <c r="S21" s="2">
        <f>L21/H21</f>
        <v/>
      </c>
      <c r="T21" s="2">
        <f>M21/H21</f>
        <v/>
      </c>
      <c r="U21" s="2">
        <f>N21/H21</f>
        <v/>
      </c>
      <c r="V21" s="2">
        <f>O21/H21</f>
        <v/>
      </c>
      <c r="W21" s="2">
        <f>P21/H21</f>
        <v/>
      </c>
      <c r="X21" s="2">
        <f>Q21/H21</f>
        <v/>
      </c>
      <c r="Y21" s="5">
        <f>IF(R21&gt;1,"1","2")</f>
        <v/>
      </c>
      <c r="Z21" s="5">
        <f>IF(S21&gt;1,"1","2")</f>
        <v/>
      </c>
      <c r="AA21" s="5">
        <f>IF(T21&gt;1,"1","2")</f>
        <v/>
      </c>
      <c r="AB21" s="5">
        <f>IF(U21&gt;1,"1","2")</f>
        <v/>
      </c>
      <c r="AC21" s="5">
        <f>IF(V21&gt;1,"1","2")</f>
        <v/>
      </c>
      <c r="AD21" s="5">
        <f>IF(W21&gt;1,"1","2")</f>
        <v/>
      </c>
      <c r="AE21" s="5">
        <f>IF(X21&gt;1,"1","2")</f>
        <v/>
      </c>
      <c r="AF21" t="n">
        <v>-5.153402</v>
      </c>
      <c r="AG21" t="n">
        <v>119.434488</v>
      </c>
    </row>
    <row r="22" ht="14.4" customHeight="1">
      <c r="A22" s="14" t="n">
        <v>19</v>
      </c>
      <c r="B22" s="15" t="inlineStr">
        <is>
          <t>Gii</t>
        </is>
      </c>
      <c r="C22" s="10" t="n">
        <v>9</v>
      </c>
      <c r="D22" s="10" t="n">
        <v>25</v>
      </c>
      <c r="E22" s="16" t="n">
        <v>365</v>
      </c>
      <c r="F22" s="21" t="n">
        <v>0.0331</v>
      </c>
      <c r="G22" s="10" t="n">
        <v>900</v>
      </c>
      <c r="H22" s="13" t="n">
        <v>0.02</v>
      </c>
      <c r="I22" s="18" t="n">
        <v>10950</v>
      </c>
      <c r="J22" s="20" t="n">
        <v>9</v>
      </c>
      <c r="K22" s="19">
        <f>(F22*G22*E22*J22)/(D22*I22)</f>
        <v/>
      </c>
      <c r="L22" s="2">
        <f>(F22*G22*E22*5)/(D22*I22)</f>
        <v/>
      </c>
      <c r="M22" s="2">
        <f>(F22*G22*E22*10)/(D22*I22)</f>
        <v/>
      </c>
      <c r="N22" s="2">
        <f>(F22*G22*E22*15)/(D22*I22)</f>
        <v/>
      </c>
      <c r="O22" s="2">
        <f>(F22*G22*E22*20)/(D22*I22)</f>
        <v/>
      </c>
      <c r="P22" s="2">
        <f>(F22*G22*E22*25)/(D22*I22)</f>
        <v/>
      </c>
      <c r="Q22" s="2">
        <f>(F22*G22*E22*30)/(D22*I22)</f>
        <v/>
      </c>
      <c r="R22" s="2">
        <f>K22/H22</f>
        <v/>
      </c>
      <c r="S22" s="2">
        <f>L22/H22</f>
        <v/>
      </c>
      <c r="T22" s="2">
        <f>M22/H22</f>
        <v/>
      </c>
      <c r="U22" s="2">
        <f>N22/H22</f>
        <v/>
      </c>
      <c r="V22" s="2">
        <f>O22/H22</f>
        <v/>
      </c>
      <c r="W22" s="2">
        <f>P22/H22</f>
        <v/>
      </c>
      <c r="X22" s="2">
        <f>Q22/H22</f>
        <v/>
      </c>
      <c r="Y22" s="5">
        <f>IF(R22&gt;1,"1","2")</f>
        <v/>
      </c>
      <c r="Z22" s="5">
        <f>IF(S22&gt;1,"1","2")</f>
        <v/>
      </c>
      <c r="AA22" s="5">
        <f>IF(T22&gt;1,"1","2")</f>
        <v/>
      </c>
      <c r="AB22" s="5">
        <f>IF(U22&gt;1,"1","2")</f>
        <v/>
      </c>
      <c r="AC22" s="5">
        <f>IF(V22&gt;1,"1","2")</f>
        <v/>
      </c>
      <c r="AD22" s="5">
        <f>IF(W22&gt;1,"1","2")</f>
        <v/>
      </c>
      <c r="AE22" s="5">
        <f>IF(X22&gt;1,"1","2")</f>
        <v/>
      </c>
      <c r="AF22" t="n">
        <v>-5.121672</v>
      </c>
      <c r="AG22" t="n">
        <v>119.407018</v>
      </c>
    </row>
    <row r="23" ht="14.4" customHeight="1">
      <c r="A23" s="14" t="n">
        <v>20</v>
      </c>
      <c r="B23" s="15" t="inlineStr">
        <is>
          <t>Nh</t>
        </is>
      </c>
      <c r="C23" s="10" t="n">
        <v>9</v>
      </c>
      <c r="D23" s="10" t="n">
        <v>29</v>
      </c>
      <c r="E23" s="16" t="n">
        <v>365</v>
      </c>
      <c r="F23" s="21" t="n">
        <v>0.0499</v>
      </c>
      <c r="G23" s="10" t="n">
        <v>900</v>
      </c>
      <c r="H23" s="13" t="n">
        <v>0.02</v>
      </c>
      <c r="I23" s="18" t="n">
        <v>10950</v>
      </c>
      <c r="J23" s="20" t="n">
        <v>9</v>
      </c>
      <c r="K23" s="19">
        <f>(F23*G23*E23*J23)/(D23*I23)</f>
        <v/>
      </c>
      <c r="L23" s="2">
        <f>(F23*G23*E23*5)/(D23*I23)</f>
        <v/>
      </c>
      <c r="M23" s="2">
        <f>(F23*G23*E23*10)/(D23*I23)</f>
        <v/>
      </c>
      <c r="N23" s="2">
        <f>(F23*G23*E23*15)/(D23*I23)</f>
        <v/>
      </c>
      <c r="O23" s="2">
        <f>(F23*G23*E23*20)/(D23*I23)</f>
        <v/>
      </c>
      <c r="P23" s="2">
        <f>(F23*G23*E23*25)/(D23*I23)</f>
        <v/>
      </c>
      <c r="Q23" s="2">
        <f>(F23*G23*E23*30)/(D23*I23)</f>
        <v/>
      </c>
      <c r="R23" s="2">
        <f>K23/H23</f>
        <v/>
      </c>
      <c r="S23" s="2">
        <f>L23/H23</f>
        <v/>
      </c>
      <c r="T23" s="2">
        <f>M23/H23</f>
        <v/>
      </c>
      <c r="U23" s="2">
        <f>N23/H23</f>
        <v/>
      </c>
      <c r="V23" s="2">
        <f>O23/H23</f>
        <v/>
      </c>
      <c r="W23" s="2">
        <f>P23/H23</f>
        <v/>
      </c>
      <c r="X23" s="2">
        <f>Q23/H23</f>
        <v/>
      </c>
      <c r="Y23" s="5">
        <f>IF(R23&gt;1,"1","2")</f>
        <v/>
      </c>
      <c r="Z23" s="5">
        <f>IF(S23&gt;1,"1","2")</f>
        <v/>
      </c>
      <c r="AA23" s="5">
        <f>IF(T23&gt;1,"1","2")</f>
        <v/>
      </c>
      <c r="AB23" s="5">
        <f>IF(U23&gt;1,"1","2")</f>
        <v/>
      </c>
      <c r="AC23" s="5">
        <f>IF(V23&gt;1,"1","2")</f>
        <v/>
      </c>
      <c r="AD23" s="5">
        <f>IF(W23&gt;1,"1","2")</f>
        <v/>
      </c>
      <c r="AE23" s="5">
        <f>IF(X23&gt;1,"1","2")</f>
        <v/>
      </c>
      <c r="AF23" t="n">
        <v>-5.123005</v>
      </c>
      <c r="AG23" t="n">
        <v>119.44743</v>
      </c>
    </row>
    <row r="24" ht="14.4" customHeight="1">
      <c r="A24" s="14" t="n">
        <v>21</v>
      </c>
      <c r="B24" s="15" t="inlineStr">
        <is>
          <t>Gaw</t>
        </is>
      </c>
      <c r="C24" s="10" t="n">
        <v>9</v>
      </c>
      <c r="D24" s="10" t="n">
        <v>25</v>
      </c>
      <c r="E24" s="16" t="n">
        <v>365</v>
      </c>
      <c r="F24" s="21" t="n">
        <v>0.0391</v>
      </c>
      <c r="G24" s="10" t="n">
        <v>1500</v>
      </c>
      <c r="H24" s="13" t="n">
        <v>0.02</v>
      </c>
      <c r="I24" s="18" t="n">
        <v>10950</v>
      </c>
      <c r="J24" s="20" t="n">
        <v>9</v>
      </c>
      <c r="K24" s="19">
        <f>(F24*G24*E24*J24)/(D24*I24)</f>
        <v/>
      </c>
      <c r="L24" s="2">
        <f>(F24*G24*E24*5)/(D24*I24)</f>
        <v/>
      </c>
      <c r="M24" s="2">
        <f>(F24*G24*E24*10)/(D24*I24)</f>
        <v/>
      </c>
      <c r="N24" s="2">
        <f>(F24*G24*E24*15)/(D24*I24)</f>
        <v/>
      </c>
      <c r="O24" s="2">
        <f>(F24*G24*E24*20)/(D24*I24)</f>
        <v/>
      </c>
      <c r="P24" s="2">
        <f>(F24*G24*E24*25)/(D24*I24)</f>
        <v/>
      </c>
      <c r="Q24" s="2">
        <f>(F24*G24*E24*30)/(D24*I24)</f>
        <v/>
      </c>
      <c r="R24" s="2">
        <f>K24/H24</f>
        <v/>
      </c>
      <c r="S24" s="2">
        <f>L24/H24</f>
        <v/>
      </c>
      <c r="T24" s="2">
        <f>M24/H24</f>
        <v/>
      </c>
      <c r="U24" s="2">
        <f>N24/H24</f>
        <v/>
      </c>
      <c r="V24" s="2">
        <f>O24/H24</f>
        <v/>
      </c>
      <c r="W24" s="2">
        <f>P24/H24</f>
        <v/>
      </c>
      <c r="X24" s="2">
        <f>Q24/H24</f>
        <v/>
      </c>
      <c r="Y24" s="5">
        <f>IF(R24&gt;1,"1","2")</f>
        <v/>
      </c>
      <c r="Z24" s="5">
        <f>IF(S24&gt;1,"1","2")</f>
        <v/>
      </c>
      <c r="AA24" s="5">
        <f>IF(T24&gt;1,"1","2")</f>
        <v/>
      </c>
      <c r="AB24" s="5">
        <f>IF(U24&gt;1,"1","2")</f>
        <v/>
      </c>
      <c r="AC24" s="5">
        <f>IF(V24&gt;1,"1","2")</f>
        <v/>
      </c>
      <c r="AD24" s="5">
        <f>IF(W24&gt;1,"1","2")</f>
        <v/>
      </c>
      <c r="AE24" s="5">
        <f>IF(X24&gt;1,"1","2")</f>
        <v/>
      </c>
      <c r="AF24" t="n">
        <v>-5.131506</v>
      </c>
      <c r="AG24" t="n">
        <v>119.44199</v>
      </c>
    </row>
    <row r="25" ht="14.4" customHeight="1">
      <c r="A25" s="14" t="n">
        <v>22</v>
      </c>
      <c r="B25" s="15" t="inlineStr">
        <is>
          <t>ALs</t>
        </is>
      </c>
      <c r="C25" s="10" t="n">
        <v>9</v>
      </c>
      <c r="D25" s="10" t="n">
        <v>25</v>
      </c>
      <c r="E25" s="16" t="n">
        <v>365</v>
      </c>
      <c r="F25" s="21" t="n">
        <v>0.0391</v>
      </c>
      <c r="G25" s="10" t="n">
        <v>900</v>
      </c>
      <c r="H25" s="13" t="n">
        <v>0.02</v>
      </c>
      <c r="I25" s="18" t="n">
        <v>10950</v>
      </c>
      <c r="J25" s="20" t="n">
        <v>9</v>
      </c>
      <c r="K25" s="19">
        <f>(F25*G25*E25*J25)/(D25*I25)</f>
        <v/>
      </c>
      <c r="L25" s="2">
        <f>(F25*G25*E25*5)/(D25*I25)</f>
        <v/>
      </c>
      <c r="M25" s="2">
        <f>(F25*G25*E25*10)/(D25*I25)</f>
        <v/>
      </c>
      <c r="N25" s="2">
        <f>(F25*G25*E25*15)/(D25*I25)</f>
        <v/>
      </c>
      <c r="O25" s="2">
        <f>(F25*G25*E25*20)/(D25*I25)</f>
        <v/>
      </c>
      <c r="P25" s="2">
        <f>(F25*G25*E25*25)/(D25*I25)</f>
        <v/>
      </c>
      <c r="Q25" s="2">
        <f>(F25*G25*E25*30)/(D25*I25)</f>
        <v/>
      </c>
      <c r="R25" s="2">
        <f>K25/H25</f>
        <v/>
      </c>
      <c r="S25" s="2">
        <f>L25/H25</f>
        <v/>
      </c>
      <c r="T25" s="2">
        <f>M25/H25</f>
        <v/>
      </c>
      <c r="U25" s="2">
        <f>N25/H25</f>
        <v/>
      </c>
      <c r="V25" s="2">
        <f>O25/H25</f>
        <v/>
      </c>
      <c r="W25" s="2">
        <f>P25/H25</f>
        <v/>
      </c>
      <c r="X25" s="2">
        <f>Q25/H25</f>
        <v/>
      </c>
      <c r="Y25" s="5">
        <f>IF(R25&gt;1,"1","2")</f>
        <v/>
      </c>
      <c r="Z25" s="5">
        <f>IF(S25&gt;1,"1","2")</f>
        <v/>
      </c>
      <c r="AA25" s="5">
        <f>IF(T25&gt;1,"1","2")</f>
        <v/>
      </c>
      <c r="AB25" s="5">
        <f>IF(U25&gt;1,"1","2")</f>
        <v/>
      </c>
      <c r="AC25" s="5">
        <f>IF(V25&gt;1,"1","2")</f>
        <v/>
      </c>
      <c r="AD25" s="5">
        <f>IF(W25&gt;1,"1","2")</f>
        <v/>
      </c>
      <c r="AE25" s="5">
        <f>IF(X25&gt;1,"1","2")</f>
        <v/>
      </c>
      <c r="AF25" t="n">
        <v>-5.144922</v>
      </c>
      <c r="AG25" t="n">
        <v>119.446339</v>
      </c>
    </row>
    <row r="26" ht="14.4" customHeight="1">
      <c r="A26" s="14" t="n">
        <v>23</v>
      </c>
      <c r="B26" s="15" t="inlineStr">
        <is>
          <t>Ana</t>
        </is>
      </c>
      <c r="C26" s="10" t="n">
        <v>9</v>
      </c>
      <c r="D26" s="10" t="n">
        <v>39</v>
      </c>
      <c r="E26" s="16" t="n">
        <v>365</v>
      </c>
      <c r="F26" s="21" t="n">
        <v>0.0412</v>
      </c>
      <c r="G26" s="10" t="n">
        <v>900</v>
      </c>
      <c r="H26" s="13" t="n">
        <v>0.02</v>
      </c>
      <c r="I26" s="18" t="n">
        <v>10950</v>
      </c>
      <c r="J26" s="20" t="n">
        <v>1</v>
      </c>
      <c r="K26" s="19">
        <f>(F26*G26*E26*J26)/(D26*I26)</f>
        <v/>
      </c>
      <c r="L26" s="2">
        <f>(F26*G26*E26*5)/(D26*I26)</f>
        <v/>
      </c>
      <c r="M26" s="2">
        <f>(F26*G26*E26*10)/(D26*I26)</f>
        <v/>
      </c>
      <c r="N26" s="2">
        <f>(F26*G26*E26*15)/(D26*I26)</f>
        <v/>
      </c>
      <c r="O26" s="2">
        <f>(F26*G26*E26*20)/(D26*I26)</f>
        <v/>
      </c>
      <c r="P26" s="2">
        <f>(F26*G26*E26*25)/(D26*I26)</f>
        <v/>
      </c>
      <c r="Q26" s="2">
        <f>(F26*G26*E26*30)/(D26*I26)</f>
        <v/>
      </c>
      <c r="R26" s="2">
        <f>K26/H26</f>
        <v/>
      </c>
      <c r="S26" s="2">
        <f>L26/H26</f>
        <v/>
      </c>
      <c r="T26" s="2">
        <f>M26/H26</f>
        <v/>
      </c>
      <c r="U26" s="2">
        <f>N26/H26</f>
        <v/>
      </c>
      <c r="V26" s="2">
        <f>O26/H26</f>
        <v/>
      </c>
      <c r="W26" s="2">
        <f>P26/H26</f>
        <v/>
      </c>
      <c r="X26" s="2">
        <f>Q26/H26</f>
        <v/>
      </c>
      <c r="Y26" s="5">
        <f>IF(R26&gt;1,"1","2")</f>
        <v/>
      </c>
      <c r="Z26" s="5">
        <f>IF(S26&gt;1,"1","2")</f>
        <v/>
      </c>
      <c r="AA26" s="5">
        <f>IF(T26&gt;1,"1","2")</f>
        <v/>
      </c>
      <c r="AB26" s="5">
        <f>IF(U26&gt;1,"1","2")</f>
        <v/>
      </c>
      <c r="AC26" s="5">
        <f>IF(V26&gt;1,"1","2")</f>
        <v/>
      </c>
      <c r="AD26" s="5">
        <f>IF(W26&gt;1,"1","2")</f>
        <v/>
      </c>
      <c r="AE26" s="5">
        <f>IF(X26&gt;1,"1","2")</f>
        <v/>
      </c>
      <c r="AF26" t="n">
        <v>-5.130108</v>
      </c>
      <c r="AG26" t="n">
        <v>119.410138</v>
      </c>
    </row>
    <row r="27" ht="14.4" customHeight="1">
      <c r="A27" s="14" t="n">
        <v>24</v>
      </c>
      <c r="B27" s="15" t="inlineStr">
        <is>
          <t>Zan</t>
        </is>
      </c>
      <c r="C27" s="10" t="n">
        <v>9</v>
      </c>
      <c r="D27" s="10" t="n">
        <v>26</v>
      </c>
      <c r="E27" s="16" t="n">
        <v>365</v>
      </c>
      <c r="F27" s="21" t="n">
        <v>0.0412</v>
      </c>
      <c r="G27" s="10" t="n">
        <v>900</v>
      </c>
      <c r="H27" s="13" t="n">
        <v>0.02</v>
      </c>
      <c r="I27" s="18" t="n">
        <v>10950</v>
      </c>
      <c r="J27" s="20" t="n">
        <v>9</v>
      </c>
      <c r="K27" s="19">
        <f>(F27*G27*E27*J27)/(D27*I27)</f>
        <v/>
      </c>
      <c r="L27" s="2">
        <f>(F27*G27*E27*5)/(D27*I27)</f>
        <v/>
      </c>
      <c r="M27" s="2">
        <f>(F27*G27*E27*10)/(D27*I27)</f>
        <v/>
      </c>
      <c r="N27" s="2">
        <f>(F27*G27*E27*15)/(D27*I27)</f>
        <v/>
      </c>
      <c r="O27" s="2">
        <f>(F27*G27*E27*20)/(D27*I27)</f>
        <v/>
      </c>
      <c r="P27" s="2">
        <f>(F27*G27*E27*25)/(D27*I27)</f>
        <v/>
      </c>
      <c r="Q27" s="2">
        <f>(F27*G27*E27*30)/(D27*I27)</f>
        <v/>
      </c>
      <c r="R27" s="2">
        <f>K27/H27</f>
        <v/>
      </c>
      <c r="S27" s="2">
        <f>L27/H27</f>
        <v/>
      </c>
      <c r="T27" s="2">
        <f>M27/H27</f>
        <v/>
      </c>
      <c r="U27" s="2">
        <f>N27/H27</f>
        <v/>
      </c>
      <c r="V27" s="2">
        <f>O27/H27</f>
        <v/>
      </c>
      <c r="W27" s="2">
        <f>P27/H27</f>
        <v/>
      </c>
      <c r="X27" s="2">
        <f>Q27/H27</f>
        <v/>
      </c>
      <c r="Y27" s="5">
        <f>IF(R27&gt;1,"1","2")</f>
        <v/>
      </c>
      <c r="Z27" s="5">
        <f>IF(S27&gt;1,"1","2")</f>
        <v/>
      </c>
      <c r="AA27" s="5">
        <f>IF(T27&gt;1,"1","2")</f>
        <v/>
      </c>
      <c r="AB27" s="5">
        <f>IF(U27&gt;1,"1","2")</f>
        <v/>
      </c>
      <c r="AC27" s="5">
        <f>IF(V27&gt;1,"1","2")</f>
        <v/>
      </c>
      <c r="AD27" s="5">
        <f>IF(W27&gt;1,"1","2")</f>
        <v/>
      </c>
      <c r="AE27" s="5">
        <f>IF(X27&gt;1,"1","2")</f>
        <v/>
      </c>
      <c r="AF27" t="n">
        <v>-5.13406</v>
      </c>
      <c r="AG27" t="n">
        <v>119.435068</v>
      </c>
    </row>
    <row r="28" ht="14.4" customHeight="1">
      <c r="A28" s="14" t="n">
        <v>25</v>
      </c>
      <c r="B28" s="15" t="inlineStr">
        <is>
          <t>Bia</t>
        </is>
      </c>
      <c r="C28" s="10" t="n">
        <v>9</v>
      </c>
      <c r="D28" s="10" t="n">
        <v>20</v>
      </c>
      <c r="E28" s="16" t="n">
        <v>365</v>
      </c>
      <c r="F28" s="21" t="n">
        <v>0.0412</v>
      </c>
      <c r="G28" s="10" t="n">
        <v>2100</v>
      </c>
      <c r="H28" s="13" t="n">
        <v>0.02</v>
      </c>
      <c r="I28" s="18" t="n">
        <v>10950</v>
      </c>
      <c r="J28" s="20" t="n">
        <v>9</v>
      </c>
      <c r="K28" s="19">
        <f>(F28*G28*E28*J28)/(D28*I28)</f>
        <v/>
      </c>
      <c r="L28" s="2">
        <f>(F28*G28*E28*5)/(D28*I28)</f>
        <v/>
      </c>
      <c r="M28" s="2">
        <f>(F28*G28*E28*10)/(D28*I28)</f>
        <v/>
      </c>
      <c r="N28" s="2">
        <f>(F28*G28*E28*15)/(D28*I28)</f>
        <v/>
      </c>
      <c r="O28" s="2">
        <f>(F28*G28*E28*20)/(D28*I28)</f>
        <v/>
      </c>
      <c r="P28" s="2">
        <f>(F28*G28*E28*25)/(D28*I28)</f>
        <v/>
      </c>
      <c r="Q28" s="2">
        <f>(F28*G28*E28*30)/(D28*I28)</f>
        <v/>
      </c>
      <c r="R28" s="2">
        <f>K28/H28</f>
        <v/>
      </c>
      <c r="S28" s="2">
        <f>L28/H28</f>
        <v/>
      </c>
      <c r="T28" s="2">
        <f>M28/H28</f>
        <v/>
      </c>
      <c r="U28" s="2">
        <f>N28/H28</f>
        <v/>
      </c>
      <c r="V28" s="2">
        <f>O28/H28</f>
        <v/>
      </c>
      <c r="W28" s="2">
        <f>P28/H28</f>
        <v/>
      </c>
      <c r="X28" s="2">
        <f>Q28/H28</f>
        <v/>
      </c>
      <c r="Y28" s="5">
        <f>IF(R28&gt;1,"1","2")</f>
        <v/>
      </c>
      <c r="Z28" s="5">
        <f>IF(S28&gt;1,"1","2")</f>
        <v/>
      </c>
      <c r="AA28" s="5">
        <f>IF(T28&gt;1,"1","2")</f>
        <v/>
      </c>
      <c r="AB28" s="5">
        <f>IF(U28&gt;1,"1","2")</f>
        <v/>
      </c>
      <c r="AC28" s="5">
        <f>IF(V28&gt;1,"1","2")</f>
        <v/>
      </c>
      <c r="AD28" s="5">
        <f>IF(W28&gt;1,"1","2")</f>
        <v/>
      </c>
      <c r="AE28" s="5">
        <f>IF(X28&gt;1,"1","2")</f>
        <v/>
      </c>
      <c r="AF28" t="n">
        <v>-5.155482</v>
      </c>
      <c r="AG28" t="n">
        <v>119.406543</v>
      </c>
    </row>
    <row r="29" ht="14.4" customHeight="1">
      <c r="A29" s="14" t="n">
        <v>26</v>
      </c>
      <c r="B29" s="15" t="inlineStr">
        <is>
          <t>Tis</t>
        </is>
      </c>
      <c r="C29" s="10" t="n">
        <v>9</v>
      </c>
      <c r="D29" s="10" t="n">
        <v>40</v>
      </c>
      <c r="E29" s="16" t="n">
        <v>365</v>
      </c>
      <c r="F29" s="21" t="n">
        <v>0.0412</v>
      </c>
      <c r="G29" s="10" t="n">
        <v>900</v>
      </c>
      <c r="H29" s="13" t="n">
        <v>0.02</v>
      </c>
      <c r="I29" s="18" t="n">
        <v>10950</v>
      </c>
      <c r="J29" s="20" t="n">
        <v>5</v>
      </c>
      <c r="K29" s="19">
        <f>(F29*G29*E29*J29)/(D29*I29)</f>
        <v/>
      </c>
      <c r="L29" s="2">
        <f>(F29*G29*E29*5)/(D29*I29)</f>
        <v/>
      </c>
      <c r="M29" s="2">
        <f>(F29*G29*E29*10)/(D29*I29)</f>
        <v/>
      </c>
      <c r="N29" s="2">
        <f>(F29*G29*E29*15)/(D29*I29)</f>
        <v/>
      </c>
      <c r="O29" s="2">
        <f>(F29*G29*E29*20)/(D29*I29)</f>
        <v/>
      </c>
      <c r="P29" s="2">
        <f>(F29*G29*E29*25)/(D29*I29)</f>
        <v/>
      </c>
      <c r="Q29" s="2">
        <f>(F29*G29*E29*30)/(D29*I29)</f>
        <v/>
      </c>
      <c r="R29" s="2">
        <f>K29/H29</f>
        <v/>
      </c>
      <c r="S29" s="2">
        <f>L29/H29</f>
        <v/>
      </c>
      <c r="T29" s="2">
        <f>M29/H29</f>
        <v/>
      </c>
      <c r="U29" s="2">
        <f>N29/H29</f>
        <v/>
      </c>
      <c r="V29" s="2">
        <f>O29/H29</f>
        <v/>
      </c>
      <c r="W29" s="2">
        <f>P29/H29</f>
        <v/>
      </c>
      <c r="X29" s="2">
        <f>Q29/H29</f>
        <v/>
      </c>
      <c r="Y29" s="5">
        <f>IF(R29&gt;1,"1","2")</f>
        <v/>
      </c>
      <c r="Z29" s="5">
        <f>IF(S29&gt;1,"1","2")</f>
        <v/>
      </c>
      <c r="AA29" s="5">
        <f>IF(T29&gt;1,"1","2")</f>
        <v/>
      </c>
      <c r="AB29" s="5">
        <f>IF(U29&gt;1,"1","2")</f>
        <v/>
      </c>
      <c r="AC29" s="5">
        <f>IF(V29&gt;1,"1","2")</f>
        <v/>
      </c>
      <c r="AD29" s="5">
        <f>IF(W29&gt;1,"1","2")</f>
        <v/>
      </c>
      <c r="AE29" s="5">
        <f>IF(X29&gt;1,"1","2")</f>
        <v/>
      </c>
      <c r="AF29" t="n">
        <v>-5.138075</v>
      </c>
      <c r="AG29" t="n">
        <v>119.417292</v>
      </c>
    </row>
    <row r="30" ht="14.4" customHeight="1">
      <c r="A30" s="14" t="n">
        <v>27</v>
      </c>
      <c r="B30" s="15" t="inlineStr">
        <is>
          <t>And</t>
        </is>
      </c>
      <c r="C30" s="10" t="n">
        <v>9</v>
      </c>
      <c r="D30" s="10" t="n">
        <v>39</v>
      </c>
      <c r="E30" s="16" t="n">
        <v>365</v>
      </c>
      <c r="F30" s="21" t="n">
        <v>0.0629</v>
      </c>
      <c r="G30" s="10" t="n">
        <v>900</v>
      </c>
      <c r="H30" s="13" t="n">
        <v>0.02</v>
      </c>
      <c r="I30" s="18" t="n">
        <v>10950</v>
      </c>
      <c r="J30" s="20" t="n">
        <v>1</v>
      </c>
      <c r="K30" s="19">
        <f>(F30*G30*E30*J30)/(D30*I30)</f>
        <v/>
      </c>
      <c r="L30" s="2">
        <f>(F30*G30*E30*5)/(D30*I30)</f>
        <v/>
      </c>
      <c r="M30" s="2">
        <f>(F30*G30*E30*10)/(D30*I30)</f>
        <v/>
      </c>
      <c r="N30" s="2">
        <f>(F30*G30*E30*15)/(D30*I30)</f>
        <v/>
      </c>
      <c r="O30" s="2">
        <f>(F30*G30*E30*20)/(D30*I30)</f>
        <v/>
      </c>
      <c r="P30" s="2">
        <f>(F30*G30*E30*25)/(D30*I30)</f>
        <v/>
      </c>
      <c r="Q30" s="2">
        <f>(F30*G30*E30*30)/(D30*I30)</f>
        <v/>
      </c>
      <c r="R30" s="2">
        <f>K30/H30</f>
        <v/>
      </c>
      <c r="S30" s="2">
        <f>L30/H30</f>
        <v/>
      </c>
      <c r="T30" s="2">
        <f>M30/H30</f>
        <v/>
      </c>
      <c r="U30" s="2">
        <f>N30/H30</f>
        <v/>
      </c>
      <c r="V30" s="2">
        <f>O30/H30</f>
        <v/>
      </c>
      <c r="W30" s="2">
        <f>P30/H30</f>
        <v/>
      </c>
      <c r="X30" s="2">
        <f>Q30/H30</f>
        <v/>
      </c>
      <c r="Y30" s="5">
        <f>IF(R30&gt;1,"1","2")</f>
        <v/>
      </c>
      <c r="Z30" s="5">
        <f>IF(S30&gt;1,"1","2")</f>
        <v/>
      </c>
      <c r="AA30" s="5">
        <f>IF(T30&gt;1,"1","2")</f>
        <v/>
      </c>
      <c r="AB30" s="5">
        <f>IF(U30&gt;1,"1","2")</f>
        <v/>
      </c>
      <c r="AC30" s="5">
        <f>IF(V30&gt;1,"1","2")</f>
        <v/>
      </c>
      <c r="AD30" s="5">
        <f>IF(W30&gt;1,"1","2")</f>
        <v/>
      </c>
      <c r="AE30" s="5">
        <f>IF(X30&gt;1,"1","2")</f>
        <v/>
      </c>
      <c r="AF30" t="n">
        <v>-5.138437</v>
      </c>
      <c r="AG30" t="n">
        <v>119.41446</v>
      </c>
    </row>
    <row r="31" ht="14.4" customHeight="1">
      <c r="A31" s="14" t="n">
        <v>28</v>
      </c>
      <c r="B31" s="15" t="inlineStr">
        <is>
          <t>Fau</t>
        </is>
      </c>
      <c r="C31" s="10" t="n">
        <v>9</v>
      </c>
      <c r="D31" s="10" t="n">
        <v>26</v>
      </c>
      <c r="E31" s="16" t="n">
        <v>365</v>
      </c>
      <c r="F31" s="21" t="n">
        <v>0.0629</v>
      </c>
      <c r="G31" s="10" t="n">
        <v>900</v>
      </c>
      <c r="H31" s="13" t="n">
        <v>0.02</v>
      </c>
      <c r="I31" s="18" t="n">
        <v>10950</v>
      </c>
      <c r="J31" s="20" t="n">
        <v>9</v>
      </c>
      <c r="K31" s="19">
        <f>(F31*G31*E31*J31)/(D31*I31)</f>
        <v/>
      </c>
      <c r="L31" s="2">
        <f>(F31*G31*E31*5)/(D31*I31)</f>
        <v/>
      </c>
      <c r="M31" s="2">
        <f>(F31*G31*E31*10)/(D31*I31)</f>
        <v/>
      </c>
      <c r="N31" s="2">
        <f>(F31*G31*E31*15)/(D31*I31)</f>
        <v/>
      </c>
      <c r="O31" s="2">
        <f>(F31*G31*E31*20)/(D31*I31)</f>
        <v/>
      </c>
      <c r="P31" s="2">
        <f>(F31*G31*E31*25)/(D31*I31)</f>
        <v/>
      </c>
      <c r="Q31" s="2">
        <f>(F31*G31*E31*30)/(D31*I31)</f>
        <v/>
      </c>
      <c r="R31" s="2">
        <f>K31/H31</f>
        <v/>
      </c>
      <c r="S31" s="2">
        <f>L31/H31</f>
        <v/>
      </c>
      <c r="T31" s="2">
        <f>M31/H31</f>
        <v/>
      </c>
      <c r="U31" s="2">
        <f>N31/H31</f>
        <v/>
      </c>
      <c r="V31" s="2">
        <f>O31/H31</f>
        <v/>
      </c>
      <c r="W31" s="2">
        <f>P31/H31</f>
        <v/>
      </c>
      <c r="X31" s="2">
        <f>Q31/H31</f>
        <v/>
      </c>
      <c r="Y31" s="5">
        <f>IF(R31&gt;1,"1","2")</f>
        <v/>
      </c>
      <c r="Z31" s="5">
        <f>IF(S31&gt;1,"1","2")</f>
        <v/>
      </c>
      <c r="AA31" s="5">
        <f>IF(T31&gt;1,"1","2")</f>
        <v/>
      </c>
      <c r="AB31" s="5">
        <f>IF(U31&gt;1,"1","2")</f>
        <v/>
      </c>
      <c r="AC31" s="5">
        <f>IF(V31&gt;1,"1","2")</f>
        <v/>
      </c>
      <c r="AD31" s="5">
        <f>IF(W31&gt;1,"1","2")</f>
        <v/>
      </c>
      <c r="AE31" s="5">
        <f>IF(X31&gt;1,"1","2")</f>
        <v/>
      </c>
      <c r="AF31" t="n">
        <v>-5.159509</v>
      </c>
      <c r="AG31" t="n">
        <v>119.40562</v>
      </c>
    </row>
    <row r="32" ht="14.4" customHeight="1">
      <c r="A32" s="14" t="n">
        <v>29</v>
      </c>
      <c r="B32" s="15" t="inlineStr">
        <is>
          <t>Als</t>
        </is>
      </c>
      <c r="C32" s="10" t="n">
        <v>9</v>
      </c>
      <c r="D32" s="10" t="n">
        <v>25</v>
      </c>
      <c r="E32" s="16" t="n">
        <v>365</v>
      </c>
      <c r="F32" s="21" t="n">
        <v>0.0629</v>
      </c>
      <c r="G32" s="10" t="n">
        <v>900</v>
      </c>
      <c r="H32" s="13" t="n">
        <v>0.02</v>
      </c>
      <c r="I32" s="18" t="n">
        <v>10950</v>
      </c>
      <c r="J32" s="20" t="n">
        <v>9</v>
      </c>
      <c r="K32" s="19">
        <f>(F32*G32*E32*J32)/(D32*I32)</f>
        <v/>
      </c>
      <c r="L32" s="2">
        <f>(F32*G32*E32*5)/(D32*I32)</f>
        <v/>
      </c>
      <c r="M32" s="2">
        <f>(F32*G32*E32*10)/(D32*I32)</f>
        <v/>
      </c>
      <c r="N32" s="2">
        <f>(F32*G32*E32*15)/(D32*I32)</f>
        <v/>
      </c>
      <c r="O32" s="2">
        <f>(F32*G32*E32*20)/(D32*I32)</f>
        <v/>
      </c>
      <c r="P32" s="2">
        <f>(F32*G32*E32*25)/(D32*I32)</f>
        <v/>
      </c>
      <c r="Q32" s="2">
        <f>(F32*G32*E32*30)/(D32*I32)</f>
        <v/>
      </c>
      <c r="R32" s="2">
        <f>K32/H32</f>
        <v/>
      </c>
      <c r="S32" s="2">
        <f>L32/H32</f>
        <v/>
      </c>
      <c r="T32" s="2">
        <f>M32/H32</f>
        <v/>
      </c>
      <c r="U32" s="2">
        <f>N32/H32</f>
        <v/>
      </c>
      <c r="V32" s="2">
        <f>O32/H32</f>
        <v/>
      </c>
      <c r="W32" s="2">
        <f>P32/H32</f>
        <v/>
      </c>
      <c r="X32" s="2">
        <f>Q32/H32</f>
        <v/>
      </c>
      <c r="Y32" s="5">
        <f>IF(R32&gt;1,"1","2")</f>
        <v/>
      </c>
      <c r="Z32" s="5">
        <f>IF(S32&gt;1,"1","2")</f>
        <v/>
      </c>
      <c r="AA32" s="5">
        <f>IF(T32&gt;1,"1","2")</f>
        <v/>
      </c>
      <c r="AB32" s="5">
        <f>IF(U32&gt;1,"1","2")</f>
        <v/>
      </c>
      <c r="AC32" s="5">
        <f>IF(V32&gt;1,"1","2")</f>
        <v/>
      </c>
      <c r="AD32" s="5">
        <f>IF(W32&gt;1,"1","2")</f>
        <v/>
      </c>
      <c r="AE32" s="5">
        <f>IF(X32&gt;1,"1","2")</f>
        <v/>
      </c>
      <c r="AF32" t="n">
        <v>-5.156903</v>
      </c>
      <c r="AG32" t="n">
        <v>119.410681</v>
      </c>
    </row>
    <row r="33" ht="14.4" customHeight="1">
      <c r="A33" s="14" t="n">
        <v>30</v>
      </c>
      <c r="B33" s="15" t="inlineStr">
        <is>
          <t>Mak</t>
        </is>
      </c>
      <c r="C33" s="10" t="n">
        <v>10</v>
      </c>
      <c r="D33" s="10" t="n">
        <v>25</v>
      </c>
      <c r="E33" s="16" t="n">
        <v>365</v>
      </c>
      <c r="F33" s="21" t="n">
        <v>0.0124</v>
      </c>
      <c r="G33" s="10" t="n">
        <v>900</v>
      </c>
      <c r="H33" s="13" t="n">
        <v>0.02</v>
      </c>
      <c r="I33" s="18" t="n">
        <v>10950</v>
      </c>
      <c r="J33" s="20" t="n">
        <v>10</v>
      </c>
      <c r="K33" s="19">
        <f>(F33*G33*E33*J33)/(D33*I33)</f>
        <v/>
      </c>
      <c r="L33" s="2">
        <f>(F33*G33*E33*5)/(D33*I33)</f>
        <v/>
      </c>
      <c r="M33" s="2">
        <f>(F33*G33*E33*10)/(D33*I33)</f>
        <v/>
      </c>
      <c r="N33" s="2">
        <f>(F33*G33*E33*15)/(D33*I33)</f>
        <v/>
      </c>
      <c r="O33" s="2">
        <f>(F33*G33*E33*20)/(D33*I33)</f>
        <v/>
      </c>
      <c r="P33" s="2">
        <f>(F33*G33*E33*25)/(D33*I33)</f>
        <v/>
      </c>
      <c r="Q33" s="2">
        <f>(F33*G33*E33*30)/(D33*I33)</f>
        <v/>
      </c>
      <c r="R33" s="2">
        <f>K33/H33</f>
        <v/>
      </c>
      <c r="S33" s="2">
        <f>L33/H33</f>
        <v/>
      </c>
      <c r="T33" s="2">
        <f>M33/H33</f>
        <v/>
      </c>
      <c r="U33" s="2">
        <f>N33/H33</f>
        <v/>
      </c>
      <c r="V33" s="2">
        <f>O33/H33</f>
        <v/>
      </c>
      <c r="W33" s="2">
        <f>P33/H33</f>
        <v/>
      </c>
      <c r="X33" s="2">
        <f>Q33/H33</f>
        <v/>
      </c>
      <c r="Y33" s="5">
        <f>IF(R33&gt;1,"1","2")</f>
        <v/>
      </c>
      <c r="Z33" s="5">
        <f>IF(S33&gt;1,"1","2")</f>
        <v/>
      </c>
      <c r="AA33" s="5">
        <f>IF(T33&gt;1,"1","2")</f>
        <v/>
      </c>
      <c r="AB33" s="5">
        <f>IF(U33&gt;1,"1","2")</f>
        <v/>
      </c>
      <c r="AC33" s="5">
        <f>IF(V33&gt;1,"1","2")</f>
        <v/>
      </c>
      <c r="AD33" s="5">
        <f>IF(W33&gt;1,"1","2")</f>
        <v/>
      </c>
      <c r="AE33" s="5">
        <f>IF(X33&gt;1,"1","2")</f>
        <v/>
      </c>
      <c r="AF33" t="n">
        <v>-5.137187</v>
      </c>
      <c r="AG33" t="n">
        <v>119.431612</v>
      </c>
    </row>
    <row r="34" ht="14.4" customHeight="1">
      <c r="A34" s="14" t="n">
        <v>31</v>
      </c>
      <c r="B34" s="15" t="inlineStr">
        <is>
          <t>Rwu</t>
        </is>
      </c>
      <c r="C34" s="10" t="n">
        <v>10</v>
      </c>
      <c r="D34" s="10" t="n">
        <v>33</v>
      </c>
      <c r="E34" s="16" t="n">
        <v>365</v>
      </c>
      <c r="F34" s="21" t="n">
        <v>0.0124</v>
      </c>
      <c r="G34" s="10" t="n">
        <v>900</v>
      </c>
      <c r="H34" s="13" t="n">
        <v>0.02</v>
      </c>
      <c r="I34" s="18" t="n">
        <v>10950</v>
      </c>
      <c r="J34" s="20" t="n">
        <v>10</v>
      </c>
      <c r="K34" s="19">
        <f>(F34*G34*E34*J34)/(D34*I34)</f>
        <v/>
      </c>
      <c r="L34" s="2">
        <f>(F34*G34*E34*5)/(D34*I34)</f>
        <v/>
      </c>
      <c r="M34" s="2">
        <f>(F34*G34*E34*10)/(D34*I34)</f>
        <v/>
      </c>
      <c r="N34" s="2">
        <f>(F34*G34*E34*15)/(D34*I34)</f>
        <v/>
      </c>
      <c r="O34" s="2">
        <f>(F34*G34*E34*20)/(D34*I34)</f>
        <v/>
      </c>
      <c r="P34" s="2">
        <f>(F34*G34*E34*25)/(D34*I34)</f>
        <v/>
      </c>
      <c r="Q34" s="2">
        <f>(F34*G34*E34*30)/(D34*I34)</f>
        <v/>
      </c>
      <c r="R34" s="2">
        <f>K34/H34</f>
        <v/>
      </c>
      <c r="S34" s="2">
        <f>L34/H34</f>
        <v/>
      </c>
      <c r="T34" s="2">
        <f>M34/H34</f>
        <v/>
      </c>
      <c r="U34" s="2">
        <f>N34/H34</f>
        <v/>
      </c>
      <c r="V34" s="2">
        <f>O34/H34</f>
        <v/>
      </c>
      <c r="W34" s="2">
        <f>P34/H34</f>
        <v/>
      </c>
      <c r="X34" s="2">
        <f>Q34/H34</f>
        <v/>
      </c>
      <c r="Y34" s="5">
        <f>IF(R34&gt;1,"1","2")</f>
        <v/>
      </c>
      <c r="Z34" s="5">
        <f>IF(S34&gt;1,"1","2")</f>
        <v/>
      </c>
      <c r="AA34" s="5">
        <f>IF(T34&gt;1,"1","2")</f>
        <v/>
      </c>
      <c r="AB34" s="5">
        <f>IF(U34&gt;1,"1","2")</f>
        <v/>
      </c>
      <c r="AC34" s="5">
        <f>IF(V34&gt;1,"1","2")</f>
        <v/>
      </c>
      <c r="AD34" s="5">
        <f>IF(W34&gt;1,"1","2")</f>
        <v/>
      </c>
      <c r="AE34" s="5">
        <f>IF(X34&gt;1,"1","2")</f>
        <v/>
      </c>
      <c r="AF34" t="n">
        <v>-5.138843</v>
      </c>
      <c r="AG34" t="n">
        <v>119.429287</v>
      </c>
    </row>
    <row r="35" ht="14.4" customHeight="1">
      <c r="A35" s="14" t="n">
        <v>32</v>
      </c>
      <c r="B35" s="15" t="inlineStr">
        <is>
          <t>Nhf</t>
        </is>
      </c>
      <c r="C35" s="10" t="n">
        <v>10</v>
      </c>
      <c r="D35" s="10" t="n">
        <v>25</v>
      </c>
      <c r="E35" s="16" t="n">
        <v>365</v>
      </c>
      <c r="F35" s="21" t="n">
        <v>0.0124</v>
      </c>
      <c r="G35" s="10" t="n">
        <v>900</v>
      </c>
      <c r="H35" s="13" t="n">
        <v>0.02</v>
      </c>
      <c r="I35" s="18" t="n">
        <v>10950</v>
      </c>
      <c r="J35" s="20" t="n">
        <v>10</v>
      </c>
      <c r="K35" s="19">
        <f>(F35*G35*E35*J35)/(D35*I35)</f>
        <v/>
      </c>
      <c r="L35" s="2">
        <f>(F35*G35*E35*5)/(D35*I35)</f>
        <v/>
      </c>
      <c r="M35" s="2">
        <f>(F35*G35*E35*10)/(D35*I35)</f>
        <v/>
      </c>
      <c r="N35" s="2">
        <f>(F35*G35*E35*15)/(D35*I35)</f>
        <v/>
      </c>
      <c r="O35" s="2">
        <f>(F35*G35*E35*20)/(D35*I35)</f>
        <v/>
      </c>
      <c r="P35" s="2">
        <f>(F35*G35*E35*25)/(D35*I35)</f>
        <v/>
      </c>
      <c r="Q35" s="2">
        <f>(F35*G35*E35*30)/(D35*I35)</f>
        <v/>
      </c>
      <c r="R35" s="2">
        <f>K35/H35</f>
        <v/>
      </c>
      <c r="S35" s="2">
        <f>L35/H35</f>
        <v/>
      </c>
      <c r="T35" s="2">
        <f>M35/H35</f>
        <v/>
      </c>
      <c r="U35" s="2">
        <f>N35/H35</f>
        <v/>
      </c>
      <c r="V35" s="2">
        <f>O35/H35</f>
        <v/>
      </c>
      <c r="W35" s="2">
        <f>P35/H35</f>
        <v/>
      </c>
      <c r="X35" s="2">
        <f>Q35/H35</f>
        <v/>
      </c>
      <c r="Y35" s="5">
        <f>IF(R35&gt;1,"1","2")</f>
        <v/>
      </c>
      <c r="Z35" s="5">
        <f>IF(S35&gt;1,"1","2")</f>
        <v/>
      </c>
      <c r="AA35" s="5">
        <f>IF(T35&gt;1,"1","2")</f>
        <v/>
      </c>
      <c r="AB35" s="5">
        <f>IF(U35&gt;1,"1","2")</f>
        <v/>
      </c>
      <c r="AC35" s="5">
        <f>IF(V35&gt;1,"1","2")</f>
        <v/>
      </c>
      <c r="AD35" s="5">
        <f>IF(W35&gt;1,"1","2")</f>
        <v/>
      </c>
      <c r="AE35" s="5">
        <f>IF(X35&gt;1,"1","2")</f>
        <v/>
      </c>
      <c r="AF35" t="n">
        <v>-5.138052</v>
      </c>
      <c r="AG35" t="n">
        <v>119.437527</v>
      </c>
    </row>
    <row r="36" ht="14.4" customHeight="1">
      <c r="A36" s="14" t="n">
        <v>33</v>
      </c>
      <c r="B36" s="15" t="inlineStr">
        <is>
          <t>Mfk</t>
        </is>
      </c>
      <c r="C36" s="10" t="n">
        <v>10</v>
      </c>
      <c r="D36" s="10" t="n">
        <v>25</v>
      </c>
      <c r="E36" s="16" t="n">
        <v>365</v>
      </c>
      <c r="F36" s="21" t="n">
        <v>0.0042</v>
      </c>
      <c r="G36" s="10" t="n">
        <v>900</v>
      </c>
      <c r="H36" s="13" t="n">
        <v>0.02</v>
      </c>
      <c r="I36" s="18" t="n">
        <v>10950</v>
      </c>
      <c r="J36" s="20" t="n">
        <v>10</v>
      </c>
      <c r="K36" s="19">
        <f>(F36*G36*E36*J36)/(D36*I36)</f>
        <v/>
      </c>
      <c r="L36" s="2">
        <f>(F36*G36*E36*5)/(D36*I36)</f>
        <v/>
      </c>
      <c r="M36" s="2">
        <f>(F36*G36*E36*10)/(D36*I36)</f>
        <v/>
      </c>
      <c r="N36" s="2">
        <f>(F36*G36*E36*15)/(D36*I36)</f>
        <v/>
      </c>
      <c r="O36" s="2">
        <f>(F36*G36*E36*20)/(D36*I36)</f>
        <v/>
      </c>
      <c r="P36" s="2">
        <f>(F36*G36*E36*25)/(D36*I36)</f>
        <v/>
      </c>
      <c r="Q36" s="2">
        <f>(F36*G36*E36*30)/(D36*I36)</f>
        <v/>
      </c>
      <c r="R36" s="2">
        <f>K36/H36</f>
        <v/>
      </c>
      <c r="S36" s="2">
        <f>L36/H36</f>
        <v/>
      </c>
      <c r="T36" s="2">
        <f>M36/H36</f>
        <v/>
      </c>
      <c r="U36" s="2">
        <f>N36/H36</f>
        <v/>
      </c>
      <c r="V36" s="2">
        <f>O36/H36</f>
        <v/>
      </c>
      <c r="W36" s="2">
        <f>P36/H36</f>
        <v/>
      </c>
      <c r="X36" s="2">
        <f>Q36/H36</f>
        <v/>
      </c>
      <c r="Y36" s="5">
        <f>IF(R36&gt;1,"1","2")</f>
        <v/>
      </c>
      <c r="Z36" s="5">
        <f>IF(S36&gt;1,"1","2")</f>
        <v/>
      </c>
      <c r="AA36" s="5">
        <f>IF(T36&gt;1,"1","2")</f>
        <v/>
      </c>
      <c r="AB36" s="5">
        <f>IF(U36&gt;1,"1","2")</f>
        <v/>
      </c>
      <c r="AC36" s="5">
        <f>IF(V36&gt;1,"1","2")</f>
        <v/>
      </c>
      <c r="AD36" s="5">
        <f>IF(W36&gt;1,"1","2")</f>
        <v/>
      </c>
      <c r="AE36" s="5">
        <f>IF(X36&gt;1,"1","2")</f>
        <v/>
      </c>
      <c r="AF36" t="n">
        <v>-5.146852</v>
      </c>
      <c r="AG36" t="n">
        <v>119.449161</v>
      </c>
    </row>
    <row r="37" ht="14.4" customHeight="1">
      <c r="A37" s="14" t="n">
        <v>34</v>
      </c>
      <c r="B37" s="15" t="inlineStr">
        <is>
          <t>Ewi</t>
        </is>
      </c>
      <c r="C37" s="10" t="n">
        <v>10</v>
      </c>
      <c r="D37" s="10" t="n">
        <v>33</v>
      </c>
      <c r="E37" s="17" t="n">
        <v>365</v>
      </c>
      <c r="F37" s="21" t="n">
        <v>0.0042</v>
      </c>
      <c r="G37" s="10" t="n">
        <v>900</v>
      </c>
      <c r="H37" s="13" t="n">
        <v>0.02</v>
      </c>
      <c r="I37" s="18" t="n">
        <v>10950</v>
      </c>
      <c r="J37" s="20" t="n">
        <v>10</v>
      </c>
      <c r="K37" s="19">
        <f>(F37*G37*E37*J37)/(D37*I37)</f>
        <v/>
      </c>
      <c r="L37" s="2">
        <f>(F37*G37*E37*5)/(D37*I37)</f>
        <v/>
      </c>
      <c r="M37" s="2">
        <f>(F37*G37*E37*10)/(D37*I37)</f>
        <v/>
      </c>
      <c r="N37" s="2">
        <f>(F37*G37*E37*15)/(D37*I37)</f>
        <v/>
      </c>
      <c r="O37" s="2">
        <f>(F37*G37*E37*20)/(D37*I37)</f>
        <v/>
      </c>
      <c r="P37" s="2">
        <f>(F37*G37*E37*25)/(D37*I37)</f>
        <v/>
      </c>
      <c r="Q37" s="2">
        <f>(F37*G37*E37*30)/(D37*I37)</f>
        <v/>
      </c>
      <c r="R37" s="2">
        <f>K37/H37</f>
        <v/>
      </c>
      <c r="S37" s="2">
        <f>L37/H37</f>
        <v/>
      </c>
      <c r="T37" s="2">
        <f>M37/H37</f>
        <v/>
      </c>
      <c r="U37" s="2">
        <f>N37/H37</f>
        <v/>
      </c>
      <c r="V37" s="2">
        <f>O37/H37</f>
        <v/>
      </c>
      <c r="W37" s="2">
        <f>P37/H37</f>
        <v/>
      </c>
      <c r="X37" s="2">
        <f>Q37/H37</f>
        <v/>
      </c>
      <c r="Y37" s="5">
        <f>IF(R37&gt;1,"1","2")</f>
        <v/>
      </c>
      <c r="Z37" s="5">
        <f>IF(S37&gt;1,"1","2")</f>
        <v/>
      </c>
      <c r="AA37" s="5">
        <f>IF(T37&gt;1,"1","2")</f>
        <v/>
      </c>
      <c r="AB37" s="5">
        <f>IF(U37&gt;1,"1","2")</f>
        <v/>
      </c>
      <c r="AC37" s="5">
        <f>IF(V37&gt;1,"1","2")</f>
        <v/>
      </c>
      <c r="AD37" s="5">
        <f>IF(W37&gt;1,"1","2")</f>
        <v/>
      </c>
      <c r="AE37" s="5">
        <f>IF(X37&gt;1,"1","2")</f>
        <v/>
      </c>
      <c r="AF37" t="n">
        <v>-5.13272</v>
      </c>
      <c r="AG37" t="n">
        <v>119.40458</v>
      </c>
    </row>
    <row r="38" ht="14.4" customHeight="1">
      <c r="A38" s="14" t="n">
        <v>35</v>
      </c>
      <c r="B38" s="15" t="inlineStr">
        <is>
          <t>Nul</t>
        </is>
      </c>
      <c r="C38" s="10" t="n">
        <v>10</v>
      </c>
      <c r="D38" s="10" t="n">
        <v>25</v>
      </c>
      <c r="E38" s="17" t="n">
        <v>365</v>
      </c>
      <c r="F38" s="21" t="n">
        <v>0.0042</v>
      </c>
      <c r="G38" s="10" t="n">
        <v>900</v>
      </c>
      <c r="H38" s="13" t="n">
        <v>0.02</v>
      </c>
      <c r="I38" s="18" t="n">
        <v>10950</v>
      </c>
      <c r="J38" s="20" t="n">
        <v>10</v>
      </c>
      <c r="K38" s="19">
        <f>(F38*G38*E38*J38)/(D38*I38)</f>
        <v/>
      </c>
      <c r="L38" s="2">
        <f>(F38*G38*E38*5)/(D38*I38)</f>
        <v/>
      </c>
      <c r="M38" s="2">
        <f>(F38*G38*E38*10)/(D38*I38)</f>
        <v/>
      </c>
      <c r="N38" s="2">
        <f>(F38*G38*E38*15)/(D38*I38)</f>
        <v/>
      </c>
      <c r="O38" s="2">
        <f>(F38*G38*E38*20)/(D38*I38)</f>
        <v/>
      </c>
      <c r="P38" s="2">
        <f>(F38*G38*E38*25)/(D38*I38)</f>
        <v/>
      </c>
      <c r="Q38" s="2">
        <f>(F38*G38*E38*30)/(D38*I38)</f>
        <v/>
      </c>
      <c r="R38" s="2">
        <f>K38/H38</f>
        <v/>
      </c>
      <c r="S38" s="2">
        <f>L38/H38</f>
        <v/>
      </c>
      <c r="T38" s="2">
        <f>M38/H38</f>
        <v/>
      </c>
      <c r="U38" s="2">
        <f>N38/H38</f>
        <v/>
      </c>
      <c r="V38" s="2">
        <f>O38/H38</f>
        <v/>
      </c>
      <c r="W38" s="2">
        <f>P38/H38</f>
        <v/>
      </c>
      <c r="X38" s="2">
        <f>Q38/H38</f>
        <v/>
      </c>
      <c r="Y38" s="5">
        <f>IF(R38&gt;1,"1","2")</f>
        <v/>
      </c>
      <c r="Z38" s="5">
        <f>IF(S38&gt;1,"1","2")</f>
        <v/>
      </c>
      <c r="AA38" s="5">
        <f>IF(T38&gt;1,"1","2")</f>
        <v/>
      </c>
      <c r="AB38" s="5">
        <f>IF(U38&gt;1,"1","2")</f>
        <v/>
      </c>
      <c r="AC38" s="5">
        <f>IF(V38&gt;1,"1","2")</f>
        <v/>
      </c>
      <c r="AD38" s="5">
        <f>IF(W38&gt;1,"1","2")</f>
        <v/>
      </c>
      <c r="AE38" s="5">
        <f>IF(X38&gt;1,"1","2")</f>
        <v/>
      </c>
      <c r="AF38" t="n">
        <v>-5.134421</v>
      </c>
      <c r="AG38" t="n">
        <v>119.421451</v>
      </c>
    </row>
    <row r="39" ht="14.4" customHeight="1">
      <c r="A39" s="14" t="n">
        <v>36</v>
      </c>
      <c r="B39" s="15" t="inlineStr">
        <is>
          <t>Naq</t>
        </is>
      </c>
      <c r="C39" s="10" t="n">
        <v>10</v>
      </c>
      <c r="D39" s="10" t="n">
        <v>24</v>
      </c>
      <c r="E39" s="17" t="n">
        <v>365</v>
      </c>
      <c r="F39" s="21" t="n">
        <v>0.0061</v>
      </c>
      <c r="G39" s="10" t="n">
        <v>900</v>
      </c>
      <c r="H39" s="13" t="n">
        <v>0.02</v>
      </c>
      <c r="I39" s="18" t="n">
        <v>10950</v>
      </c>
      <c r="J39" s="20" t="n">
        <v>1</v>
      </c>
      <c r="K39" s="19">
        <f>(F39*G39*E39*J39)/(D39*I39)</f>
        <v/>
      </c>
      <c r="L39" s="2">
        <f>(F39*G39*E39*5)/(D39*I39)</f>
        <v/>
      </c>
      <c r="M39" s="2">
        <f>(F39*G39*E39*10)/(D39*I39)</f>
        <v/>
      </c>
      <c r="N39" s="2">
        <f>(F39*G39*E39*15)/(D39*I39)</f>
        <v/>
      </c>
      <c r="O39" s="2">
        <f>(F39*G39*E39*20)/(D39*I39)</f>
        <v/>
      </c>
      <c r="P39" s="2">
        <f>(F39*G39*E39*25)/(D39*I39)</f>
        <v/>
      </c>
      <c r="Q39" s="2">
        <f>(F39*G39*E39*30)/(D39*I39)</f>
        <v/>
      </c>
      <c r="R39" s="2">
        <f>K39/H39</f>
        <v/>
      </c>
      <c r="S39" s="2">
        <f>L39/H39</f>
        <v/>
      </c>
      <c r="T39" s="2">
        <f>M39/H39</f>
        <v/>
      </c>
      <c r="U39" s="2">
        <f>N39/H39</f>
        <v/>
      </c>
      <c r="V39" s="2">
        <f>O39/H39</f>
        <v/>
      </c>
      <c r="W39" s="2">
        <f>P39/H39</f>
        <v/>
      </c>
      <c r="X39" s="2">
        <f>Q39/H39</f>
        <v/>
      </c>
      <c r="Y39" s="5">
        <f>IF(R39&gt;1,"1","2")</f>
        <v/>
      </c>
      <c r="Z39" s="5">
        <f>IF(S39&gt;1,"1","2")</f>
        <v/>
      </c>
      <c r="AA39" s="5">
        <f>IF(T39&gt;1,"1","2")</f>
        <v/>
      </c>
      <c r="AB39" s="5">
        <f>IF(U39&gt;1,"1","2")</f>
        <v/>
      </c>
      <c r="AC39" s="5">
        <f>IF(V39&gt;1,"1","2")</f>
        <v/>
      </c>
      <c r="AD39" s="5">
        <f>IF(W39&gt;1,"1","2")</f>
        <v/>
      </c>
      <c r="AE39" s="5">
        <f>IF(X39&gt;1,"1","2")</f>
        <v/>
      </c>
      <c r="AF39" t="n">
        <v>-5.151606</v>
      </c>
      <c r="AG39" t="n">
        <v>119.41927</v>
      </c>
    </row>
    <row r="40" ht="14.4" customHeight="1">
      <c r="A40" s="14" t="n">
        <v>37</v>
      </c>
      <c r="B40" s="15" t="inlineStr">
        <is>
          <t>Frd</t>
        </is>
      </c>
      <c r="C40" s="10" t="n">
        <v>10</v>
      </c>
      <c r="D40" s="10" t="n">
        <v>20</v>
      </c>
      <c r="E40" s="17" t="n">
        <v>365</v>
      </c>
      <c r="F40" s="21" t="n">
        <v>0.0323</v>
      </c>
      <c r="G40" s="10" t="n">
        <v>900</v>
      </c>
      <c r="H40" s="13" t="n">
        <v>0.02</v>
      </c>
      <c r="I40" s="18" t="n">
        <v>10950</v>
      </c>
      <c r="J40" s="20" t="n">
        <v>10</v>
      </c>
      <c r="K40" s="19">
        <f>(F40*G40*E40*J40)/(D40*I40)</f>
        <v/>
      </c>
      <c r="L40" s="2">
        <f>(F40*G40*E40*5)/(D40*I40)</f>
        <v/>
      </c>
      <c r="M40" s="2">
        <f>(F40*G40*E40*10)/(D40*I40)</f>
        <v/>
      </c>
      <c r="N40" s="2">
        <f>(F40*G40*E40*15)/(D40*I40)</f>
        <v/>
      </c>
      <c r="O40" s="2">
        <f>(F40*G40*E40*20)/(D40*I40)</f>
        <v/>
      </c>
      <c r="P40" s="2">
        <f>(F40*G40*E40*25)/(D40*I40)</f>
        <v/>
      </c>
      <c r="Q40" s="2">
        <f>(F40*G40*E40*30)/(D40*I40)</f>
        <v/>
      </c>
      <c r="R40" s="2">
        <f>K40/H40</f>
        <v/>
      </c>
      <c r="S40" s="2">
        <f>L40/H40</f>
        <v/>
      </c>
      <c r="T40" s="2">
        <f>M40/H40</f>
        <v/>
      </c>
      <c r="U40" s="2">
        <f>N40/H40</f>
        <v/>
      </c>
      <c r="V40" s="2">
        <f>O40/H40</f>
        <v/>
      </c>
      <c r="W40" s="2">
        <f>P40/H40</f>
        <v/>
      </c>
      <c r="X40" s="2">
        <f>Q40/H40</f>
        <v/>
      </c>
      <c r="Y40" s="5">
        <f>IF(R40&gt;1,"1","2")</f>
        <v/>
      </c>
      <c r="Z40" s="5">
        <f>IF(S40&gt;1,"1","2")</f>
        <v/>
      </c>
      <c r="AA40" s="5">
        <f>IF(T40&gt;1,"1","2")</f>
        <v/>
      </c>
      <c r="AB40" s="5">
        <f>IF(U40&gt;1,"1","2")</f>
        <v/>
      </c>
      <c r="AC40" s="5">
        <f>IF(V40&gt;1,"1","2")</f>
        <v/>
      </c>
      <c r="AD40" s="5">
        <f>IF(W40&gt;1,"1","2")</f>
        <v/>
      </c>
      <c r="AE40" s="5">
        <f>IF(X40&gt;1,"1","2")</f>
        <v/>
      </c>
      <c r="AF40" t="n">
        <v>-5.141656</v>
      </c>
      <c r="AG40" t="n">
        <v>119.443893</v>
      </c>
    </row>
    <row r="41" ht="14.4" customHeight="1">
      <c r="A41" s="14" t="n">
        <v>38</v>
      </c>
      <c r="B41" s="15" t="inlineStr">
        <is>
          <t>Ark</t>
        </is>
      </c>
      <c r="C41" s="10" t="n">
        <v>10</v>
      </c>
      <c r="D41" s="10" t="n">
        <v>25</v>
      </c>
      <c r="E41" s="17" t="n">
        <v>365</v>
      </c>
      <c r="F41" s="21" t="n">
        <v>0.0331</v>
      </c>
      <c r="G41" s="10" t="n">
        <v>900</v>
      </c>
      <c r="H41" s="13" t="n">
        <v>0.02</v>
      </c>
      <c r="I41" s="18" t="n">
        <v>10950</v>
      </c>
      <c r="J41" s="20" t="n">
        <v>10</v>
      </c>
      <c r="K41" s="19">
        <f>(F41*G41*E41*J41)/(D41*I41)</f>
        <v/>
      </c>
      <c r="L41" s="2">
        <f>(F41*G41*E41*5)/(D41*I41)</f>
        <v/>
      </c>
      <c r="M41" s="2">
        <f>(F41*G41*E41*10)/(D41*I41)</f>
        <v/>
      </c>
      <c r="N41" s="2">
        <f>(F41*G41*E41*15)/(D41*I41)</f>
        <v/>
      </c>
      <c r="O41" s="2">
        <f>(F41*G41*E41*20)/(D41*I41)</f>
        <v/>
      </c>
      <c r="P41" s="2">
        <f>(F41*G41*E41*25)/(D41*I41)</f>
        <v/>
      </c>
      <c r="Q41" s="2">
        <f>(F41*G41*E41*30)/(D41*I41)</f>
        <v/>
      </c>
      <c r="R41" s="2">
        <f>K41/H41</f>
        <v/>
      </c>
      <c r="S41" s="2">
        <f>L41/H41</f>
        <v/>
      </c>
      <c r="T41" s="2">
        <f>M41/H41</f>
        <v/>
      </c>
      <c r="U41" s="2">
        <f>N41/H41</f>
        <v/>
      </c>
      <c r="V41" s="2">
        <f>O41/H41</f>
        <v/>
      </c>
      <c r="W41" s="2">
        <f>P41/H41</f>
        <v/>
      </c>
      <c r="X41" s="2">
        <f>Q41/H41</f>
        <v/>
      </c>
      <c r="Y41" s="5">
        <f>IF(R41&gt;1,"1","2")</f>
        <v/>
      </c>
      <c r="Z41" s="5">
        <f>IF(S41&gt;1,"1","2")</f>
        <v/>
      </c>
      <c r="AA41" s="5">
        <f>IF(T41&gt;1,"1","2")</f>
        <v/>
      </c>
      <c r="AB41" s="5">
        <f>IF(U41&gt;1,"1","2")</f>
        <v/>
      </c>
      <c r="AC41" s="5">
        <f>IF(V41&gt;1,"1","2")</f>
        <v/>
      </c>
      <c r="AD41" s="5">
        <f>IF(W41&gt;1,"1","2")</f>
        <v/>
      </c>
      <c r="AE41" s="5">
        <f>IF(X41&gt;1,"1","2")</f>
        <v/>
      </c>
      <c r="AF41" t="n">
        <v>-5.144759</v>
      </c>
      <c r="AG41" t="n">
        <v>119.411536</v>
      </c>
    </row>
    <row r="42" ht="14.4" customHeight="1">
      <c r="A42" s="14" t="n">
        <v>39</v>
      </c>
      <c r="B42" s="15" t="inlineStr">
        <is>
          <t>Dah</t>
        </is>
      </c>
      <c r="C42" s="10" t="n">
        <v>10</v>
      </c>
      <c r="D42" s="10" t="n">
        <v>30</v>
      </c>
      <c r="E42" s="17" t="n">
        <v>365</v>
      </c>
      <c r="F42" s="21" t="n">
        <v>0.0331</v>
      </c>
      <c r="G42" s="10" t="n">
        <v>900</v>
      </c>
      <c r="H42" s="13" t="n">
        <v>0.02</v>
      </c>
      <c r="I42" s="18" t="n">
        <v>10950</v>
      </c>
      <c r="J42" s="20" t="n">
        <v>10</v>
      </c>
      <c r="K42" s="19">
        <f>(F42*G42*E42*J42)/(D42*I42)</f>
        <v/>
      </c>
      <c r="L42" s="2">
        <f>(F42*G42*E42*5)/(D42*I42)</f>
        <v/>
      </c>
      <c r="M42" s="2">
        <f>(F42*G42*E42*10)/(D42*I42)</f>
        <v/>
      </c>
      <c r="N42" s="2">
        <f>(F42*G42*E42*15)/(D42*I42)</f>
        <v/>
      </c>
      <c r="O42" s="2">
        <f>(F42*G42*E42*20)/(D42*I42)</f>
        <v/>
      </c>
      <c r="P42" s="2">
        <f>(F42*G42*E42*25)/(D42*I42)</f>
        <v/>
      </c>
      <c r="Q42" s="2">
        <f>(F42*G42*E42*30)/(D42*I42)</f>
        <v/>
      </c>
      <c r="R42" s="2">
        <f>K42/H42</f>
        <v/>
      </c>
      <c r="S42" s="2">
        <f>L42/H42</f>
        <v/>
      </c>
      <c r="T42" s="2">
        <f>M42/H42</f>
        <v/>
      </c>
      <c r="U42" s="2">
        <f>N42/H42</f>
        <v/>
      </c>
      <c r="V42" s="2">
        <f>O42/H42</f>
        <v/>
      </c>
      <c r="W42" s="2">
        <f>P42/H42</f>
        <v/>
      </c>
      <c r="X42" s="2">
        <f>Q42/H42</f>
        <v/>
      </c>
      <c r="Y42" s="5">
        <f>IF(R42&gt;1,"1","2")</f>
        <v/>
      </c>
      <c r="Z42" s="5">
        <f>IF(S42&gt;1,"1","2")</f>
        <v/>
      </c>
      <c r="AA42" s="5">
        <f>IF(T42&gt;1,"1","2")</f>
        <v/>
      </c>
      <c r="AB42" s="5">
        <f>IF(U42&gt;1,"1","2")</f>
        <v/>
      </c>
      <c r="AC42" s="5">
        <f>IF(V42&gt;1,"1","2")</f>
        <v/>
      </c>
      <c r="AD42" s="5">
        <f>IF(W42&gt;1,"1","2")</f>
        <v/>
      </c>
      <c r="AE42" s="5">
        <f>IF(X42&gt;1,"1","2")</f>
        <v/>
      </c>
      <c r="AF42" t="n">
        <v>-5.134423</v>
      </c>
      <c r="AG42" t="n">
        <v>119.401251</v>
      </c>
    </row>
    <row r="43" ht="14.4" customHeight="1">
      <c r="A43" s="14" t="n">
        <v>40</v>
      </c>
      <c r="B43" s="15" t="inlineStr">
        <is>
          <t>Wah</t>
        </is>
      </c>
      <c r="C43" s="10" t="n">
        <v>10</v>
      </c>
      <c r="D43" s="10" t="n">
        <v>25</v>
      </c>
      <c r="E43" s="17" t="n">
        <v>365</v>
      </c>
      <c r="F43" s="21" t="n">
        <v>0.0314</v>
      </c>
      <c r="G43" s="10" t="n">
        <v>900</v>
      </c>
      <c r="H43" s="13" t="n">
        <v>0.02</v>
      </c>
      <c r="I43" s="18" t="n">
        <v>10950</v>
      </c>
      <c r="J43" s="20" t="n">
        <v>10</v>
      </c>
      <c r="K43" s="19">
        <f>(F43*G43*E43*J43)/(D43*I43)</f>
        <v/>
      </c>
      <c r="L43" s="2">
        <f>(F43*G43*E43*5)/(D43*I43)</f>
        <v/>
      </c>
      <c r="M43" s="2">
        <f>(F43*G43*E43*10)/(D43*I43)</f>
        <v/>
      </c>
      <c r="N43" s="2">
        <f>(F43*G43*E43*15)/(D43*I43)</f>
        <v/>
      </c>
      <c r="O43" s="2">
        <f>(F43*G43*E43*20)/(D43*I43)</f>
        <v/>
      </c>
      <c r="P43" s="2">
        <f>(F43*G43*E43*25)/(D43*I43)</f>
        <v/>
      </c>
      <c r="Q43" s="2">
        <f>(F43*G43*E43*30)/(D43*I43)</f>
        <v/>
      </c>
      <c r="R43" s="2">
        <f>K43/H43</f>
        <v/>
      </c>
      <c r="S43" s="2">
        <f>L43/H43</f>
        <v/>
      </c>
      <c r="T43" s="2">
        <f>M43/H43</f>
        <v/>
      </c>
      <c r="U43" s="2">
        <f>N43/H43</f>
        <v/>
      </c>
      <c r="V43" s="2">
        <f>O43/H43</f>
        <v/>
      </c>
      <c r="W43" s="2">
        <f>P43/H43</f>
        <v/>
      </c>
      <c r="X43" s="2">
        <f>Q43/H43</f>
        <v/>
      </c>
      <c r="Y43" s="5">
        <f>IF(R43&gt;1,"1","2")</f>
        <v/>
      </c>
      <c r="Z43" s="5">
        <f>IF(S43&gt;1,"1","2")</f>
        <v/>
      </c>
      <c r="AA43" s="5">
        <f>IF(T43&gt;1,"1","2")</f>
        <v/>
      </c>
      <c r="AB43" s="5">
        <f>IF(U43&gt;1,"1","2")</f>
        <v/>
      </c>
      <c r="AC43" s="5">
        <f>IF(V43&gt;1,"1","2")</f>
        <v/>
      </c>
      <c r="AD43" s="5">
        <f>IF(W43&gt;1,"1","2")</f>
        <v/>
      </c>
      <c r="AE43" s="5">
        <f>IF(X43&gt;1,"1","2")</f>
        <v/>
      </c>
      <c r="AF43" t="n">
        <v>-5.158458</v>
      </c>
      <c r="AG43" t="n">
        <v>119.434811</v>
      </c>
    </row>
    <row r="44" ht="14.4" customHeight="1">
      <c r="A44" s="14" t="n">
        <v>41</v>
      </c>
      <c r="B44" s="15" t="inlineStr">
        <is>
          <t>Roh</t>
        </is>
      </c>
      <c r="C44" s="10" t="n">
        <v>10</v>
      </c>
      <c r="D44" s="10" t="n">
        <v>37</v>
      </c>
      <c r="E44" s="17" t="n">
        <v>365</v>
      </c>
      <c r="F44" s="21" t="n">
        <v>0.0314</v>
      </c>
      <c r="G44" s="10" t="n">
        <v>900</v>
      </c>
      <c r="H44" s="13" t="n">
        <v>0.02</v>
      </c>
      <c r="I44" s="18" t="n">
        <v>10950</v>
      </c>
      <c r="J44" s="20" t="n">
        <v>10</v>
      </c>
      <c r="K44" s="19">
        <f>(F44*G44*E44*J44)/(D44*I44)</f>
        <v/>
      </c>
      <c r="L44" s="2">
        <f>(F44*G44*E44*5)/(D44*I44)</f>
        <v/>
      </c>
      <c r="M44" s="2">
        <f>(F44*G44*E44*10)/(D44*I44)</f>
        <v/>
      </c>
      <c r="N44" s="2">
        <f>(F44*G44*E44*15)/(D44*I44)</f>
        <v/>
      </c>
      <c r="O44" s="2">
        <f>(F44*G44*E44*20)/(D44*I44)</f>
        <v/>
      </c>
      <c r="P44" s="2">
        <f>(F44*G44*E44*25)/(D44*I44)</f>
        <v/>
      </c>
      <c r="Q44" s="2">
        <f>(F44*G44*E44*30)/(D44*I44)</f>
        <v/>
      </c>
      <c r="R44" s="2">
        <f>K44/H44</f>
        <v/>
      </c>
      <c r="S44" s="2">
        <f>L44/H44</f>
        <v/>
      </c>
      <c r="T44" s="2">
        <f>M44/H44</f>
        <v/>
      </c>
      <c r="U44" s="2">
        <f>N44/H44</f>
        <v/>
      </c>
      <c r="V44" s="2">
        <f>O44/H44</f>
        <v/>
      </c>
      <c r="W44" s="2">
        <f>P44/H44</f>
        <v/>
      </c>
      <c r="X44" s="2">
        <f>Q44/H44</f>
        <v/>
      </c>
      <c r="Y44" s="5">
        <f>IF(R44&gt;1,"1","2")</f>
        <v/>
      </c>
      <c r="Z44" s="5">
        <f>IF(S44&gt;1,"1","2")</f>
        <v/>
      </c>
      <c r="AA44" s="5">
        <f>IF(T44&gt;1,"1","2")</f>
        <v/>
      </c>
      <c r="AB44" s="5">
        <f>IF(U44&gt;1,"1","2")</f>
        <v/>
      </c>
      <c r="AC44" s="5">
        <f>IF(V44&gt;1,"1","2")</f>
        <v/>
      </c>
      <c r="AD44" s="5">
        <f>IF(W44&gt;1,"1","2")</f>
        <v/>
      </c>
      <c r="AE44" s="5">
        <f>IF(X44&gt;1,"1","2")</f>
        <v/>
      </c>
      <c r="AF44" t="n">
        <v>-5.143659</v>
      </c>
      <c r="AG44" t="n">
        <v>119.427099</v>
      </c>
    </row>
    <row r="45" ht="14.4" customHeight="1">
      <c r="A45" s="14" t="n">
        <v>42</v>
      </c>
      <c r="B45" s="15" t="inlineStr">
        <is>
          <t>Nur</t>
        </is>
      </c>
      <c r="C45" s="10" t="n">
        <v>10</v>
      </c>
      <c r="D45" s="10" t="n">
        <v>22</v>
      </c>
      <c r="E45" s="17" t="n">
        <v>365</v>
      </c>
      <c r="F45" s="21" t="n">
        <v>0.0314</v>
      </c>
      <c r="G45" s="10" t="n">
        <v>900</v>
      </c>
      <c r="H45" s="13" t="n">
        <v>0.02</v>
      </c>
      <c r="I45" s="18" t="n">
        <v>10950</v>
      </c>
      <c r="J45" s="20" t="n">
        <v>10</v>
      </c>
      <c r="K45" s="19">
        <f>(F45*G45*E45*J45)/(D45*I45)</f>
        <v/>
      </c>
      <c r="L45" s="2">
        <f>(F45*G45*E45*5)/(D45*I45)</f>
        <v/>
      </c>
      <c r="M45" s="2">
        <f>(F45*G45*E45*10)/(D45*I45)</f>
        <v/>
      </c>
      <c r="N45" s="2">
        <f>(F45*G45*E45*15)/(D45*I45)</f>
        <v/>
      </c>
      <c r="O45" s="2">
        <f>(F45*G45*E45*20)/(D45*I45)</f>
        <v/>
      </c>
      <c r="P45" s="2">
        <f>(F45*G45*E45*25)/(D45*I45)</f>
        <v/>
      </c>
      <c r="Q45" s="2">
        <f>(F45*G45*E45*30)/(D45*I45)</f>
        <v/>
      </c>
      <c r="R45" s="2">
        <f>K45/H45</f>
        <v/>
      </c>
      <c r="S45" s="2">
        <f>L45/H45</f>
        <v/>
      </c>
      <c r="T45" s="2">
        <f>M45/H45</f>
        <v/>
      </c>
      <c r="U45" s="2">
        <f>N45/H45</f>
        <v/>
      </c>
      <c r="V45" s="2">
        <f>O45/H45</f>
        <v/>
      </c>
      <c r="W45" s="2">
        <f>P45/H45</f>
        <v/>
      </c>
      <c r="X45" s="2">
        <f>Q45/H45</f>
        <v/>
      </c>
      <c r="Y45" s="5">
        <f>IF(R45&gt;1,"1","2")</f>
        <v/>
      </c>
      <c r="Z45" s="5">
        <f>IF(S45&gt;1,"1","2")</f>
        <v/>
      </c>
      <c r="AA45" s="5">
        <f>IF(T45&gt;1,"1","2")</f>
        <v/>
      </c>
      <c r="AB45" s="5">
        <f>IF(U45&gt;1,"1","2")</f>
        <v/>
      </c>
      <c r="AC45" s="5">
        <f>IF(V45&gt;1,"1","2")</f>
        <v/>
      </c>
      <c r="AD45" s="5">
        <f>IF(W45&gt;1,"1","2")</f>
        <v/>
      </c>
      <c r="AE45" s="5">
        <f>IF(X45&gt;1,"1","2")</f>
        <v/>
      </c>
      <c r="AF45" t="n">
        <v>-5.149125</v>
      </c>
      <c r="AG45" t="n">
        <v>119.424401</v>
      </c>
    </row>
    <row r="46" ht="14.4" customHeight="1">
      <c r="A46" s="14" t="n">
        <v>43</v>
      </c>
      <c r="B46" s="15" t="inlineStr">
        <is>
          <t>Ars</t>
        </is>
      </c>
      <c r="C46" s="10" t="n">
        <v>10</v>
      </c>
      <c r="D46" s="10" t="n">
        <v>20</v>
      </c>
      <c r="E46" s="17" t="n">
        <v>365</v>
      </c>
      <c r="F46" s="21" t="n">
        <v>0.0311</v>
      </c>
      <c r="G46" s="10" t="n">
        <v>900</v>
      </c>
      <c r="H46" s="13" t="n">
        <v>0.02</v>
      </c>
      <c r="I46" s="18" t="n">
        <v>10950</v>
      </c>
      <c r="J46" s="20" t="n">
        <v>6</v>
      </c>
      <c r="K46" s="19">
        <f>(F46*G46*E46*J46)/(D46*I46)</f>
        <v/>
      </c>
      <c r="L46" s="2">
        <f>(F46*G46*E46*5)/(D46*I46)</f>
        <v/>
      </c>
      <c r="M46" s="2">
        <f>(F46*G46*E46*10)/(D46*I46)</f>
        <v/>
      </c>
      <c r="N46" s="2">
        <f>(F46*G46*E46*15)/(D46*I46)</f>
        <v/>
      </c>
      <c r="O46" s="2">
        <f>(F46*G46*E46*20)/(D46*I46)</f>
        <v/>
      </c>
      <c r="P46" s="2">
        <f>(F46*G46*E46*25)/(D46*I46)</f>
        <v/>
      </c>
      <c r="Q46" s="2">
        <f>(F46*G46*E46*30)/(D46*I46)</f>
        <v/>
      </c>
      <c r="R46" s="2">
        <f>K46/H46</f>
        <v/>
      </c>
      <c r="S46" s="2">
        <f>L46/H46</f>
        <v/>
      </c>
      <c r="T46" s="2">
        <f>M46/H46</f>
        <v/>
      </c>
      <c r="U46" s="2">
        <f>N46/H46</f>
        <v/>
      </c>
      <c r="V46" s="2">
        <f>O46/H46</f>
        <v/>
      </c>
      <c r="W46" s="2">
        <f>P46/H46</f>
        <v/>
      </c>
      <c r="X46" s="2">
        <f>Q46/H46</f>
        <v/>
      </c>
      <c r="Y46" s="5">
        <f>IF(R46&gt;1,"1","2")</f>
        <v/>
      </c>
      <c r="Z46" s="5">
        <f>IF(S46&gt;1,"1","2")</f>
        <v/>
      </c>
      <c r="AA46" s="5">
        <f>IF(T46&gt;1,"1","2")</f>
        <v/>
      </c>
      <c r="AB46" s="5">
        <f>IF(U46&gt;1,"1","2")</f>
        <v/>
      </c>
      <c r="AC46" s="5">
        <f>IF(V46&gt;1,"1","2")</f>
        <v/>
      </c>
      <c r="AD46" s="5">
        <f>IF(W46&gt;1,"1","2")</f>
        <v/>
      </c>
      <c r="AE46" s="5">
        <f>IF(X46&gt;1,"1","2")</f>
        <v/>
      </c>
      <c r="AF46" t="n">
        <v>-5.124469</v>
      </c>
      <c r="AG46" t="n">
        <v>119.42</v>
      </c>
    </row>
    <row r="47" ht="14.4" customHeight="1">
      <c r="A47" s="14" t="n">
        <v>44</v>
      </c>
      <c r="B47" s="15" t="inlineStr">
        <is>
          <t>Ani</t>
        </is>
      </c>
      <c r="C47" s="10" t="n">
        <v>10</v>
      </c>
      <c r="D47" s="10" t="n">
        <v>25</v>
      </c>
      <c r="E47" s="17" t="n">
        <v>365</v>
      </c>
      <c r="F47" s="21" t="n">
        <v>0.0357</v>
      </c>
      <c r="G47" s="10" t="n">
        <v>1500</v>
      </c>
      <c r="H47" s="13" t="n">
        <v>0.02</v>
      </c>
      <c r="I47" s="18" t="n">
        <v>10950</v>
      </c>
      <c r="J47" s="20" t="n">
        <v>6</v>
      </c>
      <c r="K47" s="19">
        <f>(F47*G47*E47*J47)/(D47*I47)</f>
        <v/>
      </c>
      <c r="L47" s="2">
        <f>(F47*G47*E47*5)/(D47*I47)</f>
        <v/>
      </c>
      <c r="M47" s="2">
        <f>(F47*G47*E47*10)/(D47*I47)</f>
        <v/>
      </c>
      <c r="N47" s="2">
        <f>(F47*G47*E47*15)/(D47*I47)</f>
        <v/>
      </c>
      <c r="O47" s="2">
        <f>(F47*G47*E47*20)/(D47*I47)</f>
        <v/>
      </c>
      <c r="P47" s="2">
        <f>(F47*G47*E47*25)/(D47*I47)</f>
        <v/>
      </c>
      <c r="Q47" s="2">
        <f>(F47*G47*E47*30)/(D47*I47)</f>
        <v/>
      </c>
      <c r="R47" s="2">
        <f>K47/H47</f>
        <v/>
      </c>
      <c r="S47" s="2">
        <f>L47/H47</f>
        <v/>
      </c>
      <c r="T47" s="2">
        <f>M47/H47</f>
        <v/>
      </c>
      <c r="U47" s="2">
        <f>N47/H47</f>
        <v/>
      </c>
      <c r="V47" s="2">
        <f>O47/H47</f>
        <v/>
      </c>
      <c r="W47" s="2">
        <f>P47/H47</f>
        <v/>
      </c>
      <c r="X47" s="2">
        <f>Q47/H47</f>
        <v/>
      </c>
      <c r="Y47" s="5">
        <f>IF(R47&gt;1,"1","2")</f>
        <v/>
      </c>
      <c r="Z47" s="5">
        <f>IF(S47&gt;1,"1","2")</f>
        <v/>
      </c>
      <c r="AA47" s="5">
        <f>IF(T47&gt;1,"1","2")</f>
        <v/>
      </c>
      <c r="AB47" s="5">
        <f>IF(U47&gt;1,"1","2")</f>
        <v/>
      </c>
      <c r="AC47" s="5">
        <f>IF(V47&gt;1,"1","2")</f>
        <v/>
      </c>
      <c r="AD47" s="5">
        <f>IF(W47&gt;1,"1","2")</f>
        <v/>
      </c>
      <c r="AE47" s="5">
        <f>IF(X47&gt;1,"1","2")</f>
        <v/>
      </c>
      <c r="AF47" t="n">
        <v>-5.145926</v>
      </c>
      <c r="AG47" t="n">
        <v>119.421509</v>
      </c>
    </row>
    <row r="48" ht="14.4" customHeight="1">
      <c r="A48" s="14" t="n">
        <v>45</v>
      </c>
      <c r="B48" s="15" t="inlineStr">
        <is>
          <t>Aff</t>
        </is>
      </c>
      <c r="C48" s="10" t="n">
        <v>10</v>
      </c>
      <c r="D48" s="10" t="n">
        <v>49</v>
      </c>
      <c r="E48" s="17" t="n">
        <v>365</v>
      </c>
      <c r="F48" s="21" t="n">
        <v>0.0357</v>
      </c>
      <c r="G48" s="10" t="n">
        <v>2100</v>
      </c>
      <c r="H48" s="13" t="n">
        <v>0.02</v>
      </c>
      <c r="I48" s="18" t="n">
        <v>10950</v>
      </c>
      <c r="J48" s="20" t="n">
        <v>2</v>
      </c>
      <c r="K48" s="19">
        <f>(F48*G48*E48*J48)/(D48*I48)</f>
        <v/>
      </c>
      <c r="L48" s="2">
        <f>(F48*G48*E48*5)/(D48*I48)</f>
        <v/>
      </c>
      <c r="M48" s="2">
        <f>(F48*G48*E48*10)/(D48*I48)</f>
        <v/>
      </c>
      <c r="N48" s="2">
        <f>(F48*G48*E48*15)/(D48*I48)</f>
        <v/>
      </c>
      <c r="O48" s="2">
        <f>(F48*G48*E48*20)/(D48*I48)</f>
        <v/>
      </c>
      <c r="P48" s="2">
        <f>(F48*G48*E48*25)/(D48*I48)</f>
        <v/>
      </c>
      <c r="Q48" s="2">
        <f>(F48*G48*E48*30)/(D48*I48)</f>
        <v/>
      </c>
      <c r="R48" s="2">
        <f>K48/H48</f>
        <v/>
      </c>
      <c r="S48" s="2">
        <f>L48/H48</f>
        <v/>
      </c>
      <c r="T48" s="2">
        <f>M48/H48</f>
        <v/>
      </c>
      <c r="U48" s="2">
        <f>N48/H48</f>
        <v/>
      </c>
      <c r="V48" s="2">
        <f>O48/H48</f>
        <v/>
      </c>
      <c r="W48" s="2">
        <f>P48/H48</f>
        <v/>
      </c>
      <c r="X48" s="2">
        <f>Q48/H48</f>
        <v/>
      </c>
      <c r="Y48" s="5">
        <f>IF(R48&gt;1,"1","2")</f>
        <v/>
      </c>
      <c r="Z48" s="5">
        <f>IF(S48&gt;1,"1","2")</f>
        <v/>
      </c>
      <c r="AA48" s="5">
        <f>IF(T48&gt;1,"1","2")</f>
        <v/>
      </c>
      <c r="AB48" s="5">
        <f>IF(U48&gt;1,"1","2")</f>
        <v/>
      </c>
      <c r="AC48" s="5">
        <f>IF(V48&gt;1,"1","2")</f>
        <v/>
      </c>
      <c r="AD48" s="5">
        <f>IF(W48&gt;1,"1","2")</f>
        <v/>
      </c>
      <c r="AE48" s="5">
        <f>IF(X48&gt;1,"1","2")</f>
        <v/>
      </c>
      <c r="AF48" t="n">
        <v>-5.138074</v>
      </c>
      <c r="AG48" t="n">
        <v>119.406595</v>
      </c>
    </row>
    <row r="49" ht="14.4" customHeight="1">
      <c r="A49" s="14" t="n">
        <v>46</v>
      </c>
      <c r="B49" s="15" t="inlineStr">
        <is>
          <t>IWg</t>
        </is>
      </c>
      <c r="C49" s="10" t="n">
        <v>10</v>
      </c>
      <c r="D49" s="10" t="n">
        <v>25</v>
      </c>
      <c r="E49" s="17" t="n">
        <v>365</v>
      </c>
      <c r="F49" s="21" t="n">
        <v>0.0357</v>
      </c>
      <c r="G49" s="10" t="n">
        <v>900</v>
      </c>
      <c r="H49" s="13" t="n">
        <v>0.02</v>
      </c>
      <c r="I49" s="18" t="n">
        <v>10950</v>
      </c>
      <c r="J49" s="20" t="n">
        <v>10</v>
      </c>
      <c r="K49" s="19">
        <f>(F49*G49*E49*J49)/(D49*I49)</f>
        <v/>
      </c>
      <c r="L49" s="2">
        <f>(F49*G49*E49*5)/(D49*I49)</f>
        <v/>
      </c>
      <c r="M49" s="2">
        <f>(F49*G49*E49*10)/(D49*I49)</f>
        <v/>
      </c>
      <c r="N49" s="2">
        <f>(F49*G49*E49*15)/(D49*I49)</f>
        <v/>
      </c>
      <c r="O49" s="2">
        <f>(F49*G49*E49*20)/(D49*I49)</f>
        <v/>
      </c>
      <c r="P49" s="2">
        <f>(F49*G49*E49*25)/(D49*I49)</f>
        <v/>
      </c>
      <c r="Q49" s="2">
        <f>(F49*G49*E49*30)/(D49*I49)</f>
        <v/>
      </c>
      <c r="R49" s="2">
        <f>K49/H49</f>
        <v/>
      </c>
      <c r="S49" s="2">
        <f>L49/H49</f>
        <v/>
      </c>
      <c r="T49" s="2">
        <f>M49/H49</f>
        <v/>
      </c>
      <c r="U49" s="2">
        <f>N49/H49</f>
        <v/>
      </c>
      <c r="V49" s="2">
        <f>O49/H49</f>
        <v/>
      </c>
      <c r="W49" s="2">
        <f>P49/H49</f>
        <v/>
      </c>
      <c r="X49" s="2">
        <f>Q49/H49</f>
        <v/>
      </c>
      <c r="Y49" s="5">
        <f>IF(R49&gt;1,"1","2")</f>
        <v/>
      </c>
      <c r="Z49" s="5">
        <f>IF(S49&gt;1,"1","2")</f>
        <v/>
      </c>
      <c r="AA49" s="5">
        <f>IF(T49&gt;1,"1","2")</f>
        <v/>
      </c>
      <c r="AB49" s="5">
        <f>IF(U49&gt;1,"1","2")</f>
        <v/>
      </c>
      <c r="AC49" s="5">
        <f>IF(V49&gt;1,"1","2")</f>
        <v/>
      </c>
      <c r="AD49" s="5">
        <f>IF(W49&gt;1,"1","2")</f>
        <v/>
      </c>
      <c r="AE49" s="5">
        <f>IF(X49&gt;1,"1","2")</f>
        <v/>
      </c>
      <c r="AF49" t="n">
        <v>-5.157325</v>
      </c>
      <c r="AG49" t="n">
        <v>119.420662</v>
      </c>
    </row>
    <row r="50" ht="14.4" customHeight="1">
      <c r="A50" s="14" t="n">
        <v>47</v>
      </c>
      <c r="B50" s="15" t="inlineStr">
        <is>
          <t>Nkf</t>
        </is>
      </c>
      <c r="C50" s="10" t="n">
        <v>10</v>
      </c>
      <c r="D50" s="10" t="n">
        <v>27</v>
      </c>
      <c r="E50" s="17" t="n">
        <v>365</v>
      </c>
      <c r="F50" s="21" t="n">
        <v>0.0361</v>
      </c>
      <c r="G50" s="10" t="n">
        <v>900</v>
      </c>
      <c r="H50" s="13" t="n">
        <v>0.02</v>
      </c>
      <c r="I50" s="18" t="n">
        <v>10950</v>
      </c>
      <c r="J50" s="20" t="n">
        <v>10</v>
      </c>
      <c r="K50" s="19">
        <f>(F50*G50*E50*J50)/(D50*I50)</f>
        <v/>
      </c>
      <c r="L50" s="2">
        <f>(F50*G50*E50*5)/(D50*I50)</f>
        <v/>
      </c>
      <c r="M50" s="2">
        <f>(F50*G50*E50*10)/(D50*I50)</f>
        <v/>
      </c>
      <c r="N50" s="2">
        <f>(F50*G50*E50*15)/(D50*I50)</f>
        <v/>
      </c>
      <c r="O50" s="2">
        <f>(F50*G50*E50*20)/(D50*I50)</f>
        <v/>
      </c>
      <c r="P50" s="2">
        <f>(F50*G50*E50*25)/(D50*I50)</f>
        <v/>
      </c>
      <c r="Q50" s="2">
        <f>(F50*G50*E50*30)/(D50*I50)</f>
        <v/>
      </c>
      <c r="R50" s="2">
        <f>K50/H50</f>
        <v/>
      </c>
      <c r="S50" s="2">
        <f>L50/H50</f>
        <v/>
      </c>
      <c r="T50" s="2">
        <f>M50/H50</f>
        <v/>
      </c>
      <c r="U50" s="2">
        <f>N50/H50</f>
        <v/>
      </c>
      <c r="V50" s="2">
        <f>O50/H50</f>
        <v/>
      </c>
      <c r="W50" s="2">
        <f>P50/H50</f>
        <v/>
      </c>
      <c r="X50" s="2">
        <f>Q50/H50</f>
        <v/>
      </c>
      <c r="Y50" s="5">
        <f>IF(R50&gt;1,"1","2")</f>
        <v/>
      </c>
      <c r="Z50" s="5">
        <f>IF(S50&gt;1,"1","2")</f>
        <v/>
      </c>
      <c r="AA50" s="5">
        <f>IF(T50&gt;1,"1","2")</f>
        <v/>
      </c>
      <c r="AB50" s="5">
        <f>IF(U50&gt;1,"1","2")</f>
        <v/>
      </c>
      <c r="AC50" s="5">
        <f>IF(V50&gt;1,"1","2")</f>
        <v/>
      </c>
      <c r="AD50" s="5">
        <f>IF(W50&gt;1,"1","2")</f>
        <v/>
      </c>
      <c r="AE50" s="5">
        <f>IF(X50&gt;1,"1","2")</f>
        <v/>
      </c>
      <c r="AF50" t="n">
        <v>-5.140099</v>
      </c>
      <c r="AG50" t="n">
        <v>119.413309</v>
      </c>
    </row>
    <row r="51" ht="14.4" customHeight="1">
      <c r="A51" s="14" t="n">
        <v>48</v>
      </c>
      <c r="B51" s="15" t="inlineStr">
        <is>
          <t>Kad</t>
        </is>
      </c>
      <c r="C51" s="10" t="n">
        <v>10</v>
      </c>
      <c r="D51" s="10" t="n">
        <v>33</v>
      </c>
      <c r="E51" s="17" t="n">
        <v>365</v>
      </c>
      <c r="F51" s="21" t="n">
        <v>0.0361</v>
      </c>
      <c r="G51" s="10" t="n">
        <v>900</v>
      </c>
      <c r="H51" s="13" t="n">
        <v>0.02</v>
      </c>
      <c r="I51" s="18" t="n">
        <v>10950</v>
      </c>
      <c r="J51" s="20" t="n">
        <v>6</v>
      </c>
      <c r="K51" s="19">
        <f>(F51*G51*E51*J51)/(D51*I51)</f>
        <v/>
      </c>
      <c r="L51" s="2">
        <f>(F51*G51*E51*5)/(D51*I51)</f>
        <v/>
      </c>
      <c r="M51" s="2">
        <f>(F51*G51*E51*10)/(D51*I51)</f>
        <v/>
      </c>
      <c r="N51" s="2">
        <f>(F51*G51*E51*15)/(D51*I51)</f>
        <v/>
      </c>
      <c r="O51" s="2">
        <f>(F51*G51*E51*20)/(D51*I51)</f>
        <v/>
      </c>
      <c r="P51" s="2">
        <f>(F51*G51*E51*25)/(D51*I51)</f>
        <v/>
      </c>
      <c r="Q51" s="2">
        <f>(F51*G51*E51*30)/(D51*I51)</f>
        <v/>
      </c>
      <c r="R51" s="2">
        <f>K51/H51</f>
        <v/>
      </c>
      <c r="S51" s="2">
        <f>L51/H51</f>
        <v/>
      </c>
      <c r="T51" s="2">
        <f>M51/H51</f>
        <v/>
      </c>
      <c r="U51" s="2">
        <f>N51/H51</f>
        <v/>
      </c>
      <c r="V51" s="2">
        <f>O51/H51</f>
        <v/>
      </c>
      <c r="W51" s="2">
        <f>P51/H51</f>
        <v/>
      </c>
      <c r="X51" s="2">
        <f>Q51/H51</f>
        <v/>
      </c>
      <c r="Y51" s="5">
        <f>IF(R51&gt;1,"1","2")</f>
        <v/>
      </c>
      <c r="Z51" s="5">
        <f>IF(S51&gt;1,"1","2")</f>
        <v/>
      </c>
      <c r="AA51" s="5">
        <f>IF(T51&gt;1,"1","2")</f>
        <v/>
      </c>
      <c r="AB51" s="5">
        <f>IF(U51&gt;1,"1","2")</f>
        <v/>
      </c>
      <c r="AC51" s="5">
        <f>IF(V51&gt;1,"1","2")</f>
        <v/>
      </c>
      <c r="AD51" s="5">
        <f>IF(W51&gt;1,"1","2")</f>
        <v/>
      </c>
      <c r="AE51" s="5">
        <f>IF(X51&gt;1,"1","2")</f>
        <v/>
      </c>
      <c r="AF51" t="n">
        <v>-5.150259</v>
      </c>
      <c r="AG51" t="n">
        <v>119.42511</v>
      </c>
    </row>
    <row r="52" ht="14.4" customHeight="1">
      <c r="A52" s="14" t="n">
        <v>49</v>
      </c>
      <c r="B52" s="15" t="inlineStr">
        <is>
          <t>Kel</t>
        </is>
      </c>
      <c r="C52" s="10" t="n">
        <v>10</v>
      </c>
      <c r="D52" s="10" t="n">
        <v>29</v>
      </c>
      <c r="E52" s="17" t="n">
        <v>365</v>
      </c>
      <c r="F52" s="21" t="n">
        <v>0.0361</v>
      </c>
      <c r="G52" s="10" t="n">
        <v>1500</v>
      </c>
      <c r="H52" s="13" t="n">
        <v>0.02</v>
      </c>
      <c r="I52" s="18" t="n">
        <v>10950</v>
      </c>
      <c r="J52" s="20" t="n">
        <v>8</v>
      </c>
      <c r="K52" s="19">
        <f>(F52*G52*E52*J52)/(D52*I52)</f>
        <v/>
      </c>
      <c r="L52" s="2">
        <f>(F52*G52*E52*5)/(D52*I52)</f>
        <v/>
      </c>
      <c r="M52" s="2">
        <f>(F52*G52*E52*10)/(D52*I52)</f>
        <v/>
      </c>
      <c r="N52" s="2">
        <f>(F52*G52*E52*15)/(D52*I52)</f>
        <v/>
      </c>
      <c r="O52" s="2">
        <f>(F52*G52*E52*20)/(D52*I52)</f>
        <v/>
      </c>
      <c r="P52" s="2">
        <f>(F52*G52*E52*25)/(D52*I52)</f>
        <v/>
      </c>
      <c r="Q52" s="2">
        <f>(F52*G52*E52*30)/(D52*I52)</f>
        <v/>
      </c>
      <c r="R52" s="2">
        <f>K52/H52</f>
        <v/>
      </c>
      <c r="S52" s="2">
        <f>L52/H52</f>
        <v/>
      </c>
      <c r="T52" s="2">
        <f>M52/H52</f>
        <v/>
      </c>
      <c r="U52" s="2">
        <f>N52/H52</f>
        <v/>
      </c>
      <c r="V52" s="2">
        <f>O52/H52</f>
        <v/>
      </c>
      <c r="W52" s="2">
        <f>P52/H52</f>
        <v/>
      </c>
      <c r="X52" s="2">
        <f>Q52/H52</f>
        <v/>
      </c>
      <c r="Y52" s="5">
        <f>IF(R52&gt;1,"1","2")</f>
        <v/>
      </c>
      <c r="Z52" s="5">
        <f>IF(S52&gt;1,"1","2")</f>
        <v/>
      </c>
      <c r="AA52" s="5">
        <f>IF(T52&gt;1,"1","2")</f>
        <v/>
      </c>
      <c r="AB52" s="5">
        <f>IF(U52&gt;1,"1","2")</f>
        <v/>
      </c>
      <c r="AC52" s="5">
        <f>IF(V52&gt;1,"1","2")</f>
        <v/>
      </c>
      <c r="AD52" s="5">
        <f>IF(W52&gt;1,"1","2")</f>
        <v/>
      </c>
      <c r="AE52" s="5">
        <f>IF(X52&gt;1,"1","2")</f>
        <v/>
      </c>
      <c r="AF52" t="n">
        <v>-5.120866</v>
      </c>
      <c r="AG52" t="n">
        <v>119.402726</v>
      </c>
    </row>
    <row r="53" ht="14.4" customHeight="1">
      <c r="A53" s="14" t="n">
        <v>50</v>
      </c>
      <c r="B53" s="15" t="inlineStr">
        <is>
          <t>Waa</t>
        </is>
      </c>
      <c r="C53" s="10" t="n">
        <v>10</v>
      </c>
      <c r="D53" s="10" t="n">
        <v>39</v>
      </c>
      <c r="E53" s="17" t="n">
        <v>365</v>
      </c>
      <c r="F53" s="21" t="n">
        <v>0.0346</v>
      </c>
      <c r="G53" s="10" t="n">
        <v>900</v>
      </c>
      <c r="H53" s="13" t="n">
        <v>0.02</v>
      </c>
      <c r="I53" s="18" t="n">
        <v>10950</v>
      </c>
      <c r="J53" s="20" t="n">
        <v>8</v>
      </c>
      <c r="K53" s="19">
        <f>(F53*G53*E53*J53)/(D53*I53)</f>
        <v/>
      </c>
      <c r="L53" s="2">
        <f>(F53*G53*E53*5)/(D53*I53)</f>
        <v/>
      </c>
      <c r="M53" s="2">
        <f>(F53*G53*E53*10)/(D53*I53)</f>
        <v/>
      </c>
      <c r="N53" s="2">
        <f>(F53*G53*E53*15)/(D53*I53)</f>
        <v/>
      </c>
      <c r="O53" s="2">
        <f>(F53*G53*E53*20)/(D53*I53)</f>
        <v/>
      </c>
      <c r="P53" s="2">
        <f>(F53*G53*E53*25)/(D53*I53)</f>
        <v/>
      </c>
      <c r="Q53" s="2">
        <f>(F53*G53*E53*30)/(D53*I53)</f>
        <v/>
      </c>
      <c r="R53" s="2">
        <f>K53/H53</f>
        <v/>
      </c>
      <c r="S53" s="2">
        <f>L53/H53</f>
        <v/>
      </c>
      <c r="T53" s="2">
        <f>M53/H53</f>
        <v/>
      </c>
      <c r="U53" s="2">
        <f>N53/H53</f>
        <v/>
      </c>
      <c r="V53" s="2">
        <f>O53/H53</f>
        <v/>
      </c>
      <c r="W53" s="2">
        <f>P53/H53</f>
        <v/>
      </c>
      <c r="X53" s="2">
        <f>Q53/H53</f>
        <v/>
      </c>
      <c r="Y53" s="5">
        <f>IF(R53&gt;1,"1","2")</f>
        <v/>
      </c>
      <c r="Z53" s="5">
        <f>IF(S53&gt;1,"1","2")</f>
        <v/>
      </c>
      <c r="AA53" s="5">
        <f>IF(T53&gt;1,"1","2")</f>
        <v/>
      </c>
      <c r="AB53" s="5">
        <f>IF(U53&gt;1,"1","2")</f>
        <v/>
      </c>
      <c r="AC53" s="5">
        <f>IF(V53&gt;1,"1","2")</f>
        <v/>
      </c>
      <c r="AD53" s="5">
        <f>IF(W53&gt;1,"1","2")</f>
        <v/>
      </c>
      <c r="AE53" s="5">
        <f>IF(X53&gt;1,"1","2")</f>
        <v/>
      </c>
      <c r="AF53" t="n">
        <v>-5.135314</v>
      </c>
      <c r="AG53" t="n">
        <v>119.444507</v>
      </c>
    </row>
    <row r="54" ht="14.4" customHeight="1">
      <c r="A54" s="14" t="n">
        <v>51</v>
      </c>
      <c r="B54" s="15" t="inlineStr">
        <is>
          <t>Mai</t>
        </is>
      </c>
      <c r="C54" s="10" t="n">
        <v>10</v>
      </c>
      <c r="D54" s="10" t="n">
        <v>25</v>
      </c>
      <c r="E54" s="17" t="n">
        <v>365</v>
      </c>
      <c r="F54" s="21" t="n">
        <v>0.0331</v>
      </c>
      <c r="G54" s="10" t="n">
        <v>900</v>
      </c>
      <c r="H54" s="13" t="n">
        <v>0.02</v>
      </c>
      <c r="I54" s="18" t="n">
        <v>10950</v>
      </c>
      <c r="J54" s="20" t="n">
        <v>10</v>
      </c>
      <c r="K54" s="19">
        <f>(F54*G54*E54*J54)/(D54*I54)</f>
        <v/>
      </c>
      <c r="L54" s="2">
        <f>(F54*G54*E54*5)/(D54*I54)</f>
        <v/>
      </c>
      <c r="M54" s="2">
        <f>(F54*G54*E54*10)/(D54*I54)</f>
        <v/>
      </c>
      <c r="N54" s="2">
        <f>(F54*G54*E54*15)/(D54*I54)</f>
        <v/>
      </c>
      <c r="O54" s="2">
        <f>(F54*G54*E54*20)/(D54*I54)</f>
        <v/>
      </c>
      <c r="P54" s="2">
        <f>(F54*G54*E54*25)/(D54*I54)</f>
        <v/>
      </c>
      <c r="Q54" s="2">
        <f>(F54*G54*E54*30)/(D54*I54)</f>
        <v/>
      </c>
      <c r="R54" s="2">
        <f>K54/H54</f>
        <v/>
      </c>
      <c r="S54" s="2">
        <f>L54/H54</f>
        <v/>
      </c>
      <c r="T54" s="2">
        <f>M54/H54</f>
        <v/>
      </c>
      <c r="U54" s="2">
        <f>N54/H54</f>
        <v/>
      </c>
      <c r="V54" s="2">
        <f>O54/H54</f>
        <v/>
      </c>
      <c r="W54" s="2">
        <f>P54/H54</f>
        <v/>
      </c>
      <c r="X54" s="2">
        <f>Q54/H54</f>
        <v/>
      </c>
      <c r="Y54" s="5">
        <f>IF(R54&gt;1,"1","2")</f>
        <v/>
      </c>
      <c r="Z54" s="5">
        <f>IF(S54&gt;1,"1","2")</f>
        <v/>
      </c>
      <c r="AA54" s="5">
        <f>IF(T54&gt;1,"1","2")</f>
        <v/>
      </c>
      <c r="AB54" s="5">
        <f>IF(U54&gt;1,"1","2")</f>
        <v/>
      </c>
      <c r="AC54" s="5">
        <f>IF(V54&gt;1,"1","2")</f>
        <v/>
      </c>
      <c r="AD54" s="5">
        <f>IF(W54&gt;1,"1","2")</f>
        <v/>
      </c>
      <c r="AE54" s="5">
        <f>IF(X54&gt;1,"1","2")</f>
        <v/>
      </c>
      <c r="AF54" t="n">
        <v>-5.123454</v>
      </c>
      <c r="AG54" t="n">
        <v>119.406874</v>
      </c>
    </row>
    <row r="55" ht="14.4" customHeight="1">
      <c r="A55" s="14" t="n">
        <v>52</v>
      </c>
      <c r="B55" s="15" t="inlineStr">
        <is>
          <t>Mkl</t>
        </is>
      </c>
      <c r="C55" s="10" t="n">
        <v>10</v>
      </c>
      <c r="D55" s="10" t="n">
        <v>25</v>
      </c>
      <c r="E55" s="17" t="n">
        <v>365</v>
      </c>
      <c r="F55" s="21" t="n">
        <v>0.0331</v>
      </c>
      <c r="G55" s="10" t="n">
        <v>900</v>
      </c>
      <c r="H55" s="13" t="n">
        <v>0.02</v>
      </c>
      <c r="I55" s="18" t="n">
        <v>10950</v>
      </c>
      <c r="J55" s="20" t="n">
        <v>10</v>
      </c>
      <c r="K55" s="19">
        <f>(F55*G55*E55*J55)/(D55*I55)</f>
        <v/>
      </c>
      <c r="L55" s="2">
        <f>(F55*G55*E55*5)/(D55*I55)</f>
        <v/>
      </c>
      <c r="M55" s="2">
        <f>(F55*G55*E55*10)/(D55*I55)</f>
        <v/>
      </c>
      <c r="N55" s="2">
        <f>(F55*G55*E55*15)/(D55*I55)</f>
        <v/>
      </c>
      <c r="O55" s="2">
        <f>(F55*G55*E55*20)/(D55*I55)</f>
        <v/>
      </c>
      <c r="P55" s="2">
        <f>(F55*G55*E55*25)/(D55*I55)</f>
        <v/>
      </c>
      <c r="Q55" s="2">
        <f>(F55*G55*E55*30)/(D55*I55)</f>
        <v/>
      </c>
      <c r="R55" s="2">
        <f>K55/H55</f>
        <v/>
      </c>
      <c r="S55" s="2">
        <f>L55/H55</f>
        <v/>
      </c>
      <c r="T55" s="2">
        <f>M55/H55</f>
        <v/>
      </c>
      <c r="U55" s="2">
        <f>N55/H55</f>
        <v/>
      </c>
      <c r="V55" s="2">
        <f>O55/H55</f>
        <v/>
      </c>
      <c r="W55" s="2">
        <f>P55/H55</f>
        <v/>
      </c>
      <c r="X55" s="2">
        <f>Q55/H55</f>
        <v/>
      </c>
      <c r="Y55" s="5">
        <f>IF(R55&gt;1,"1","2")</f>
        <v/>
      </c>
      <c r="Z55" s="5">
        <f>IF(S55&gt;1,"1","2")</f>
        <v/>
      </c>
      <c r="AA55" s="5">
        <f>IF(T55&gt;1,"1","2")</f>
        <v/>
      </c>
      <c r="AB55" s="5">
        <f>IF(U55&gt;1,"1","2")</f>
        <v/>
      </c>
      <c r="AC55" s="5">
        <f>IF(V55&gt;1,"1","2")</f>
        <v/>
      </c>
      <c r="AD55" s="5">
        <f>IF(W55&gt;1,"1","2")</f>
        <v/>
      </c>
      <c r="AE55" s="5">
        <f>IF(X55&gt;1,"1","2")</f>
        <v/>
      </c>
      <c r="AF55" t="n">
        <v>-5.156386</v>
      </c>
      <c r="AG55" t="n">
        <v>119.447532</v>
      </c>
    </row>
    <row r="56" ht="14.4" customHeight="1">
      <c r="A56" s="14" t="n">
        <v>53</v>
      </c>
      <c r="B56" s="15" t="inlineStr">
        <is>
          <t>Ewi</t>
        </is>
      </c>
      <c r="C56" s="10" t="n">
        <v>10</v>
      </c>
      <c r="D56" s="10" t="n">
        <v>33</v>
      </c>
      <c r="E56" s="17" t="n">
        <v>365</v>
      </c>
      <c r="F56" s="21" t="n">
        <v>0.0331</v>
      </c>
      <c r="G56" s="10" t="n">
        <v>900</v>
      </c>
      <c r="H56" s="13" t="n">
        <v>0.02</v>
      </c>
      <c r="I56" s="18" t="n">
        <v>10950</v>
      </c>
      <c r="J56" s="20" t="n">
        <v>10</v>
      </c>
      <c r="K56" s="19">
        <f>(F56*G56*E56*J56)/(D56*I56)</f>
        <v/>
      </c>
      <c r="L56" s="2">
        <f>(F56*G56*E56*5)/(D56*I56)</f>
        <v/>
      </c>
      <c r="M56" s="2">
        <f>(F56*G56*E56*10)/(D56*I56)</f>
        <v/>
      </c>
      <c r="N56" s="2">
        <f>(F56*G56*E56*15)/(D56*I56)</f>
        <v/>
      </c>
      <c r="O56" s="2">
        <f>(F56*G56*E56*20)/(D56*I56)</f>
        <v/>
      </c>
      <c r="P56" s="2">
        <f>(F56*G56*E56*25)/(D56*I56)</f>
        <v/>
      </c>
      <c r="Q56" s="2">
        <f>(F56*G56*E56*30)/(D56*I56)</f>
        <v/>
      </c>
      <c r="R56" s="2">
        <f>K56/H56</f>
        <v/>
      </c>
      <c r="S56" s="2">
        <f>L56/H56</f>
        <v/>
      </c>
      <c r="T56" s="2">
        <f>M56/H56</f>
        <v/>
      </c>
      <c r="U56" s="2">
        <f>N56/H56</f>
        <v/>
      </c>
      <c r="V56" s="2">
        <f>O56/H56</f>
        <v/>
      </c>
      <c r="W56" s="2">
        <f>P56/H56</f>
        <v/>
      </c>
      <c r="X56" s="2">
        <f>Q56/H56</f>
        <v/>
      </c>
      <c r="Y56" s="5">
        <f>IF(R56&gt;1,"1","2")</f>
        <v/>
      </c>
      <c r="Z56" s="5">
        <f>IF(S56&gt;1,"1","2")</f>
        <v/>
      </c>
      <c r="AA56" s="5">
        <f>IF(T56&gt;1,"1","2")</f>
        <v/>
      </c>
      <c r="AB56" s="5">
        <f>IF(U56&gt;1,"1","2")</f>
        <v/>
      </c>
      <c r="AC56" s="5">
        <f>IF(V56&gt;1,"1","2")</f>
        <v/>
      </c>
      <c r="AD56" s="5">
        <f>IF(W56&gt;1,"1","2")</f>
        <v/>
      </c>
      <c r="AE56" s="5">
        <f>IF(X56&gt;1,"1","2")</f>
        <v/>
      </c>
      <c r="AF56" t="n">
        <v>-5.121363</v>
      </c>
      <c r="AG56" t="n">
        <v>119.427988</v>
      </c>
    </row>
    <row r="57" ht="14.4" customHeight="1">
      <c r="A57" s="14" t="n">
        <v>54</v>
      </c>
      <c r="B57" s="15" t="inlineStr">
        <is>
          <t>Ruh</t>
        </is>
      </c>
      <c r="C57" s="10" t="n">
        <v>10</v>
      </c>
      <c r="D57" s="10" t="n">
        <v>25</v>
      </c>
      <c r="E57" s="17" t="n">
        <v>365</v>
      </c>
      <c r="F57" s="21" t="n">
        <v>0.0521</v>
      </c>
      <c r="G57" s="10" t="n">
        <v>900</v>
      </c>
      <c r="H57" s="13" t="n">
        <v>0.02</v>
      </c>
      <c r="I57" s="18" t="n">
        <v>10950</v>
      </c>
      <c r="J57" s="20" t="n">
        <v>10</v>
      </c>
      <c r="K57" s="19">
        <f>(F57*G57*E57*J57)/(D57*I57)</f>
        <v/>
      </c>
      <c r="L57" s="2">
        <f>(F57*G57*E57*5)/(D57*I57)</f>
        <v/>
      </c>
      <c r="M57" s="2">
        <f>(F57*G57*E57*10)/(D57*I57)</f>
        <v/>
      </c>
      <c r="N57" s="2">
        <f>(F57*G57*E57*15)/(D57*I57)</f>
        <v/>
      </c>
      <c r="O57" s="2">
        <f>(F57*G57*E57*20)/(D57*I57)</f>
        <v/>
      </c>
      <c r="P57" s="2">
        <f>(F57*G57*E57*25)/(D57*I57)</f>
        <v/>
      </c>
      <c r="Q57" s="2">
        <f>(F57*G57*E57*30)/(D57*I57)</f>
        <v/>
      </c>
      <c r="R57" s="2">
        <f>K57/H57</f>
        <v/>
      </c>
      <c r="S57" s="2">
        <f>L57/H57</f>
        <v/>
      </c>
      <c r="T57" s="2">
        <f>M57/H57</f>
        <v/>
      </c>
      <c r="U57" s="2">
        <f>N57/H57</f>
        <v/>
      </c>
      <c r="V57" s="2">
        <f>O57/H57</f>
        <v/>
      </c>
      <c r="W57" s="2">
        <f>P57/H57</f>
        <v/>
      </c>
      <c r="X57" s="2">
        <f>Q57/H57</f>
        <v/>
      </c>
      <c r="Y57" s="5">
        <f>IF(R57&gt;1,"1","2")</f>
        <v/>
      </c>
      <c r="Z57" s="5">
        <f>IF(S57&gt;1,"1","2")</f>
        <v/>
      </c>
      <c r="AA57" s="5">
        <f>IF(T57&gt;1,"1","2")</f>
        <v/>
      </c>
      <c r="AB57" s="5">
        <f>IF(U57&gt;1,"1","2")</f>
        <v/>
      </c>
      <c r="AC57" s="5">
        <f>IF(V57&gt;1,"1","2")</f>
        <v/>
      </c>
      <c r="AD57" s="5">
        <f>IF(W57&gt;1,"1","2")</f>
        <v/>
      </c>
      <c r="AE57" s="5">
        <f>IF(X57&gt;1,"1","2")</f>
        <v/>
      </c>
      <c r="AF57" t="n">
        <v>-5.158297</v>
      </c>
      <c r="AG57" t="n">
        <v>119.429484</v>
      </c>
    </row>
    <row r="58" ht="14.4" customHeight="1">
      <c r="A58" s="14" t="n">
        <v>55</v>
      </c>
      <c r="B58" s="15" t="inlineStr">
        <is>
          <t>Ani</t>
        </is>
      </c>
      <c r="C58" s="10" t="n">
        <v>10</v>
      </c>
      <c r="D58" s="10" t="n">
        <v>25</v>
      </c>
      <c r="E58" s="17" t="n">
        <v>365</v>
      </c>
      <c r="F58" s="21" t="n">
        <v>0.0521</v>
      </c>
      <c r="G58" s="10" t="n">
        <v>1500</v>
      </c>
      <c r="H58" s="13" t="n">
        <v>0.02</v>
      </c>
      <c r="I58" s="18" t="n">
        <v>10950</v>
      </c>
      <c r="J58" s="20" t="n">
        <v>6</v>
      </c>
      <c r="K58" s="19">
        <f>(F58*G58*E58*J58)/(D58*I58)</f>
        <v/>
      </c>
      <c r="L58" s="2">
        <f>(F58*G58*E58*5)/(D58*I58)</f>
        <v/>
      </c>
      <c r="M58" s="2">
        <f>(F58*G58*E58*10)/(D58*I58)</f>
        <v/>
      </c>
      <c r="N58" s="2">
        <f>(F58*G58*E58*15)/(D58*I58)</f>
        <v/>
      </c>
      <c r="O58" s="2">
        <f>(F58*G58*E58*20)/(D58*I58)</f>
        <v/>
      </c>
      <c r="P58" s="2">
        <f>(F58*G58*E58*25)/(D58*I58)</f>
        <v/>
      </c>
      <c r="Q58" s="2">
        <f>(F58*G58*E58*30)/(D58*I58)</f>
        <v/>
      </c>
      <c r="R58" s="2">
        <f>K58/H58</f>
        <v/>
      </c>
      <c r="S58" s="2">
        <f>L58/H58</f>
        <v/>
      </c>
      <c r="T58" s="2">
        <f>M58/H58</f>
        <v/>
      </c>
      <c r="U58" s="2">
        <f>N58/H58</f>
        <v/>
      </c>
      <c r="V58" s="2">
        <f>O58/H58</f>
        <v/>
      </c>
      <c r="W58" s="2">
        <f>P58/H58</f>
        <v/>
      </c>
      <c r="X58" s="2">
        <f>Q58/H58</f>
        <v/>
      </c>
      <c r="Y58" s="5">
        <f>IF(R58&gt;1,"1","2")</f>
        <v/>
      </c>
      <c r="Z58" s="5">
        <f>IF(S58&gt;1,"1","2")</f>
        <v/>
      </c>
      <c r="AA58" s="5">
        <f>IF(T58&gt;1,"1","2")</f>
        <v/>
      </c>
      <c r="AB58" s="5">
        <f>IF(U58&gt;1,"1","2")</f>
        <v/>
      </c>
      <c r="AC58" s="5">
        <f>IF(V58&gt;1,"1","2")</f>
        <v/>
      </c>
      <c r="AD58" s="5">
        <f>IF(W58&gt;1,"1","2")</f>
        <v/>
      </c>
      <c r="AE58" s="5">
        <f>IF(X58&gt;1,"1","2")</f>
        <v/>
      </c>
      <c r="AF58" t="n">
        <v>-5.13677</v>
      </c>
      <c r="AG58" t="n">
        <v>119.410286</v>
      </c>
    </row>
    <row r="59" ht="14.4" customHeight="1">
      <c r="A59" s="14" t="n">
        <v>56</v>
      </c>
      <c r="B59" s="15" t="inlineStr">
        <is>
          <t>Afd</t>
        </is>
      </c>
      <c r="C59" s="10" t="n">
        <v>10</v>
      </c>
      <c r="D59" s="10" t="n">
        <v>49</v>
      </c>
      <c r="E59" s="17" t="n">
        <v>365</v>
      </c>
      <c r="F59" s="21" t="n">
        <v>0.0521</v>
      </c>
      <c r="G59" s="10" t="n">
        <v>2100</v>
      </c>
      <c r="H59" s="13" t="n">
        <v>0.02</v>
      </c>
      <c r="I59" s="18" t="n">
        <v>10950</v>
      </c>
      <c r="J59" s="20" t="n">
        <v>2</v>
      </c>
      <c r="K59" s="19">
        <f>(F59*G59*E59*J59)/(D59*I59)</f>
        <v/>
      </c>
      <c r="L59" s="2">
        <f>(F59*G59*E59*5)/(D59*I59)</f>
        <v/>
      </c>
      <c r="M59" s="2">
        <f>(F59*G59*E59*10)/(D59*I59)</f>
        <v/>
      </c>
      <c r="N59" s="2">
        <f>(F59*G59*E59*15)/(D59*I59)</f>
        <v/>
      </c>
      <c r="O59" s="2">
        <f>(F59*G59*E59*20)/(D59*I59)</f>
        <v/>
      </c>
      <c r="P59" s="2">
        <f>(F59*G59*E59*25)/(D59*I59)</f>
        <v/>
      </c>
      <c r="Q59" s="2">
        <f>(F59*G59*E59*30)/(D59*I59)</f>
        <v/>
      </c>
      <c r="R59" s="2">
        <f>K59/H59</f>
        <v/>
      </c>
      <c r="S59" s="2">
        <f>L59/H59</f>
        <v/>
      </c>
      <c r="T59" s="2">
        <f>M59/H59</f>
        <v/>
      </c>
      <c r="U59" s="2">
        <f>N59/H59</f>
        <v/>
      </c>
      <c r="V59" s="2">
        <f>O59/H59</f>
        <v/>
      </c>
      <c r="W59" s="2">
        <f>P59/H59</f>
        <v/>
      </c>
      <c r="X59" s="2">
        <f>Q59/H59</f>
        <v/>
      </c>
      <c r="Y59" s="5">
        <f>IF(R59&gt;1,"1","2")</f>
        <v/>
      </c>
      <c r="Z59" s="5">
        <f>IF(S59&gt;1,"1","2")</f>
        <v/>
      </c>
      <c r="AA59" s="5">
        <f>IF(T59&gt;1,"1","2")</f>
        <v/>
      </c>
      <c r="AB59" s="5">
        <f>IF(U59&gt;1,"1","2")</f>
        <v/>
      </c>
      <c r="AC59" s="5">
        <f>IF(V59&gt;1,"1","2")</f>
        <v/>
      </c>
      <c r="AD59" s="5">
        <f>IF(W59&gt;1,"1","2")</f>
        <v/>
      </c>
      <c r="AE59" s="5">
        <f>IF(X59&gt;1,"1","2")</f>
        <v/>
      </c>
      <c r="AF59" t="n">
        <v>-5.151033</v>
      </c>
      <c r="AG59" t="n">
        <v>119.446632</v>
      </c>
    </row>
    <row r="60" ht="14.4" customHeight="1">
      <c r="A60" s="14" t="n">
        <v>57</v>
      </c>
      <c r="B60" s="15" t="inlineStr">
        <is>
          <t>Iwg</t>
        </is>
      </c>
      <c r="C60" s="10" t="n">
        <v>10</v>
      </c>
      <c r="D60" s="10" t="n">
        <v>25</v>
      </c>
      <c r="E60" s="17" t="n">
        <v>365</v>
      </c>
      <c r="F60" s="21" t="n">
        <v>0.0499</v>
      </c>
      <c r="G60" s="10" t="n">
        <v>900</v>
      </c>
      <c r="H60" s="13" t="n">
        <v>0.02</v>
      </c>
      <c r="I60" s="18" t="n">
        <v>10950</v>
      </c>
      <c r="J60" s="20" t="n">
        <v>10</v>
      </c>
      <c r="K60" s="19">
        <f>(F60*G60*E60*J60)/(D60*I60)</f>
        <v/>
      </c>
      <c r="L60" s="2">
        <f>(F60*G60*E60*5)/(D60*I60)</f>
        <v/>
      </c>
      <c r="M60" s="2">
        <f>(F60*G60*E60*10)/(D60*I60)</f>
        <v/>
      </c>
      <c r="N60" s="2">
        <f>(F60*G60*E60*15)/(D60*I60)</f>
        <v/>
      </c>
      <c r="O60" s="2">
        <f>(F60*G60*E60*20)/(D60*I60)</f>
        <v/>
      </c>
      <c r="P60" s="2">
        <f>(F60*G60*E60*25)/(D60*I60)</f>
        <v/>
      </c>
      <c r="Q60" s="2">
        <f>(F60*G60*E60*30)/(D60*I60)</f>
        <v/>
      </c>
      <c r="R60" s="2">
        <f>K60/H60</f>
        <v/>
      </c>
      <c r="S60" s="2">
        <f>L60/H60</f>
        <v/>
      </c>
      <c r="T60" s="2">
        <f>M60/H60</f>
        <v/>
      </c>
      <c r="U60" s="2">
        <f>N60/H60</f>
        <v/>
      </c>
      <c r="V60" s="2">
        <f>O60/H60</f>
        <v/>
      </c>
      <c r="W60" s="2">
        <f>P60/H60</f>
        <v/>
      </c>
      <c r="X60" s="2">
        <f>Q60/H60</f>
        <v/>
      </c>
      <c r="Y60" s="5">
        <f>IF(R60&gt;1,"1","2")</f>
        <v/>
      </c>
      <c r="Z60" s="5">
        <f>IF(S60&gt;1,"1","2")</f>
        <v/>
      </c>
      <c r="AA60" s="5">
        <f>IF(T60&gt;1,"1","2")</f>
        <v/>
      </c>
      <c r="AB60" s="5">
        <f>IF(U60&gt;1,"1","2")</f>
        <v/>
      </c>
      <c r="AC60" s="5">
        <f>IF(V60&gt;1,"1","2")</f>
        <v/>
      </c>
      <c r="AD60" s="5">
        <f>IF(W60&gt;1,"1","2")</f>
        <v/>
      </c>
      <c r="AE60" s="5">
        <f>IF(X60&gt;1,"1","2")</f>
        <v/>
      </c>
      <c r="AF60" t="n">
        <v>-5.147688</v>
      </c>
      <c r="AG60" t="n">
        <v>119.428898</v>
      </c>
    </row>
    <row r="61" ht="14.4" customHeight="1">
      <c r="A61" s="14" t="n">
        <v>58</v>
      </c>
      <c r="B61" s="15" t="inlineStr">
        <is>
          <t>Feb</t>
        </is>
      </c>
      <c r="C61" s="10" t="n">
        <v>10</v>
      </c>
      <c r="D61" s="10" t="n">
        <v>27</v>
      </c>
      <c r="E61" s="17" t="n">
        <v>365</v>
      </c>
      <c r="F61" s="21" t="n">
        <v>0.0499</v>
      </c>
      <c r="G61" s="10" t="n">
        <v>900</v>
      </c>
      <c r="H61" s="13" t="n">
        <v>0.02</v>
      </c>
      <c r="I61" s="18" t="n">
        <v>10950</v>
      </c>
      <c r="J61" s="20" t="n">
        <v>10</v>
      </c>
      <c r="K61" s="19">
        <f>(F61*G61*E61*J61)/(D61*I61)</f>
        <v/>
      </c>
      <c r="L61" s="2">
        <f>(F61*G61*E61*5)/(D61*I61)</f>
        <v/>
      </c>
      <c r="M61" s="2">
        <f>(F61*G61*E61*10)/(D61*I61)</f>
        <v/>
      </c>
      <c r="N61" s="2">
        <f>(F61*G61*E61*15)/(D61*I61)</f>
        <v/>
      </c>
      <c r="O61" s="2">
        <f>(F61*G61*E61*20)/(D61*I61)</f>
        <v/>
      </c>
      <c r="P61" s="2">
        <f>(F61*G61*E61*25)/(D61*I61)</f>
        <v/>
      </c>
      <c r="Q61" s="2">
        <f>(F61*G61*E61*30)/(D61*I61)</f>
        <v/>
      </c>
      <c r="R61" s="2">
        <f>K61/H61</f>
        <v/>
      </c>
      <c r="S61" s="2">
        <f>L61/H61</f>
        <v/>
      </c>
      <c r="T61" s="2">
        <f>M61/H61</f>
        <v/>
      </c>
      <c r="U61" s="2">
        <f>N61/H61</f>
        <v/>
      </c>
      <c r="V61" s="2">
        <f>O61/H61</f>
        <v/>
      </c>
      <c r="W61" s="2">
        <f>P61/H61</f>
        <v/>
      </c>
      <c r="X61" s="2">
        <f>Q61/H61</f>
        <v/>
      </c>
      <c r="Y61" s="5">
        <f>IF(R61&gt;1,"1","2")</f>
        <v/>
      </c>
      <c r="Z61" s="5">
        <f>IF(S61&gt;1,"1","2")</f>
        <v/>
      </c>
      <c r="AA61" s="5">
        <f>IF(T61&gt;1,"1","2")</f>
        <v/>
      </c>
      <c r="AB61" s="5">
        <f>IF(U61&gt;1,"1","2")</f>
        <v/>
      </c>
      <c r="AC61" s="5">
        <f>IF(V61&gt;1,"1","2")</f>
        <v/>
      </c>
      <c r="AD61" s="5">
        <f>IF(W61&gt;1,"1","2")</f>
        <v/>
      </c>
      <c r="AE61" s="5">
        <f>IF(X61&gt;1,"1","2")</f>
        <v/>
      </c>
      <c r="AF61" t="n">
        <v>-5.140221</v>
      </c>
      <c r="AG61" t="n">
        <v>119.427835</v>
      </c>
    </row>
    <row r="62" ht="14.4" customHeight="1">
      <c r="A62" s="14" t="n">
        <v>59</v>
      </c>
      <c r="B62" s="15" t="inlineStr">
        <is>
          <t>Ula</t>
        </is>
      </c>
      <c r="C62" s="10" t="n">
        <v>10</v>
      </c>
      <c r="D62" s="10" t="n">
        <v>25</v>
      </c>
      <c r="E62" s="17" t="n">
        <v>365</v>
      </c>
      <c r="F62" s="21" t="n">
        <v>0.0391</v>
      </c>
      <c r="G62" s="10" t="n">
        <v>900</v>
      </c>
      <c r="H62" s="13" t="n">
        <v>0.02</v>
      </c>
      <c r="I62" s="18" t="n">
        <v>10950</v>
      </c>
      <c r="J62" s="20" t="n">
        <v>10</v>
      </c>
      <c r="K62" s="19">
        <f>(F62*G62*E62*J62)/(D62*I62)</f>
        <v/>
      </c>
      <c r="L62" s="2">
        <f>(F62*G62*E62*5)/(D62*I62)</f>
        <v/>
      </c>
      <c r="M62" s="2">
        <f>(F62*G62*E62*10)/(D62*I62)</f>
        <v/>
      </c>
      <c r="N62" s="2">
        <f>(F62*G62*E62*15)/(D62*I62)</f>
        <v/>
      </c>
      <c r="O62" s="2">
        <f>(F62*G62*E62*20)/(D62*I62)</f>
        <v/>
      </c>
      <c r="P62" s="2">
        <f>(F62*G62*E62*25)/(D62*I62)</f>
        <v/>
      </c>
      <c r="Q62" s="2">
        <f>(F62*G62*E62*30)/(D62*I62)</f>
        <v/>
      </c>
      <c r="R62" s="2">
        <f>K62/H62</f>
        <v/>
      </c>
      <c r="S62" s="2">
        <f>L62/H62</f>
        <v/>
      </c>
      <c r="T62" s="2">
        <f>M62/H62</f>
        <v/>
      </c>
      <c r="U62" s="2">
        <f>N62/H62</f>
        <v/>
      </c>
      <c r="V62" s="2">
        <f>O62/H62</f>
        <v/>
      </c>
      <c r="W62" s="2">
        <f>P62/H62</f>
        <v/>
      </c>
      <c r="X62" s="2">
        <f>Q62/H62</f>
        <v/>
      </c>
      <c r="Y62" s="5">
        <f>IF(R62&gt;1,"1","2")</f>
        <v/>
      </c>
      <c r="Z62" s="5">
        <f>IF(S62&gt;1,"1","2")</f>
        <v/>
      </c>
      <c r="AA62" s="5">
        <f>IF(T62&gt;1,"1","2")</f>
        <v/>
      </c>
      <c r="AB62" s="5">
        <f>IF(U62&gt;1,"1","2")</f>
        <v/>
      </c>
      <c r="AC62" s="5">
        <f>IF(V62&gt;1,"1","2")</f>
        <v/>
      </c>
      <c r="AD62" s="5">
        <f>IF(W62&gt;1,"1","2")</f>
        <v/>
      </c>
      <c r="AE62" s="5">
        <f>IF(X62&gt;1,"1","2")</f>
        <v/>
      </c>
      <c r="AF62" t="n">
        <v>-5.12288</v>
      </c>
      <c r="AG62" t="n">
        <v>119.408651</v>
      </c>
    </row>
    <row r="63" ht="14.4" customHeight="1">
      <c r="A63" s="14" t="n">
        <v>60</v>
      </c>
      <c r="B63" s="15" t="inlineStr">
        <is>
          <t>Msa</t>
        </is>
      </c>
      <c r="C63" s="10" t="n">
        <v>10</v>
      </c>
      <c r="D63" s="10" t="n">
        <v>25</v>
      </c>
      <c r="E63" s="17" t="n">
        <v>365</v>
      </c>
      <c r="F63" s="21" t="n">
        <v>0.0412</v>
      </c>
      <c r="G63" s="10" t="n">
        <v>900</v>
      </c>
      <c r="H63" s="13" t="n">
        <v>0.02</v>
      </c>
      <c r="I63" s="18" t="n">
        <v>10950</v>
      </c>
      <c r="J63" s="20" t="n">
        <v>10</v>
      </c>
      <c r="K63" s="19">
        <f>(F63*G63*E63*J63)/(D63*I63)</f>
        <v/>
      </c>
      <c r="L63" s="2">
        <f>(F63*G63*E63*5)/(D63*I63)</f>
        <v/>
      </c>
      <c r="M63" s="2">
        <f>(F63*G63*E63*10)/(D63*I63)</f>
        <v/>
      </c>
      <c r="N63" s="2">
        <f>(F63*G63*E63*15)/(D63*I63)</f>
        <v/>
      </c>
      <c r="O63" s="2">
        <f>(F63*G63*E63*20)/(D63*I63)</f>
        <v/>
      </c>
      <c r="P63" s="2">
        <f>(F63*G63*E63*25)/(D63*I63)</f>
        <v/>
      </c>
      <c r="Q63" s="2">
        <f>(F63*G63*E63*30)/(D63*I63)</f>
        <v/>
      </c>
      <c r="R63" s="2">
        <f>K63/H63</f>
        <v/>
      </c>
      <c r="S63" s="2">
        <f>L63/H63</f>
        <v/>
      </c>
      <c r="T63" s="2">
        <f>M63/H63</f>
        <v/>
      </c>
      <c r="U63" s="2">
        <f>N63/H63</f>
        <v/>
      </c>
      <c r="V63" s="2">
        <f>O63/H63</f>
        <v/>
      </c>
      <c r="W63" s="2">
        <f>P63/H63</f>
        <v/>
      </c>
      <c r="X63" s="2">
        <f>Q63/H63</f>
        <v/>
      </c>
      <c r="Y63" s="5">
        <f>IF(R63&gt;1,"1","2")</f>
        <v/>
      </c>
      <c r="Z63" s="5">
        <f>IF(S63&gt;1,"1","2")</f>
        <v/>
      </c>
      <c r="AA63" s="5">
        <f>IF(T63&gt;1,"1","2")</f>
        <v/>
      </c>
      <c r="AB63" s="5">
        <f>IF(U63&gt;1,"1","2")</f>
        <v/>
      </c>
      <c r="AC63" s="5">
        <f>IF(V63&gt;1,"1","2")</f>
        <v/>
      </c>
      <c r="AD63" s="5">
        <f>IF(W63&gt;1,"1","2")</f>
        <v/>
      </c>
      <c r="AE63" s="5">
        <f>IF(X63&gt;1,"1","2")</f>
        <v/>
      </c>
      <c r="AF63" t="n">
        <v>-5.142194</v>
      </c>
      <c r="AG63" t="n">
        <v>119.414704</v>
      </c>
    </row>
    <row r="64" ht="14.4" customHeight="1">
      <c r="A64" s="14" t="n">
        <v>61</v>
      </c>
      <c r="B64" s="15" t="inlineStr">
        <is>
          <t>Lan</t>
        </is>
      </c>
      <c r="C64" s="10" t="n">
        <v>10</v>
      </c>
      <c r="D64" s="10" t="n">
        <v>30</v>
      </c>
      <c r="E64" s="17" t="n">
        <v>365</v>
      </c>
      <c r="F64" s="21" t="n">
        <v>0.0412</v>
      </c>
      <c r="G64" s="10" t="n">
        <v>900</v>
      </c>
      <c r="H64" s="13" t="n">
        <v>0.02</v>
      </c>
      <c r="I64" s="18" t="n">
        <v>10950</v>
      </c>
      <c r="J64" s="20" t="n">
        <v>10</v>
      </c>
      <c r="K64" s="19">
        <f>(F64*G64*E64*J64)/(D64*I64)</f>
        <v/>
      </c>
      <c r="L64" s="2">
        <f>(F64*G64*E64*5)/(D64*I64)</f>
        <v/>
      </c>
      <c r="M64" s="2">
        <f>(F64*G64*E64*10)/(D64*I64)</f>
        <v/>
      </c>
      <c r="N64" s="2">
        <f>(F64*G64*E64*15)/(D64*I64)</f>
        <v/>
      </c>
      <c r="O64" s="2">
        <f>(F64*G64*E64*20)/(D64*I64)</f>
        <v/>
      </c>
      <c r="P64" s="2">
        <f>(F64*G64*E64*25)/(D64*I64)</f>
        <v/>
      </c>
      <c r="Q64" s="2">
        <f>(F64*G64*E64*30)/(D64*I64)</f>
        <v/>
      </c>
      <c r="R64" s="2">
        <f>K64/H64</f>
        <v/>
      </c>
      <c r="S64" s="2">
        <f>L64/H64</f>
        <v/>
      </c>
      <c r="T64" s="2">
        <f>M64/H64</f>
        <v/>
      </c>
      <c r="U64" s="2">
        <f>N64/H64</f>
        <v/>
      </c>
      <c r="V64" s="2">
        <f>O64/H64</f>
        <v/>
      </c>
      <c r="W64" s="2">
        <f>P64/H64</f>
        <v/>
      </c>
      <c r="X64" s="2">
        <f>Q64/H64</f>
        <v/>
      </c>
      <c r="Y64" s="5">
        <f>IF(R64&gt;1,"1","2")</f>
        <v/>
      </c>
      <c r="Z64" s="5">
        <f>IF(S64&gt;1,"1","2")</f>
        <v/>
      </c>
      <c r="AA64" s="5">
        <f>IF(T64&gt;1,"1","2")</f>
        <v/>
      </c>
      <c r="AB64" s="5">
        <f>IF(U64&gt;1,"1","2")</f>
        <v/>
      </c>
      <c r="AC64" s="5">
        <f>IF(V64&gt;1,"1","2")</f>
        <v/>
      </c>
      <c r="AD64" s="5">
        <f>IF(W64&gt;1,"1","2")</f>
        <v/>
      </c>
      <c r="AE64" s="5">
        <f>IF(X64&gt;1,"1","2")</f>
        <v/>
      </c>
      <c r="AF64" t="n">
        <v>-5.140954</v>
      </c>
      <c r="AG64" t="n">
        <v>119.431511</v>
      </c>
    </row>
    <row r="65" ht="14.4" customHeight="1">
      <c r="A65" s="14" t="n">
        <v>62</v>
      </c>
      <c r="B65" s="15" t="inlineStr">
        <is>
          <t>Fai</t>
        </is>
      </c>
      <c r="C65" s="10" t="n">
        <v>10</v>
      </c>
      <c r="D65" s="10" t="n">
        <v>25</v>
      </c>
      <c r="E65" s="17" t="n">
        <v>365</v>
      </c>
      <c r="F65" s="21" t="n">
        <v>0.0542</v>
      </c>
      <c r="G65" s="10" t="n">
        <v>900</v>
      </c>
      <c r="H65" s="13" t="n">
        <v>0.02</v>
      </c>
      <c r="I65" s="18" t="n">
        <v>10950</v>
      </c>
      <c r="J65" s="20" t="n">
        <v>10</v>
      </c>
      <c r="K65" s="19">
        <f>(F65*G65*E65*J65)/(D65*I65)</f>
        <v/>
      </c>
      <c r="L65" s="2">
        <f>(F65*G65*E65*5)/(D65*I65)</f>
        <v/>
      </c>
      <c r="M65" s="2">
        <f>(F65*G65*E65*10)/(D65*I65)</f>
        <v/>
      </c>
      <c r="N65" s="2">
        <f>(F65*G65*E65*15)/(D65*I65)</f>
        <v/>
      </c>
      <c r="O65" s="2">
        <f>(F65*G65*E65*20)/(D65*I65)</f>
        <v/>
      </c>
      <c r="P65" s="2">
        <f>(F65*G65*E65*25)/(D65*I65)</f>
        <v/>
      </c>
      <c r="Q65" s="2">
        <f>(F65*G65*E65*30)/(D65*I65)</f>
        <v/>
      </c>
      <c r="R65" s="2">
        <f>K65/H65</f>
        <v/>
      </c>
      <c r="S65" s="2">
        <f>L65/H65</f>
        <v/>
      </c>
      <c r="T65" s="2">
        <f>M65/H65</f>
        <v/>
      </c>
      <c r="U65" s="2">
        <f>N65/H65</f>
        <v/>
      </c>
      <c r="V65" s="2">
        <f>O65/H65</f>
        <v/>
      </c>
      <c r="W65" s="2">
        <f>P65/H65</f>
        <v/>
      </c>
      <c r="X65" s="2">
        <f>Q65/H65</f>
        <v/>
      </c>
      <c r="Y65" s="5">
        <f>IF(R65&gt;1,"1","2")</f>
        <v/>
      </c>
      <c r="Z65" s="5">
        <f>IF(S65&gt;1,"1","2")</f>
        <v/>
      </c>
      <c r="AA65" s="5">
        <f>IF(T65&gt;1,"1","2")</f>
        <v/>
      </c>
      <c r="AB65" s="5">
        <f>IF(U65&gt;1,"1","2")</f>
        <v/>
      </c>
      <c r="AC65" s="5">
        <f>IF(V65&gt;1,"1","2")</f>
        <v/>
      </c>
      <c r="AD65" s="5">
        <f>IF(W65&gt;1,"1","2")</f>
        <v/>
      </c>
      <c r="AE65" s="5">
        <f>IF(X65&gt;1,"1","2")</f>
        <v/>
      </c>
      <c r="AF65" t="n">
        <v>-5.14341</v>
      </c>
      <c r="AG65" t="n">
        <v>119.414385</v>
      </c>
    </row>
    <row r="66" ht="14.4" customHeight="1">
      <c r="A66" s="14" t="n">
        <v>63</v>
      </c>
      <c r="B66" s="15" t="inlineStr">
        <is>
          <t>Arm</t>
        </is>
      </c>
      <c r="C66" s="10" t="n">
        <v>10</v>
      </c>
      <c r="D66" s="10" t="n">
        <v>25</v>
      </c>
      <c r="E66" s="17" t="n">
        <v>365</v>
      </c>
      <c r="F66" s="21" t="n">
        <v>0.0542</v>
      </c>
      <c r="G66" s="10" t="n">
        <v>900</v>
      </c>
      <c r="H66" s="13" t="n">
        <v>0.02</v>
      </c>
      <c r="I66" s="18" t="n">
        <v>10950</v>
      </c>
      <c r="J66" s="20" t="n">
        <v>10</v>
      </c>
      <c r="K66" s="19">
        <f>(F66*G66*E66*J66)/(D66*I66)</f>
        <v/>
      </c>
      <c r="L66" s="2">
        <f>(F66*G66*E66*5)/(D66*I66)</f>
        <v/>
      </c>
      <c r="M66" s="2">
        <f>(F66*G66*E66*10)/(D66*I66)</f>
        <v/>
      </c>
      <c r="N66" s="2">
        <f>(F66*G66*E66*15)/(D66*I66)</f>
        <v/>
      </c>
      <c r="O66" s="2">
        <f>(F66*G66*E66*20)/(D66*I66)</f>
        <v/>
      </c>
      <c r="P66" s="2">
        <f>(F66*G66*E66*25)/(D66*I66)</f>
        <v/>
      </c>
      <c r="Q66" s="2">
        <f>(F66*G66*E66*30)/(D66*I66)</f>
        <v/>
      </c>
      <c r="R66" s="2">
        <f>K66/H66</f>
        <v/>
      </c>
      <c r="S66" s="2">
        <f>L66/H66</f>
        <v/>
      </c>
      <c r="T66" s="2">
        <f>M66/H66</f>
        <v/>
      </c>
      <c r="U66" s="2">
        <f>N66/H66</f>
        <v/>
      </c>
      <c r="V66" s="2">
        <f>O66/H66</f>
        <v/>
      </c>
      <c r="W66" s="2">
        <f>P66/H66</f>
        <v/>
      </c>
      <c r="X66" s="2">
        <f>Q66/H66</f>
        <v/>
      </c>
      <c r="Y66" s="5">
        <f>IF(R66&gt;1,"1","2")</f>
        <v/>
      </c>
      <c r="Z66" s="5">
        <f>IF(S66&gt;1,"1","2")</f>
        <v/>
      </c>
      <c r="AA66" s="5">
        <f>IF(T66&gt;1,"1","2")</f>
        <v/>
      </c>
      <c r="AB66" s="5">
        <f>IF(U66&gt;1,"1","2")</f>
        <v/>
      </c>
      <c r="AC66" s="5">
        <f>IF(V66&gt;1,"1","2")</f>
        <v/>
      </c>
      <c r="AD66" s="5">
        <f>IF(W66&gt;1,"1","2")</f>
        <v/>
      </c>
      <c r="AE66" s="5">
        <f>IF(X66&gt;1,"1","2")</f>
        <v/>
      </c>
      <c r="AF66" t="n">
        <v>-5.157168</v>
      </c>
      <c r="AG66" t="n">
        <v>119.421729</v>
      </c>
    </row>
    <row r="67" ht="14.4" customHeight="1">
      <c r="A67" s="14" t="n">
        <v>64</v>
      </c>
      <c r="B67" s="15" t="inlineStr">
        <is>
          <t>Dah</t>
        </is>
      </c>
      <c r="C67" s="10" t="n">
        <v>10</v>
      </c>
      <c r="D67" s="10" t="n">
        <v>30</v>
      </c>
      <c r="E67" s="17" t="n">
        <v>365</v>
      </c>
      <c r="F67" s="21" t="n">
        <v>0.0542</v>
      </c>
      <c r="G67" s="10" t="n">
        <v>900</v>
      </c>
      <c r="H67" s="13" t="n">
        <v>0.02</v>
      </c>
      <c r="I67" s="18" t="n">
        <v>10950</v>
      </c>
      <c r="J67" s="20" t="n">
        <v>10</v>
      </c>
      <c r="K67" s="19">
        <f>(F67*G67*E67*J67)/(D67*I67)</f>
        <v/>
      </c>
      <c r="L67" s="2">
        <f>(F67*G67*E67*5)/(D67*I67)</f>
        <v/>
      </c>
      <c r="M67" s="2">
        <f>(F67*G67*E67*10)/(D67*I67)</f>
        <v/>
      </c>
      <c r="N67" s="2">
        <f>(F67*G67*E67*15)/(D67*I67)</f>
        <v/>
      </c>
      <c r="O67" s="2">
        <f>(F67*G67*E67*20)/(D67*I67)</f>
        <v/>
      </c>
      <c r="P67" s="2">
        <f>(F67*G67*E67*25)/(D67*I67)</f>
        <v/>
      </c>
      <c r="Q67" s="2">
        <f>(F67*G67*E67*30)/(D67*I67)</f>
        <v/>
      </c>
      <c r="R67" s="2">
        <f>K67/H67</f>
        <v/>
      </c>
      <c r="S67" s="2">
        <f>L67/H67</f>
        <v/>
      </c>
      <c r="T67" s="2">
        <f>M67/H67</f>
        <v/>
      </c>
      <c r="U67" s="2">
        <f>N67/H67</f>
        <v/>
      </c>
      <c r="V67" s="2">
        <f>O67/H67</f>
        <v/>
      </c>
      <c r="W67" s="2">
        <f>P67/H67</f>
        <v/>
      </c>
      <c r="X67" s="2">
        <f>Q67/H67</f>
        <v/>
      </c>
      <c r="Y67" s="5">
        <f>IF(R67&gt;1,"1","2")</f>
        <v/>
      </c>
      <c r="Z67" s="5">
        <f>IF(S67&gt;1,"1","2")</f>
        <v/>
      </c>
      <c r="AA67" s="5">
        <f>IF(T67&gt;1,"1","2")</f>
        <v/>
      </c>
      <c r="AB67" s="5">
        <f>IF(U67&gt;1,"1","2")</f>
        <v/>
      </c>
      <c r="AC67" s="5">
        <f>IF(V67&gt;1,"1","2")</f>
        <v/>
      </c>
      <c r="AD67" s="5">
        <f>IF(W67&gt;1,"1","2")</f>
        <v/>
      </c>
      <c r="AE67" s="5">
        <f>IF(X67&gt;1,"1","2")</f>
        <v/>
      </c>
      <c r="AF67" t="n">
        <v>-5.157008</v>
      </c>
      <c r="AG67" t="n">
        <v>119.4383</v>
      </c>
    </row>
    <row r="68" ht="14.4" customHeight="1">
      <c r="A68" s="14" t="n">
        <v>65</v>
      </c>
      <c r="B68" s="15" t="inlineStr">
        <is>
          <t>Rpa</t>
        </is>
      </c>
      <c r="C68" s="10" t="n">
        <v>11</v>
      </c>
      <c r="D68" s="10" t="n">
        <v>33</v>
      </c>
      <c r="E68" s="17" t="n">
        <v>365</v>
      </c>
      <c r="F68" s="21" t="n">
        <v>0.0171</v>
      </c>
      <c r="G68" s="10" t="n">
        <v>900</v>
      </c>
      <c r="H68" s="13" t="n">
        <v>0.02</v>
      </c>
      <c r="I68" s="18" t="n">
        <v>10950</v>
      </c>
      <c r="J68" s="20" t="n">
        <v>11</v>
      </c>
      <c r="K68" s="19">
        <f>(F68*G68*E68*J68)/(D68*I68)</f>
        <v/>
      </c>
      <c r="L68" s="2">
        <f>(F68*G68*E68*5)/(D68*I68)</f>
        <v/>
      </c>
      <c r="M68" s="2">
        <f>(F68*G68*E68*10)/(D68*I68)</f>
        <v/>
      </c>
      <c r="N68" s="2">
        <f>(F68*G68*E68*15)/(D68*I68)</f>
        <v/>
      </c>
      <c r="O68" s="2">
        <f>(F68*G68*E68*20)/(D68*I68)</f>
        <v/>
      </c>
      <c r="P68" s="2">
        <f>(F68*G68*E68*25)/(D68*I68)</f>
        <v/>
      </c>
      <c r="Q68" s="2">
        <f>(F68*G68*E68*30)/(D68*I68)</f>
        <v/>
      </c>
      <c r="R68" s="2">
        <f>K68/H68</f>
        <v/>
      </c>
      <c r="S68" s="2">
        <f>L68/H68</f>
        <v/>
      </c>
      <c r="T68" s="2">
        <f>M68/H68</f>
        <v/>
      </c>
      <c r="U68" s="2">
        <f>N68/H68</f>
        <v/>
      </c>
      <c r="V68" s="2">
        <f>O68/H68</f>
        <v/>
      </c>
      <c r="W68" s="2">
        <f>P68/H68</f>
        <v/>
      </c>
      <c r="X68" s="2">
        <f>Q68/H68</f>
        <v/>
      </c>
      <c r="Y68" s="5">
        <f>IF(R68&gt;1,"1","2")</f>
        <v/>
      </c>
      <c r="Z68" s="5">
        <f>IF(S68&gt;1,"1","2")</f>
        <v/>
      </c>
      <c r="AA68" s="5">
        <f>IF(T68&gt;1,"1","2")</f>
        <v/>
      </c>
      <c r="AB68" s="5">
        <f>IF(U68&gt;1,"1","2")</f>
        <v/>
      </c>
      <c r="AC68" s="5">
        <f>IF(V68&gt;1,"1","2")</f>
        <v/>
      </c>
      <c r="AD68" s="5">
        <f>IF(W68&gt;1,"1","2")</f>
        <v/>
      </c>
      <c r="AE68" s="5">
        <f>IF(X68&gt;1,"1","2")</f>
        <v/>
      </c>
      <c r="AF68" t="n">
        <v>-5.130333</v>
      </c>
      <c r="AG68" t="n">
        <v>119.44704</v>
      </c>
    </row>
    <row r="69" ht="14.4" customHeight="1">
      <c r="A69" s="14" t="n">
        <v>66</v>
      </c>
      <c r="B69" s="15" t="inlineStr">
        <is>
          <t>Aik</t>
        </is>
      </c>
      <c r="C69" s="10" t="n">
        <v>11</v>
      </c>
      <c r="D69" s="10" t="n">
        <v>23</v>
      </c>
      <c r="E69" s="17" t="n">
        <v>365</v>
      </c>
      <c r="F69" s="21" t="n">
        <v>0.0061</v>
      </c>
      <c r="G69" s="10" t="n">
        <v>900</v>
      </c>
      <c r="H69" s="13" t="n">
        <v>0.02</v>
      </c>
      <c r="I69" s="18" t="n">
        <v>10950</v>
      </c>
      <c r="J69" s="20" t="n">
        <v>11</v>
      </c>
      <c r="K69" s="19">
        <f>(F69*G69*E69*J69)/(D69*I69)</f>
        <v/>
      </c>
      <c r="L69" s="2">
        <f>(F69*G69*E69*5)/(D69*I69)</f>
        <v/>
      </c>
      <c r="M69" s="2">
        <f>(F69*G69*E69*10)/(D69*I69)</f>
        <v/>
      </c>
      <c r="N69" s="2">
        <f>(F69*G69*E69*15)/(D69*I69)</f>
        <v/>
      </c>
      <c r="O69" s="2">
        <f>(F69*G69*E69*20)/(D69*I69)</f>
        <v/>
      </c>
      <c r="P69" s="2">
        <f>(F69*G69*E69*25)/(D69*I69)</f>
        <v/>
      </c>
      <c r="Q69" s="2">
        <f>(F69*G69*E69*30)/(D69*I69)</f>
        <v/>
      </c>
      <c r="R69" s="2">
        <f>K69/H69</f>
        <v/>
      </c>
      <c r="S69" s="2">
        <f>L69/H69</f>
        <v/>
      </c>
      <c r="T69" s="2">
        <f>M69/H69</f>
        <v/>
      </c>
      <c r="U69" s="2">
        <f>N69/H69</f>
        <v/>
      </c>
      <c r="V69" s="2">
        <f>O69/H69</f>
        <v/>
      </c>
      <c r="W69" s="2">
        <f>P69/H69</f>
        <v/>
      </c>
      <c r="X69" s="2">
        <f>Q69/H69</f>
        <v/>
      </c>
      <c r="Y69" s="5">
        <f>IF(R69&gt;1,"1","2")</f>
        <v/>
      </c>
      <c r="Z69" s="5">
        <f>IF(S69&gt;1,"1","2")</f>
        <v/>
      </c>
      <c r="AA69" s="5">
        <f>IF(T69&gt;1,"1","2")</f>
        <v/>
      </c>
      <c r="AB69" s="5">
        <f>IF(U69&gt;1,"1","2")</f>
        <v/>
      </c>
      <c r="AC69" s="5">
        <f>IF(V69&gt;1,"1","2")</f>
        <v/>
      </c>
      <c r="AD69" s="5">
        <f>IF(W69&gt;1,"1","2")</f>
        <v/>
      </c>
      <c r="AE69" s="5">
        <f>IF(X69&gt;1,"1","2")</f>
        <v/>
      </c>
      <c r="AF69" t="n">
        <v>-5.13263</v>
      </c>
      <c r="AG69" t="n">
        <v>119.404792</v>
      </c>
    </row>
    <row r="70" ht="14.4" customHeight="1">
      <c r="A70" s="14" t="n">
        <v>67</v>
      </c>
      <c r="B70" s="15" t="inlineStr">
        <is>
          <t>Fa</t>
        </is>
      </c>
      <c r="C70" s="10" t="n">
        <v>11</v>
      </c>
      <c r="D70" s="10" t="n">
        <v>34</v>
      </c>
      <c r="E70" s="17" t="n">
        <v>365</v>
      </c>
      <c r="F70" s="21" t="n">
        <v>0.0061</v>
      </c>
      <c r="G70" s="10" t="n">
        <v>1200</v>
      </c>
      <c r="H70" s="13" t="n">
        <v>0.02</v>
      </c>
      <c r="I70" s="18" t="n">
        <v>10950</v>
      </c>
      <c r="J70" s="20" t="n">
        <v>11</v>
      </c>
      <c r="K70" s="19">
        <f>(F70*G70*E70*J70)/(D70*I70)</f>
        <v/>
      </c>
      <c r="L70" s="2">
        <f>(F70*G70*E70*5)/(D70*I70)</f>
        <v/>
      </c>
      <c r="M70" s="2">
        <f>(F70*G70*E70*10)/(D70*I70)</f>
        <v/>
      </c>
      <c r="N70" s="2">
        <f>(F70*G70*E70*15)/(D70*I70)</f>
        <v/>
      </c>
      <c r="O70" s="2">
        <f>(F70*G70*E70*20)/(D70*I70)</f>
        <v/>
      </c>
      <c r="P70" s="2">
        <f>(F70*G70*E70*25)/(D70*I70)</f>
        <v/>
      </c>
      <c r="Q70" s="2">
        <f>(F70*G70*E70*30)/(D70*I70)</f>
        <v/>
      </c>
      <c r="R70" s="2">
        <f>K70/H70</f>
        <v/>
      </c>
      <c r="S70" s="2">
        <f>L70/H70</f>
        <v/>
      </c>
      <c r="T70" s="2">
        <f>M70/H70</f>
        <v/>
      </c>
      <c r="U70" s="2">
        <f>N70/H70</f>
        <v/>
      </c>
      <c r="V70" s="2">
        <f>O70/H70</f>
        <v/>
      </c>
      <c r="W70" s="2">
        <f>P70/H70</f>
        <v/>
      </c>
      <c r="X70" s="2">
        <f>Q70/H70</f>
        <v/>
      </c>
      <c r="Y70" s="5">
        <f>IF(R70&gt;1,"1","2")</f>
        <v/>
      </c>
      <c r="Z70" s="5">
        <f>IF(S70&gt;1,"1","2")</f>
        <v/>
      </c>
      <c r="AA70" s="5">
        <f>IF(T70&gt;1,"1","2")</f>
        <v/>
      </c>
      <c r="AB70" s="5">
        <f>IF(U70&gt;1,"1","2")</f>
        <v/>
      </c>
      <c r="AC70" s="5">
        <f>IF(V70&gt;1,"1","2")</f>
        <v/>
      </c>
      <c r="AD70" s="5">
        <f>IF(W70&gt;1,"1","2")</f>
        <v/>
      </c>
      <c r="AE70" s="5">
        <f>IF(X70&gt;1,"1","2")</f>
        <v/>
      </c>
      <c r="AF70" t="n">
        <v>-5.123609</v>
      </c>
      <c r="AG70" t="n">
        <v>119.414704</v>
      </c>
    </row>
    <row r="71" ht="14.4" customHeight="1">
      <c r="A71" s="14" t="n">
        <v>68</v>
      </c>
      <c r="B71" s="15" t="inlineStr">
        <is>
          <t>Pan</t>
        </is>
      </c>
      <c r="C71" s="10" t="n">
        <v>11</v>
      </c>
      <c r="D71" s="10" t="n">
        <v>32</v>
      </c>
      <c r="E71" s="17" t="n">
        <v>365</v>
      </c>
      <c r="F71" s="21" t="n">
        <v>0.0323</v>
      </c>
      <c r="G71" s="10" t="n">
        <v>900</v>
      </c>
      <c r="H71" s="13" t="n">
        <v>0.02</v>
      </c>
      <c r="I71" s="18" t="n">
        <v>10950</v>
      </c>
      <c r="J71" s="20" t="n">
        <v>11</v>
      </c>
      <c r="K71" s="19">
        <f>(F71*G71*E71*J71)/(D71*I71)</f>
        <v/>
      </c>
      <c r="L71" s="2">
        <f>(F71*G71*E71*5)/(D71*I71)</f>
        <v/>
      </c>
      <c r="M71" s="2">
        <f>(F71*G71*E71*10)/(D71*I71)</f>
        <v/>
      </c>
      <c r="N71" s="2">
        <f>(F71*G71*E71*15)/(D71*I71)</f>
        <v/>
      </c>
      <c r="O71" s="2">
        <f>(F71*G71*E71*20)/(D71*I71)</f>
        <v/>
      </c>
      <c r="P71" s="2">
        <f>(F71*G71*E71*25)/(D71*I71)</f>
        <v/>
      </c>
      <c r="Q71" s="2">
        <f>(F71*G71*E71*30)/(D71*I71)</f>
        <v/>
      </c>
      <c r="R71" s="2">
        <f>K71/H71</f>
        <v/>
      </c>
      <c r="S71" s="2">
        <f>L71/H71</f>
        <v/>
      </c>
      <c r="T71" s="2">
        <f>M71/H71</f>
        <v/>
      </c>
      <c r="U71" s="2">
        <f>N71/H71</f>
        <v/>
      </c>
      <c r="V71" s="2">
        <f>O71/H71</f>
        <v/>
      </c>
      <c r="W71" s="2">
        <f>P71/H71</f>
        <v/>
      </c>
      <c r="X71" s="2">
        <f>Q71/H71</f>
        <v/>
      </c>
      <c r="Y71" s="5">
        <f>IF(R71&gt;1,"1","2")</f>
        <v/>
      </c>
      <c r="Z71" s="5">
        <f>IF(S71&gt;1,"1","2")</f>
        <v/>
      </c>
      <c r="AA71" s="5">
        <f>IF(T71&gt;1,"1","2")</f>
        <v/>
      </c>
      <c r="AB71" s="5">
        <f>IF(U71&gt;1,"1","2")</f>
        <v/>
      </c>
      <c r="AC71" s="5">
        <f>IF(V71&gt;1,"1","2")</f>
        <v/>
      </c>
      <c r="AD71" s="5">
        <f>IF(W71&gt;1,"1","2")</f>
        <v/>
      </c>
      <c r="AE71" s="5">
        <f>IF(X71&gt;1,"1","2")</f>
        <v/>
      </c>
      <c r="AF71" t="n">
        <v>-5.14705</v>
      </c>
      <c r="AG71" t="n">
        <v>119.431001</v>
      </c>
    </row>
    <row r="72" ht="14.4" customHeight="1">
      <c r="A72" s="14" t="n">
        <v>69</v>
      </c>
      <c r="B72" s="15" t="inlineStr">
        <is>
          <t>Idbp</t>
        </is>
      </c>
      <c r="C72" s="10" t="n">
        <v>11</v>
      </c>
      <c r="D72" s="10" t="n">
        <v>29</v>
      </c>
      <c r="E72" s="17" t="n">
        <v>365</v>
      </c>
      <c r="F72" s="21" t="n">
        <v>0.0311</v>
      </c>
      <c r="G72" s="10" t="n">
        <v>1200</v>
      </c>
      <c r="H72" s="13" t="n">
        <v>0.02</v>
      </c>
      <c r="I72" s="18" t="n">
        <v>10950</v>
      </c>
      <c r="J72" s="20" t="n">
        <v>11</v>
      </c>
      <c r="K72" s="19">
        <f>(F72*G72*E72*J72)/(D72*I72)</f>
        <v/>
      </c>
      <c r="L72" s="2">
        <f>(F72*G72*E72*5)/(D72*I72)</f>
        <v/>
      </c>
      <c r="M72" s="2">
        <f>(F72*G72*E72*10)/(D72*I72)</f>
        <v/>
      </c>
      <c r="N72" s="2">
        <f>(F72*G72*E72*15)/(D72*I72)</f>
        <v/>
      </c>
      <c r="O72" s="2">
        <f>(F72*G72*E72*20)/(D72*I72)</f>
        <v/>
      </c>
      <c r="P72" s="2">
        <f>(F72*G72*E72*25)/(D72*I72)</f>
        <v/>
      </c>
      <c r="Q72" s="2">
        <f>(F72*G72*E72*30)/(D72*I72)</f>
        <v/>
      </c>
      <c r="R72" s="2">
        <f>K72/H72</f>
        <v/>
      </c>
      <c r="S72" s="2">
        <f>L72/H72</f>
        <v/>
      </c>
      <c r="T72" s="2">
        <f>M72/H72</f>
        <v/>
      </c>
      <c r="U72" s="2">
        <f>N72/H72</f>
        <v/>
      </c>
      <c r="V72" s="2">
        <f>O72/H72</f>
        <v/>
      </c>
      <c r="W72" s="2">
        <f>P72/H72</f>
        <v/>
      </c>
      <c r="X72" s="2">
        <f>Q72/H72</f>
        <v/>
      </c>
      <c r="Y72" s="5">
        <f>IF(R72&gt;1,"1","2")</f>
        <v/>
      </c>
      <c r="Z72" s="5">
        <f>IF(S72&gt;1,"1","2")</f>
        <v/>
      </c>
      <c r="AA72" s="5">
        <f>IF(T72&gt;1,"1","2")</f>
        <v/>
      </c>
      <c r="AB72" s="5">
        <f>IF(U72&gt;1,"1","2")</f>
        <v/>
      </c>
      <c r="AC72" s="5">
        <f>IF(V72&gt;1,"1","2")</f>
        <v/>
      </c>
      <c r="AD72" s="5">
        <f>IF(W72&gt;1,"1","2")</f>
        <v/>
      </c>
      <c r="AE72" s="5">
        <f>IF(X72&gt;1,"1","2")</f>
        <v/>
      </c>
      <c r="AF72" t="n">
        <v>-5.157063</v>
      </c>
      <c r="AG72" t="n">
        <v>119.429718</v>
      </c>
    </row>
    <row r="73" ht="14.4" customHeight="1">
      <c r="A73" s="14" t="n">
        <v>70</v>
      </c>
      <c r="B73" s="15" t="inlineStr">
        <is>
          <t>Raf</t>
        </is>
      </c>
      <c r="C73" s="10" t="n">
        <v>11</v>
      </c>
      <c r="D73" s="10" t="n">
        <v>29</v>
      </c>
      <c r="E73" s="17" t="n">
        <v>365</v>
      </c>
      <c r="F73" s="21" t="n">
        <v>0.0311</v>
      </c>
      <c r="G73" s="10" t="n">
        <v>1200</v>
      </c>
      <c r="H73" s="13" t="n">
        <v>0.02</v>
      </c>
      <c r="I73" s="18" t="n">
        <v>10950</v>
      </c>
      <c r="J73" s="20" t="n">
        <v>11</v>
      </c>
      <c r="K73" s="19">
        <f>(F73*G73*E73*J73)/(D73*I73)</f>
        <v/>
      </c>
      <c r="L73" s="2">
        <f>(F73*G73*E73*5)/(D73*I73)</f>
        <v/>
      </c>
      <c r="M73" s="2">
        <f>(F73*G73*E73*10)/(D73*I73)</f>
        <v/>
      </c>
      <c r="N73" s="2">
        <f>(F73*G73*E73*15)/(D73*I73)</f>
        <v/>
      </c>
      <c r="O73" s="2">
        <f>(F73*G73*E73*20)/(D73*I73)</f>
        <v/>
      </c>
      <c r="P73" s="2">
        <f>(F73*G73*E73*25)/(D73*I73)</f>
        <v/>
      </c>
      <c r="Q73" s="2">
        <f>(F73*G73*E73*30)/(D73*I73)</f>
        <v/>
      </c>
      <c r="R73" s="2">
        <f>K73/H73</f>
        <v/>
      </c>
      <c r="S73" s="2">
        <f>L73/H73</f>
        <v/>
      </c>
      <c r="T73" s="2">
        <f>M73/H73</f>
        <v/>
      </c>
      <c r="U73" s="2">
        <f>N73/H73</f>
        <v/>
      </c>
      <c r="V73" s="2">
        <f>O73/H73</f>
        <v/>
      </c>
      <c r="W73" s="2">
        <f>P73/H73</f>
        <v/>
      </c>
      <c r="X73" s="2">
        <f>Q73/H73</f>
        <v/>
      </c>
      <c r="Y73" s="5">
        <f>IF(R73&gt;1,"1","2")</f>
        <v/>
      </c>
      <c r="Z73" s="5">
        <f>IF(S73&gt;1,"1","2")</f>
        <v/>
      </c>
      <c r="AA73" s="5">
        <f>IF(T73&gt;1,"1","2")</f>
        <v/>
      </c>
      <c r="AB73" s="5">
        <f>IF(U73&gt;1,"1","2")</f>
        <v/>
      </c>
      <c r="AC73" s="5">
        <f>IF(V73&gt;1,"1","2")</f>
        <v/>
      </c>
      <c r="AD73" s="5">
        <f>IF(W73&gt;1,"1","2")</f>
        <v/>
      </c>
      <c r="AE73" s="5">
        <f>IF(X73&gt;1,"1","2")</f>
        <v/>
      </c>
      <c r="AF73" t="n">
        <v>-5.148807</v>
      </c>
      <c r="AG73" t="n">
        <v>119.425107</v>
      </c>
    </row>
    <row r="74" ht="14.4" customHeight="1">
      <c r="A74" s="14" t="n">
        <v>71</v>
      </c>
      <c r="B74" s="15" t="inlineStr">
        <is>
          <t>Igp</t>
        </is>
      </c>
      <c r="C74" s="10" t="n">
        <v>11</v>
      </c>
      <c r="D74" s="10" t="n">
        <v>20</v>
      </c>
      <c r="E74" s="17" t="n">
        <v>365</v>
      </c>
      <c r="F74" s="21" t="n">
        <v>0.0357</v>
      </c>
      <c r="G74" s="10" t="n">
        <v>900</v>
      </c>
      <c r="H74" s="13" t="n">
        <v>0.02</v>
      </c>
      <c r="I74" s="18" t="n">
        <v>10950</v>
      </c>
      <c r="J74" s="20" t="n">
        <v>1</v>
      </c>
      <c r="K74" s="19">
        <f>(F74*G74*E74*J74)/(D74*I74)</f>
        <v/>
      </c>
      <c r="L74" s="2">
        <f>(F74*G74*E74*5)/(D74*I74)</f>
        <v/>
      </c>
      <c r="M74" s="2">
        <f>(F74*G74*E74*10)/(D74*I74)</f>
        <v/>
      </c>
      <c r="N74" s="2">
        <f>(F74*G74*E74*15)/(D74*I74)</f>
        <v/>
      </c>
      <c r="O74" s="2">
        <f>(F74*G74*E74*20)/(D74*I74)</f>
        <v/>
      </c>
      <c r="P74" s="2">
        <f>(F74*G74*E74*25)/(D74*I74)</f>
        <v/>
      </c>
      <c r="Q74" s="2">
        <f>(F74*G74*E74*30)/(D74*I74)</f>
        <v/>
      </c>
      <c r="R74" s="2">
        <f>K74/H74</f>
        <v/>
      </c>
      <c r="S74" s="2">
        <f>L74/H74</f>
        <v/>
      </c>
      <c r="T74" s="2">
        <f>M74/H74</f>
        <v/>
      </c>
      <c r="U74" s="2">
        <f>N74/H74</f>
        <v/>
      </c>
      <c r="V74" s="2">
        <f>O74/H74</f>
        <v/>
      </c>
      <c r="W74" s="2">
        <f>P74/H74</f>
        <v/>
      </c>
      <c r="X74" s="2">
        <f>Q74/H74</f>
        <v/>
      </c>
      <c r="Y74" s="5">
        <f>IF(R74&gt;1,"1","2")</f>
        <v/>
      </c>
      <c r="Z74" s="5">
        <f>IF(S74&gt;1,"1","2")</f>
        <v/>
      </c>
      <c r="AA74" s="5">
        <f>IF(T74&gt;1,"1","2")</f>
        <v/>
      </c>
      <c r="AB74" s="5">
        <f>IF(U74&gt;1,"1","2")</f>
        <v/>
      </c>
      <c r="AC74" s="5">
        <f>IF(V74&gt;1,"1","2")</f>
        <v/>
      </c>
      <c r="AD74" s="5">
        <f>IF(W74&gt;1,"1","2")</f>
        <v/>
      </c>
      <c r="AE74" s="5">
        <f>IF(X74&gt;1,"1","2")</f>
        <v/>
      </c>
      <c r="AF74" t="n">
        <v>-5.125611</v>
      </c>
      <c r="AG74" t="n">
        <v>119.425764</v>
      </c>
    </row>
    <row r="75" ht="14.4" customHeight="1">
      <c r="A75" s="14" t="n">
        <v>72</v>
      </c>
      <c r="B75" s="15" t="inlineStr">
        <is>
          <t>Kbi</t>
        </is>
      </c>
      <c r="C75" s="10" t="n">
        <v>11</v>
      </c>
      <c r="D75" s="10" t="n">
        <v>26</v>
      </c>
      <c r="E75" s="17" t="n">
        <v>365</v>
      </c>
      <c r="F75" s="21" t="n">
        <v>0.0361</v>
      </c>
      <c r="G75" s="10" t="n">
        <v>900</v>
      </c>
      <c r="H75" s="13" t="n">
        <v>0.02</v>
      </c>
      <c r="I75" s="18" t="n">
        <v>10950</v>
      </c>
      <c r="J75" s="20" t="n">
        <v>1</v>
      </c>
      <c r="K75" s="19">
        <f>(F75*G75*E75*J75)/(D75*I75)</f>
        <v/>
      </c>
      <c r="L75" s="2">
        <f>(F75*G75*E75*5)/(D75*I75)</f>
        <v/>
      </c>
      <c r="M75" s="2">
        <f>(F75*G75*E75*10)/(D75*I75)</f>
        <v/>
      </c>
      <c r="N75" s="2">
        <f>(F75*G75*E75*15)/(D75*I75)</f>
        <v/>
      </c>
      <c r="O75" s="2">
        <f>(F75*G75*E75*20)/(D75*I75)</f>
        <v/>
      </c>
      <c r="P75" s="2">
        <f>(F75*G75*E75*25)/(D75*I75)</f>
        <v/>
      </c>
      <c r="Q75" s="2">
        <f>(F75*G75*E75*30)/(D75*I75)</f>
        <v/>
      </c>
      <c r="R75" s="2">
        <f>K75/H75</f>
        <v/>
      </c>
      <c r="S75" s="2">
        <f>L75/H75</f>
        <v/>
      </c>
      <c r="T75" s="2">
        <f>M75/H75</f>
        <v/>
      </c>
      <c r="U75" s="2">
        <f>N75/H75</f>
        <v/>
      </c>
      <c r="V75" s="2">
        <f>O75/H75</f>
        <v/>
      </c>
      <c r="W75" s="2">
        <f>P75/H75</f>
        <v/>
      </c>
      <c r="X75" s="2">
        <f>Q75/H75</f>
        <v/>
      </c>
      <c r="Y75" s="5">
        <f>IF(R75&gt;1,"1","2")</f>
        <v/>
      </c>
      <c r="Z75" s="5">
        <f>IF(S75&gt;1,"1","2")</f>
        <v/>
      </c>
      <c r="AA75" s="5">
        <f>IF(T75&gt;1,"1","2")</f>
        <v/>
      </c>
      <c r="AB75" s="5">
        <f>IF(U75&gt;1,"1","2")</f>
        <v/>
      </c>
      <c r="AC75" s="5">
        <f>IF(V75&gt;1,"1","2")</f>
        <v/>
      </c>
      <c r="AD75" s="5">
        <f>IF(W75&gt;1,"1","2")</f>
        <v/>
      </c>
      <c r="AE75" s="5">
        <f>IF(X75&gt;1,"1","2")</f>
        <v/>
      </c>
      <c r="AF75" t="n">
        <v>-5.141966</v>
      </c>
      <c r="AG75" t="n">
        <v>119.421831</v>
      </c>
    </row>
    <row r="76" ht="14.4" customHeight="1">
      <c r="A76" s="14" t="n">
        <v>73</v>
      </c>
      <c r="B76" s="15" t="inlineStr">
        <is>
          <t>Iwp</t>
        </is>
      </c>
      <c r="C76" s="10" t="n">
        <v>11</v>
      </c>
      <c r="D76" s="10" t="n">
        <v>31</v>
      </c>
      <c r="E76" s="17" t="n">
        <v>365</v>
      </c>
      <c r="F76" s="21" t="n">
        <v>0.0346</v>
      </c>
      <c r="G76" s="10" t="n">
        <v>1200</v>
      </c>
      <c r="H76" s="13" t="n">
        <v>0.02</v>
      </c>
      <c r="I76" s="18" t="n">
        <v>10950</v>
      </c>
      <c r="J76" s="20" t="n">
        <v>11</v>
      </c>
      <c r="K76" s="19">
        <f>(F76*G76*E76*J76)/(D76*I76)</f>
        <v/>
      </c>
      <c r="L76" s="2">
        <f>(F76*G76*E76*5)/(D76*I76)</f>
        <v/>
      </c>
      <c r="M76" s="2">
        <f>(F76*G76*E76*10)/(D76*I76)</f>
        <v/>
      </c>
      <c r="N76" s="2">
        <f>(F76*G76*E76*15)/(D76*I76)</f>
        <v/>
      </c>
      <c r="O76" s="2">
        <f>(F76*G76*E76*20)/(D76*I76)</f>
        <v/>
      </c>
      <c r="P76" s="2">
        <f>(F76*G76*E76*25)/(D76*I76)</f>
        <v/>
      </c>
      <c r="Q76" s="2">
        <f>(F76*G76*E76*30)/(D76*I76)</f>
        <v/>
      </c>
      <c r="R76" s="2">
        <f>K76/H76</f>
        <v/>
      </c>
      <c r="S76" s="2">
        <f>L76/H76</f>
        <v/>
      </c>
      <c r="T76" s="2">
        <f>M76/H76</f>
        <v/>
      </c>
      <c r="U76" s="2">
        <f>N76/H76</f>
        <v/>
      </c>
      <c r="V76" s="2">
        <f>O76/H76</f>
        <v/>
      </c>
      <c r="W76" s="2">
        <f>P76/H76</f>
        <v/>
      </c>
      <c r="X76" s="2">
        <f>Q76/H76</f>
        <v/>
      </c>
      <c r="Y76" s="5">
        <f>IF(R76&gt;1,"1","2")</f>
        <v/>
      </c>
      <c r="Z76" s="5">
        <f>IF(S76&gt;1,"1","2")</f>
        <v/>
      </c>
      <c r="AA76" s="5">
        <f>IF(T76&gt;1,"1","2")</f>
        <v/>
      </c>
      <c r="AB76" s="5">
        <f>IF(U76&gt;1,"1","2")</f>
        <v/>
      </c>
      <c r="AC76" s="5">
        <f>IF(V76&gt;1,"1","2")</f>
        <v/>
      </c>
      <c r="AD76" s="5">
        <f>IF(W76&gt;1,"1","2")</f>
        <v/>
      </c>
      <c r="AE76" s="5">
        <f>IF(X76&gt;1,"1","2")</f>
        <v/>
      </c>
      <c r="AF76" t="n">
        <v>-5.145178</v>
      </c>
      <c r="AG76" t="n">
        <v>119.447509</v>
      </c>
    </row>
    <row r="77" ht="14.4" customHeight="1">
      <c r="A77" s="14" t="n">
        <v>74</v>
      </c>
      <c r="B77" s="15" t="inlineStr">
        <is>
          <t>Suk</t>
        </is>
      </c>
      <c r="C77" s="10" t="n">
        <v>11</v>
      </c>
      <c r="D77" s="10" t="n">
        <v>28</v>
      </c>
      <c r="E77" s="17" t="n">
        <v>365</v>
      </c>
      <c r="F77" s="21" t="n">
        <v>0.0346</v>
      </c>
      <c r="G77" s="10" t="n">
        <v>1200</v>
      </c>
      <c r="H77" s="13" t="n">
        <v>0.02</v>
      </c>
      <c r="I77" s="18" t="n">
        <v>10950</v>
      </c>
      <c r="J77" s="20" t="n">
        <v>11</v>
      </c>
      <c r="K77" s="19">
        <f>(F77*G77*E77*J77)/(D77*I77)</f>
        <v/>
      </c>
      <c r="L77" s="2">
        <f>(F77*G77*E77*5)/(D77*I77)</f>
        <v/>
      </c>
      <c r="M77" s="2">
        <f>(F77*G77*E77*10)/(D77*I77)</f>
        <v/>
      </c>
      <c r="N77" s="2">
        <f>(F77*G77*E77*15)/(D77*I77)</f>
        <v/>
      </c>
      <c r="O77" s="2">
        <f>(F77*G77*E77*20)/(D77*I77)</f>
        <v/>
      </c>
      <c r="P77" s="2">
        <f>(F77*G77*E77*25)/(D77*I77)</f>
        <v/>
      </c>
      <c r="Q77" s="2">
        <f>(F77*G77*E77*30)/(D77*I77)</f>
        <v/>
      </c>
      <c r="R77" s="2">
        <f>K77/H77</f>
        <v/>
      </c>
      <c r="S77" s="2">
        <f>L77/H77</f>
        <v/>
      </c>
      <c r="T77" s="2">
        <f>M77/H77</f>
        <v/>
      </c>
      <c r="U77" s="2">
        <f>N77/H77</f>
        <v/>
      </c>
      <c r="V77" s="2">
        <f>O77/H77</f>
        <v/>
      </c>
      <c r="W77" s="2">
        <f>P77/H77</f>
        <v/>
      </c>
      <c r="X77" s="2">
        <f>Q77/H77</f>
        <v/>
      </c>
      <c r="Y77" s="5">
        <f>IF(R77&gt;1,"1","2")</f>
        <v/>
      </c>
      <c r="Z77" s="5">
        <f>IF(S77&gt;1,"1","2")</f>
        <v/>
      </c>
      <c r="AA77" s="5">
        <f>IF(T77&gt;1,"1","2")</f>
        <v/>
      </c>
      <c r="AB77" s="5">
        <f>IF(U77&gt;1,"1","2")</f>
        <v/>
      </c>
      <c r="AC77" s="5">
        <f>IF(V77&gt;1,"1","2")</f>
        <v/>
      </c>
      <c r="AD77" s="5">
        <f>IF(W77&gt;1,"1","2")</f>
        <v/>
      </c>
      <c r="AE77" s="5">
        <f>IF(X77&gt;1,"1","2")</f>
        <v/>
      </c>
      <c r="AF77" t="n">
        <v>-5.128035</v>
      </c>
      <c r="AG77" t="n">
        <v>119.416295</v>
      </c>
    </row>
    <row r="78" ht="14.4" customHeight="1">
      <c r="A78" s="14" t="n">
        <v>75</v>
      </c>
      <c r="B78" s="15" t="inlineStr">
        <is>
          <t>Tyr</t>
        </is>
      </c>
      <c r="C78" s="10" t="n">
        <v>11</v>
      </c>
      <c r="D78" s="10" t="n">
        <v>35</v>
      </c>
      <c r="E78" s="17" t="n">
        <v>365</v>
      </c>
      <c r="F78" s="21" t="n">
        <v>0.0346</v>
      </c>
      <c r="G78" s="10" t="n">
        <v>900</v>
      </c>
      <c r="H78" s="13" t="n">
        <v>0.02</v>
      </c>
      <c r="I78" s="18" t="n">
        <v>10950</v>
      </c>
      <c r="J78" s="20" t="n">
        <v>6</v>
      </c>
      <c r="K78" s="19">
        <f>(F78*G78*E78*J78)/(D78*I78)</f>
        <v/>
      </c>
      <c r="L78" s="2">
        <f>(F78*G78*E78*5)/(D78*I78)</f>
        <v/>
      </c>
      <c r="M78" s="2">
        <f>(F78*G78*E78*10)/(D78*I78)</f>
        <v/>
      </c>
      <c r="N78" s="2">
        <f>(F78*G78*E78*15)/(D78*I78)</f>
        <v/>
      </c>
      <c r="O78" s="2">
        <f>(F78*G78*E78*20)/(D78*I78)</f>
        <v/>
      </c>
      <c r="P78" s="2">
        <f>(F78*G78*E78*25)/(D78*I78)</f>
        <v/>
      </c>
      <c r="Q78" s="2">
        <f>(F78*G78*E78*30)/(D78*I78)</f>
        <v/>
      </c>
      <c r="R78" s="2">
        <f>K78/H78</f>
        <v/>
      </c>
      <c r="S78" s="2">
        <f>L78/H78</f>
        <v/>
      </c>
      <c r="T78" s="2">
        <f>M78/H78</f>
        <v/>
      </c>
      <c r="U78" s="2">
        <f>N78/H78</f>
        <v/>
      </c>
      <c r="V78" s="2">
        <f>O78/H78</f>
        <v/>
      </c>
      <c r="W78" s="2">
        <f>P78/H78</f>
        <v/>
      </c>
      <c r="X78" s="2">
        <f>Q78/H78</f>
        <v/>
      </c>
      <c r="Y78" s="5">
        <f>IF(R78&gt;1,"1","2")</f>
        <v/>
      </c>
      <c r="Z78" s="5">
        <f>IF(S78&gt;1,"1","2")</f>
        <v/>
      </c>
      <c r="AA78" s="5">
        <f>IF(T78&gt;1,"1","2")</f>
        <v/>
      </c>
      <c r="AB78" s="5">
        <f>IF(U78&gt;1,"1","2")</f>
        <v/>
      </c>
      <c r="AC78" s="5">
        <f>IF(V78&gt;1,"1","2")</f>
        <v/>
      </c>
      <c r="AD78" s="5">
        <f>IF(W78&gt;1,"1","2")</f>
        <v/>
      </c>
      <c r="AE78" s="5">
        <f>IF(X78&gt;1,"1","2")</f>
        <v/>
      </c>
      <c r="AF78" t="n">
        <v>-5.127421</v>
      </c>
      <c r="AG78" t="n">
        <v>119.404801</v>
      </c>
    </row>
    <row r="79" ht="14.4" customHeight="1">
      <c r="A79" s="14" t="n">
        <v>76</v>
      </c>
      <c r="B79" s="15" t="inlineStr">
        <is>
          <t>Iwd</t>
        </is>
      </c>
      <c r="C79" s="10" t="n">
        <v>11</v>
      </c>
      <c r="D79" s="10" t="n">
        <v>31</v>
      </c>
      <c r="E79" s="17" t="n">
        <v>365</v>
      </c>
      <c r="F79" s="21" t="n">
        <v>0.0331</v>
      </c>
      <c r="G79" s="10" t="n">
        <v>1200</v>
      </c>
      <c r="H79" s="13" t="n">
        <v>0.02</v>
      </c>
      <c r="I79" s="18" t="n">
        <v>10950</v>
      </c>
      <c r="J79" s="20" t="n">
        <v>11</v>
      </c>
      <c r="K79" s="19">
        <f>(F79*G79*E79*J79)/(D79*I79)</f>
        <v/>
      </c>
      <c r="L79" s="2">
        <f>(F79*G79*E79*5)/(D79*I79)</f>
        <v/>
      </c>
      <c r="M79" s="2">
        <f>(F79*G79*E79*10)/(D79*I79)</f>
        <v/>
      </c>
      <c r="N79" s="2">
        <f>(F79*G79*E79*15)/(D79*I79)</f>
        <v/>
      </c>
      <c r="O79" s="2">
        <f>(F79*G79*E79*20)/(D79*I79)</f>
        <v/>
      </c>
      <c r="P79" s="2">
        <f>(F79*G79*E79*25)/(D79*I79)</f>
        <v/>
      </c>
      <c r="Q79" s="2">
        <f>(F79*G79*E79*30)/(D79*I79)</f>
        <v/>
      </c>
      <c r="R79" s="2">
        <f>K79/H79</f>
        <v/>
      </c>
      <c r="S79" s="2">
        <f>L79/H79</f>
        <v/>
      </c>
      <c r="T79" s="2">
        <f>M79/H79</f>
        <v/>
      </c>
      <c r="U79" s="2">
        <f>N79/H79</f>
        <v/>
      </c>
      <c r="V79" s="2">
        <f>O79/H79</f>
        <v/>
      </c>
      <c r="W79" s="2">
        <f>P79/H79</f>
        <v/>
      </c>
      <c r="X79" s="2">
        <f>Q79/H79</f>
        <v/>
      </c>
      <c r="Y79" s="5">
        <f>IF(R79&gt;1,"1","2")</f>
        <v/>
      </c>
      <c r="Z79" s="5">
        <f>IF(S79&gt;1,"1","2")</f>
        <v/>
      </c>
      <c r="AA79" s="5">
        <f>IF(T79&gt;1,"1","2")</f>
        <v/>
      </c>
      <c r="AB79" s="5">
        <f>IF(U79&gt;1,"1","2")</f>
        <v/>
      </c>
      <c r="AC79" s="5">
        <f>IF(V79&gt;1,"1","2")</f>
        <v/>
      </c>
      <c r="AD79" s="5">
        <f>IF(W79&gt;1,"1","2")</f>
        <v/>
      </c>
      <c r="AE79" s="5">
        <f>IF(X79&gt;1,"1","2")</f>
        <v/>
      </c>
      <c r="AF79" t="n">
        <v>-5.154187</v>
      </c>
      <c r="AG79" t="n">
        <v>119.417476</v>
      </c>
    </row>
    <row r="80" ht="14.4" customHeight="1">
      <c r="A80" s="14" t="n">
        <v>77</v>
      </c>
      <c r="B80" s="15" t="inlineStr">
        <is>
          <t>Gbt</t>
        </is>
      </c>
      <c r="C80" s="10" t="n">
        <v>11</v>
      </c>
      <c r="D80" s="10" t="n">
        <v>20</v>
      </c>
      <c r="E80" s="17" t="n">
        <v>365</v>
      </c>
      <c r="F80" s="21" t="n">
        <v>0.0499</v>
      </c>
      <c r="G80" s="10" t="n">
        <v>900</v>
      </c>
      <c r="H80" s="13" t="n">
        <v>0.02</v>
      </c>
      <c r="I80" s="18" t="n">
        <v>10950</v>
      </c>
      <c r="J80" s="20" t="n">
        <v>1</v>
      </c>
      <c r="K80" s="19">
        <f>(F80*G80*E80*J80)/(D80*I80)</f>
        <v/>
      </c>
      <c r="L80" s="2">
        <f>(F80*G80*E80*5)/(D80*I80)</f>
        <v/>
      </c>
      <c r="M80" s="2">
        <f>(F80*G80*E80*10)/(D80*I80)</f>
        <v/>
      </c>
      <c r="N80" s="2">
        <f>(F80*G80*E80*15)/(D80*I80)</f>
        <v/>
      </c>
      <c r="O80" s="2">
        <f>(F80*G80*E80*20)/(D80*I80)</f>
        <v/>
      </c>
      <c r="P80" s="2">
        <f>(F80*G80*E80*25)/(D80*I80)</f>
        <v/>
      </c>
      <c r="Q80" s="2">
        <f>(F80*G80*E80*30)/(D80*I80)</f>
        <v/>
      </c>
      <c r="R80" s="2">
        <f>K80/H80</f>
        <v/>
      </c>
      <c r="S80" s="2">
        <f>L80/H80</f>
        <v/>
      </c>
      <c r="T80" s="2">
        <f>M80/H80</f>
        <v/>
      </c>
      <c r="U80" s="2">
        <f>N80/H80</f>
        <v/>
      </c>
      <c r="V80" s="2">
        <f>O80/H80</f>
        <v/>
      </c>
      <c r="W80" s="2">
        <f>P80/H80</f>
        <v/>
      </c>
      <c r="X80" s="2">
        <f>Q80/H80</f>
        <v/>
      </c>
      <c r="Y80" s="5">
        <f>IF(R80&gt;1,"1","2")</f>
        <v/>
      </c>
      <c r="Z80" s="5">
        <f>IF(S80&gt;1,"1","2")</f>
        <v/>
      </c>
      <c r="AA80" s="5">
        <f>IF(T80&gt;1,"1","2")</f>
        <v/>
      </c>
      <c r="AB80" s="5">
        <f>IF(U80&gt;1,"1","2")</f>
        <v/>
      </c>
      <c r="AC80" s="5">
        <f>IF(V80&gt;1,"1","2")</f>
        <v/>
      </c>
      <c r="AD80" s="5">
        <f>IF(W80&gt;1,"1","2")</f>
        <v/>
      </c>
      <c r="AE80" s="5">
        <f>IF(X80&gt;1,"1","2")</f>
        <v/>
      </c>
      <c r="AF80" t="n">
        <v>-5.14914</v>
      </c>
      <c r="AG80" t="n">
        <v>119.427095</v>
      </c>
    </row>
    <row r="81" ht="14.4" customHeight="1">
      <c r="A81" s="14" t="n">
        <v>78</v>
      </c>
      <c r="B81" s="15" t="inlineStr">
        <is>
          <t>Put</t>
        </is>
      </c>
      <c r="C81" s="10" t="n">
        <v>11</v>
      </c>
      <c r="D81" s="10" t="n">
        <v>33</v>
      </c>
      <c r="E81" s="17" t="n">
        <v>365</v>
      </c>
      <c r="F81" s="21" t="n">
        <v>0.0384</v>
      </c>
      <c r="G81" s="10" t="n">
        <v>900</v>
      </c>
      <c r="H81" s="13" t="n">
        <v>0.02</v>
      </c>
      <c r="I81" s="18" t="n">
        <v>10950</v>
      </c>
      <c r="J81" s="20" t="n">
        <v>11</v>
      </c>
      <c r="K81" s="19">
        <f>(F81*G81*E81*J81)/(D81*I81)</f>
        <v/>
      </c>
      <c r="L81" s="2">
        <f>(F81*G81*E81*5)/(D81*I81)</f>
        <v/>
      </c>
      <c r="M81" s="2">
        <f>(F81*G81*E81*10)/(D81*I81)</f>
        <v/>
      </c>
      <c r="N81" s="2">
        <f>(F81*G81*E81*15)/(D81*I81)</f>
        <v/>
      </c>
      <c r="O81" s="2">
        <f>(F81*G81*E81*20)/(D81*I81)</f>
        <v/>
      </c>
      <c r="P81" s="2">
        <f>(F81*G81*E81*25)/(D81*I81)</f>
        <v/>
      </c>
      <c r="Q81" s="2">
        <f>(F81*G81*E81*30)/(D81*I81)</f>
        <v/>
      </c>
      <c r="R81" s="2">
        <f>K81/H81</f>
        <v/>
      </c>
      <c r="S81" s="2">
        <f>L81/H81</f>
        <v/>
      </c>
      <c r="T81" s="2">
        <f>M81/H81</f>
        <v/>
      </c>
      <c r="U81" s="2">
        <f>N81/H81</f>
        <v/>
      </c>
      <c r="V81" s="2">
        <f>O81/H81</f>
        <v/>
      </c>
      <c r="W81" s="2">
        <f>P81/H81</f>
        <v/>
      </c>
      <c r="X81" s="2">
        <f>Q81/H81</f>
        <v/>
      </c>
      <c r="Y81" s="5">
        <f>IF(R81&gt;1,"1","2")</f>
        <v/>
      </c>
      <c r="Z81" s="5">
        <f>IF(S81&gt;1,"1","2")</f>
        <v/>
      </c>
      <c r="AA81" s="5">
        <f>IF(T81&gt;1,"1","2")</f>
        <v/>
      </c>
      <c r="AB81" s="5">
        <f>IF(U81&gt;1,"1","2")</f>
        <v/>
      </c>
      <c r="AC81" s="5">
        <f>IF(V81&gt;1,"1","2")</f>
        <v/>
      </c>
      <c r="AD81" s="5">
        <f>IF(W81&gt;1,"1","2")</f>
        <v/>
      </c>
      <c r="AE81" s="5">
        <f>IF(X81&gt;1,"1","2")</f>
        <v/>
      </c>
      <c r="AF81" t="n">
        <v>-5.139762</v>
      </c>
      <c r="AG81" t="n">
        <v>119.422664</v>
      </c>
    </row>
    <row r="82" ht="14.4" customHeight="1">
      <c r="A82" s="14" t="n">
        <v>79</v>
      </c>
      <c r="B82" s="15" t="inlineStr">
        <is>
          <t>Bak</t>
        </is>
      </c>
      <c r="C82" s="10" t="n">
        <v>11</v>
      </c>
      <c r="D82" s="10" t="n">
        <v>32</v>
      </c>
      <c r="E82" s="17" t="n">
        <v>365</v>
      </c>
      <c r="F82" s="21" t="n">
        <v>0.0391</v>
      </c>
      <c r="G82" s="10" t="n">
        <v>900</v>
      </c>
      <c r="H82" s="13" t="n">
        <v>0.02</v>
      </c>
      <c r="I82" s="18" t="n">
        <v>10950</v>
      </c>
      <c r="J82" s="20" t="n">
        <v>11</v>
      </c>
      <c r="K82" s="19">
        <f>(F82*G82*E82*J82)/(D82*I82)</f>
        <v/>
      </c>
      <c r="L82" s="2">
        <f>(F82*G82*E82*5)/(D82*I82)</f>
        <v/>
      </c>
      <c r="M82" s="2">
        <f>(F82*G82*E82*10)/(D82*I82)</f>
        <v/>
      </c>
      <c r="N82" s="2">
        <f>(F82*G82*E82*15)/(D82*I82)</f>
        <v/>
      </c>
      <c r="O82" s="2">
        <f>(F82*G82*E82*20)/(D82*I82)</f>
        <v/>
      </c>
      <c r="P82" s="2">
        <f>(F82*G82*E82*25)/(D82*I82)</f>
        <v/>
      </c>
      <c r="Q82" s="2">
        <f>(F82*G82*E82*30)/(D82*I82)</f>
        <v/>
      </c>
      <c r="R82" s="2">
        <f>K82/H82</f>
        <v/>
      </c>
      <c r="S82" s="2">
        <f>L82/H82</f>
        <v/>
      </c>
      <c r="T82" s="2">
        <f>M82/H82</f>
        <v/>
      </c>
      <c r="U82" s="2">
        <f>N82/H82</f>
        <v/>
      </c>
      <c r="V82" s="2">
        <f>O82/H82</f>
        <v/>
      </c>
      <c r="W82" s="2">
        <f>P82/H82</f>
        <v/>
      </c>
      <c r="X82" s="2">
        <f>Q82/H82</f>
        <v/>
      </c>
      <c r="Y82" s="5">
        <f>IF(R82&gt;1,"1","2")</f>
        <v/>
      </c>
      <c r="Z82" s="5">
        <f>IF(S82&gt;1,"1","2")</f>
        <v/>
      </c>
      <c r="AA82" s="5">
        <f>IF(T82&gt;1,"1","2")</f>
        <v/>
      </c>
      <c r="AB82" s="5">
        <f>IF(U82&gt;1,"1","2")</f>
        <v/>
      </c>
      <c r="AC82" s="5">
        <f>IF(V82&gt;1,"1","2")</f>
        <v/>
      </c>
      <c r="AD82" s="5">
        <f>IF(W82&gt;1,"1","2")</f>
        <v/>
      </c>
      <c r="AE82" s="5">
        <f>IF(X82&gt;1,"1","2")</f>
        <v/>
      </c>
      <c r="AF82" t="n">
        <v>-5.154211</v>
      </c>
      <c r="AG82" t="n">
        <v>119.424495</v>
      </c>
    </row>
    <row r="83" ht="14.4" customHeight="1">
      <c r="A83" s="14" t="n">
        <v>80</v>
      </c>
      <c r="B83" s="15" t="inlineStr">
        <is>
          <t>Aik</t>
        </is>
      </c>
      <c r="C83" s="10" t="n">
        <v>11</v>
      </c>
      <c r="D83" s="10" t="n">
        <v>23</v>
      </c>
      <c r="E83" s="17" t="n">
        <v>365</v>
      </c>
      <c r="F83" s="21" t="n">
        <v>0.0412</v>
      </c>
      <c r="G83" s="10" t="n">
        <v>900</v>
      </c>
      <c r="H83" s="13" t="n">
        <v>0.02</v>
      </c>
      <c r="I83" s="18" t="n">
        <v>10950</v>
      </c>
      <c r="J83" s="20" t="n">
        <v>11</v>
      </c>
      <c r="K83" s="19">
        <f>(F83*G83*E83*J83)/(D83*I83)</f>
        <v/>
      </c>
      <c r="L83" s="2">
        <f>(F83*G83*E83*5)/(D83*I83)</f>
        <v/>
      </c>
      <c r="M83" s="2">
        <f>(F83*G83*E83*10)/(D83*I83)</f>
        <v/>
      </c>
      <c r="N83" s="2">
        <f>(F83*G83*E83*15)/(D83*I83)</f>
        <v/>
      </c>
      <c r="O83" s="2">
        <f>(F83*G83*E83*20)/(D83*I83)</f>
        <v/>
      </c>
      <c r="P83" s="2">
        <f>(F83*G83*E83*25)/(D83*I83)</f>
        <v/>
      </c>
      <c r="Q83" s="2">
        <f>(F83*G83*E83*30)/(D83*I83)</f>
        <v/>
      </c>
      <c r="R83" s="2">
        <f>K83/H83</f>
        <v/>
      </c>
      <c r="S83" s="2">
        <f>L83/H83</f>
        <v/>
      </c>
      <c r="T83" s="2">
        <f>M83/H83</f>
        <v/>
      </c>
      <c r="U83" s="2">
        <f>N83/H83</f>
        <v/>
      </c>
      <c r="V83" s="2">
        <f>O83/H83</f>
        <v/>
      </c>
      <c r="W83" s="2">
        <f>P83/H83</f>
        <v/>
      </c>
      <c r="X83" s="2">
        <f>Q83/H83</f>
        <v/>
      </c>
      <c r="Y83" s="5">
        <f>IF(R83&gt;1,"1","2")</f>
        <v/>
      </c>
      <c r="Z83" s="5">
        <f>IF(S83&gt;1,"1","2")</f>
        <v/>
      </c>
      <c r="AA83" s="5">
        <f>IF(T83&gt;1,"1","2")</f>
        <v/>
      </c>
      <c r="AB83" s="5">
        <f>IF(U83&gt;1,"1","2")</f>
        <v/>
      </c>
      <c r="AC83" s="5">
        <f>IF(V83&gt;1,"1","2")</f>
        <v/>
      </c>
      <c r="AD83" s="5">
        <f>IF(W83&gt;1,"1","2")</f>
        <v/>
      </c>
      <c r="AE83" s="5">
        <f>IF(X83&gt;1,"1","2")</f>
        <v/>
      </c>
      <c r="AF83" t="n">
        <v>-5.140154</v>
      </c>
      <c r="AG83" t="n">
        <v>119.442838</v>
      </c>
    </row>
    <row r="84" ht="14.4" customHeight="1">
      <c r="A84" s="14" t="n">
        <v>81</v>
      </c>
      <c r="B84" s="15" t="inlineStr">
        <is>
          <t>Aul</t>
        </is>
      </c>
      <c r="C84" s="10" t="n">
        <v>11</v>
      </c>
      <c r="D84" s="10" t="n">
        <v>34</v>
      </c>
      <c r="E84" s="17" t="n">
        <v>365</v>
      </c>
      <c r="F84" s="21" t="n">
        <v>0.0412</v>
      </c>
      <c r="G84" s="10" t="n">
        <v>1200</v>
      </c>
      <c r="H84" s="13" t="n">
        <v>0.02</v>
      </c>
      <c r="I84" s="18" t="n">
        <v>10950</v>
      </c>
      <c r="J84" s="20" t="n">
        <v>11</v>
      </c>
      <c r="K84" s="19">
        <f>(F84*G84*E84*J84)/(D84*I84)</f>
        <v/>
      </c>
      <c r="L84" s="2">
        <f>(F84*G84*E84*5)/(D84*I84)</f>
        <v/>
      </c>
      <c r="M84" s="2">
        <f>(F84*G84*E84*10)/(D84*I84)</f>
        <v/>
      </c>
      <c r="N84" s="2">
        <f>(F84*G84*E84*15)/(D84*I84)</f>
        <v/>
      </c>
      <c r="O84" s="2">
        <f>(F84*G84*E84*20)/(D84*I84)</f>
        <v/>
      </c>
      <c r="P84" s="2">
        <f>(F84*G84*E84*25)/(D84*I84)</f>
        <v/>
      </c>
      <c r="Q84" s="2">
        <f>(F84*G84*E84*30)/(D84*I84)</f>
        <v/>
      </c>
      <c r="R84" s="2">
        <f>K84/H84</f>
        <v/>
      </c>
      <c r="S84" s="2">
        <f>L84/H84</f>
        <v/>
      </c>
      <c r="T84" s="2">
        <f>M84/H84</f>
        <v/>
      </c>
      <c r="U84" s="2">
        <f>N84/H84</f>
        <v/>
      </c>
      <c r="V84" s="2">
        <f>O84/H84</f>
        <v/>
      </c>
      <c r="W84" s="2">
        <f>P84/H84</f>
        <v/>
      </c>
      <c r="X84" s="2">
        <f>Q84/H84</f>
        <v/>
      </c>
      <c r="Y84" s="5">
        <f>IF(R84&gt;1,"1","2")</f>
        <v/>
      </c>
      <c r="Z84" s="5">
        <f>IF(S84&gt;1,"1","2")</f>
        <v/>
      </c>
      <c r="AA84" s="5">
        <f>IF(T84&gt;1,"1","2")</f>
        <v/>
      </c>
      <c r="AB84" s="5">
        <f>IF(U84&gt;1,"1","2")</f>
        <v/>
      </c>
      <c r="AC84" s="5">
        <f>IF(V84&gt;1,"1","2")</f>
        <v/>
      </c>
      <c r="AD84" s="5">
        <f>IF(W84&gt;1,"1","2")</f>
        <v/>
      </c>
      <c r="AE84" s="5">
        <f>IF(X84&gt;1,"1","2")</f>
        <v/>
      </c>
      <c r="AF84" t="n">
        <v>-5.130739</v>
      </c>
      <c r="AG84" t="n">
        <v>119.445703</v>
      </c>
    </row>
    <row r="85" ht="14.4" customHeight="1">
      <c r="A85" s="14" t="n">
        <v>82</v>
      </c>
      <c r="B85" s="15" t="inlineStr">
        <is>
          <t>Ari</t>
        </is>
      </c>
      <c r="C85" s="10" t="n">
        <v>11</v>
      </c>
      <c r="D85" s="10" t="n">
        <v>32</v>
      </c>
      <c r="E85" s="17" t="n">
        <v>365</v>
      </c>
      <c r="F85" s="21" t="n">
        <v>0.0542</v>
      </c>
      <c r="G85" s="10" t="n">
        <v>900</v>
      </c>
      <c r="H85" s="13" t="n">
        <v>0.02</v>
      </c>
      <c r="I85" s="18" t="n">
        <v>10950</v>
      </c>
      <c r="J85" s="20" t="n">
        <v>11</v>
      </c>
      <c r="K85" s="19">
        <f>(F85*G85*E85*J85)/(D85*I85)</f>
        <v/>
      </c>
      <c r="L85" s="2">
        <f>(F85*G85*E85*5)/(D85*I85)</f>
        <v/>
      </c>
      <c r="M85" s="2">
        <f>(F85*G85*E85*10)/(D85*I85)</f>
        <v/>
      </c>
      <c r="N85" s="2">
        <f>(F85*G85*E85*15)/(D85*I85)</f>
        <v/>
      </c>
      <c r="O85" s="2">
        <f>(F85*G85*E85*20)/(D85*I85)</f>
        <v/>
      </c>
      <c r="P85" s="2">
        <f>(F85*G85*E85*25)/(D85*I85)</f>
        <v/>
      </c>
      <c r="Q85" s="2">
        <f>(F85*G85*E85*30)/(D85*I85)</f>
        <v/>
      </c>
      <c r="R85" s="2">
        <f>K85/H85</f>
        <v/>
      </c>
      <c r="S85" s="2">
        <f>L85/H85</f>
        <v/>
      </c>
      <c r="T85" s="2">
        <f>M85/H85</f>
        <v/>
      </c>
      <c r="U85" s="2">
        <f>N85/H85</f>
        <v/>
      </c>
      <c r="V85" s="2">
        <f>O85/H85</f>
        <v/>
      </c>
      <c r="W85" s="2">
        <f>P85/H85</f>
        <v/>
      </c>
      <c r="X85" s="2">
        <f>Q85/H85</f>
        <v/>
      </c>
      <c r="Y85" s="5">
        <f>IF(R85&gt;1,"1","2")</f>
        <v/>
      </c>
      <c r="Z85" s="5">
        <f>IF(S85&gt;1,"1","2")</f>
        <v/>
      </c>
      <c r="AA85" s="5">
        <f>IF(T85&gt;1,"1","2")</f>
        <v/>
      </c>
      <c r="AB85" s="5">
        <f>IF(U85&gt;1,"1","2")</f>
        <v/>
      </c>
      <c r="AC85" s="5">
        <f>IF(V85&gt;1,"1","2")</f>
        <v/>
      </c>
      <c r="AD85" s="5">
        <f>IF(W85&gt;1,"1","2")</f>
        <v/>
      </c>
      <c r="AE85" s="5">
        <f>IF(X85&gt;1,"1","2")</f>
        <v/>
      </c>
      <c r="AF85" t="n">
        <v>-5.152016</v>
      </c>
      <c r="AG85" t="n">
        <v>119.430753</v>
      </c>
    </row>
    <row r="86" ht="14.4" customHeight="1">
      <c r="A86" s="14" t="n">
        <v>83</v>
      </c>
      <c r="B86" s="15" t="inlineStr">
        <is>
          <t>Tia</t>
        </is>
      </c>
      <c r="C86" s="10" t="n">
        <v>11</v>
      </c>
      <c r="D86" s="10" t="n">
        <v>35</v>
      </c>
      <c r="E86" s="17" t="n">
        <v>365</v>
      </c>
      <c r="F86" s="21" t="n">
        <v>0.0629</v>
      </c>
      <c r="G86" s="10" t="n">
        <v>900</v>
      </c>
      <c r="H86" s="13" t="n">
        <v>0.02</v>
      </c>
      <c r="I86" s="18" t="n">
        <v>10950</v>
      </c>
      <c r="J86" s="20" t="n">
        <v>6</v>
      </c>
      <c r="K86" s="19">
        <f>(F86*G86*E86*J86)/(D86*I86)</f>
        <v/>
      </c>
      <c r="L86" s="2">
        <f>(F86*G86*E86*5)/(D86*I86)</f>
        <v/>
      </c>
      <c r="M86" s="2">
        <f>(F86*G86*E86*10)/(D86*I86)</f>
        <v/>
      </c>
      <c r="N86" s="2">
        <f>(F86*G86*E86*15)/(D86*I86)</f>
        <v/>
      </c>
      <c r="O86" s="2">
        <f>(F86*G86*E86*20)/(D86*I86)</f>
        <v/>
      </c>
      <c r="P86" s="2">
        <f>(F86*G86*E86*25)/(D86*I86)</f>
        <v/>
      </c>
      <c r="Q86" s="2">
        <f>(F86*G86*E86*30)/(D86*I86)</f>
        <v/>
      </c>
      <c r="R86" s="2">
        <f>K86/H86</f>
        <v/>
      </c>
      <c r="S86" s="2">
        <f>L86/H86</f>
        <v/>
      </c>
      <c r="T86" s="2">
        <f>M86/H86</f>
        <v/>
      </c>
      <c r="U86" s="2">
        <f>N86/H86</f>
        <v/>
      </c>
      <c r="V86" s="2">
        <f>O86/H86</f>
        <v/>
      </c>
      <c r="W86" s="2">
        <f>P86/H86</f>
        <v/>
      </c>
      <c r="X86" s="2">
        <f>Q86/H86</f>
        <v/>
      </c>
      <c r="Y86" s="5">
        <f>IF(R86&gt;1,"1","2")</f>
        <v/>
      </c>
      <c r="Z86" s="5">
        <f>IF(S86&gt;1,"1","2")</f>
        <v/>
      </c>
      <c r="AA86" s="5">
        <f>IF(T86&gt;1,"1","2")</f>
        <v/>
      </c>
      <c r="AB86" s="5">
        <f>IF(U86&gt;1,"1","2")</f>
        <v/>
      </c>
      <c r="AC86" s="5">
        <f>IF(V86&gt;1,"1","2")</f>
        <v/>
      </c>
      <c r="AD86" s="5">
        <f>IF(W86&gt;1,"1","2")</f>
        <v/>
      </c>
      <c r="AE86" s="5">
        <f>IF(X86&gt;1,"1","2")</f>
        <v/>
      </c>
      <c r="AF86" t="n">
        <v>-5.128339</v>
      </c>
      <c r="AG86" t="n">
        <v>119.401552</v>
      </c>
    </row>
    <row r="87" ht="14.4" customHeight="1">
      <c r="A87" s="14" t="n">
        <v>84</v>
      </c>
      <c r="B87" s="15" t="inlineStr">
        <is>
          <t>Aft</t>
        </is>
      </c>
      <c r="C87" s="10" t="n">
        <v>12</v>
      </c>
      <c r="D87" s="10" t="n">
        <v>28</v>
      </c>
      <c r="E87" s="17" t="n">
        <v>365</v>
      </c>
      <c r="F87" s="21" t="n">
        <v>0.0171</v>
      </c>
      <c r="G87" s="10" t="n">
        <v>900</v>
      </c>
      <c r="H87" s="13" t="n">
        <v>0.02</v>
      </c>
      <c r="I87" s="18" t="n">
        <v>10950</v>
      </c>
      <c r="J87" s="20" t="n">
        <v>12</v>
      </c>
      <c r="K87" s="19">
        <f>(F87*G87*E87*J87)/(D87*I87)</f>
        <v/>
      </c>
      <c r="L87" s="2">
        <f>(F87*G87*E87*5)/(D87*I87)</f>
        <v/>
      </c>
      <c r="M87" s="2">
        <f>(F87*G87*E87*10)/(D87*I87)</f>
        <v/>
      </c>
      <c r="N87" s="2">
        <f>(F87*G87*E87*15)/(D87*I87)</f>
        <v/>
      </c>
      <c r="O87" s="2">
        <f>(F87*G87*E87*20)/(D87*I87)</f>
        <v/>
      </c>
      <c r="P87" s="2">
        <f>(F87*G87*E87*25)/(D87*I87)</f>
        <v/>
      </c>
      <c r="Q87" s="2">
        <f>(F87*G87*E87*30)/(D87*I87)</f>
        <v/>
      </c>
      <c r="R87" s="2">
        <f>K87/H87</f>
        <v/>
      </c>
      <c r="S87" s="2">
        <f>L87/H87</f>
        <v/>
      </c>
      <c r="T87" s="2">
        <f>M87/H87</f>
        <v/>
      </c>
      <c r="U87" s="2">
        <f>N87/H87</f>
        <v/>
      </c>
      <c r="V87" s="2">
        <f>O87/H87</f>
        <v/>
      </c>
      <c r="W87" s="2">
        <f>P87/H87</f>
        <v/>
      </c>
      <c r="X87" s="2">
        <f>Q87/H87</f>
        <v/>
      </c>
      <c r="Y87" s="5">
        <f>IF(R87&gt;1,"1","2")</f>
        <v/>
      </c>
      <c r="Z87" s="5">
        <f>IF(S87&gt;1,"1","2")</f>
        <v/>
      </c>
      <c r="AA87" s="5">
        <f>IF(T87&gt;1,"1","2")</f>
        <v/>
      </c>
      <c r="AB87" s="5">
        <f>IF(U87&gt;1,"1","2")</f>
        <v/>
      </c>
      <c r="AC87" s="5">
        <f>IF(V87&gt;1,"1","2")</f>
        <v/>
      </c>
      <c r="AD87" s="5">
        <f>IF(W87&gt;1,"1","2")</f>
        <v/>
      </c>
      <c r="AE87" s="5">
        <f>IF(X87&gt;1,"1","2")</f>
        <v/>
      </c>
      <c r="AF87" t="n">
        <v>-5.154162</v>
      </c>
      <c r="AG87" t="n">
        <v>119.409459</v>
      </c>
    </row>
    <row r="88" ht="14.4" customHeight="1">
      <c r="A88" s="14" t="n">
        <v>85</v>
      </c>
      <c r="B88" s="15" t="inlineStr">
        <is>
          <t>NM</t>
        </is>
      </c>
      <c r="C88" s="10" t="n">
        <v>12</v>
      </c>
      <c r="D88" s="10" t="n">
        <v>28</v>
      </c>
      <c r="E88" s="17" t="n">
        <v>365</v>
      </c>
      <c r="F88" s="21" t="n">
        <v>0.0171</v>
      </c>
      <c r="G88" s="10" t="n">
        <v>900</v>
      </c>
      <c r="H88" s="13" t="n">
        <v>0.02</v>
      </c>
      <c r="I88" s="18" t="n">
        <v>10950</v>
      </c>
      <c r="J88" s="20" t="n">
        <v>12</v>
      </c>
      <c r="K88" s="19">
        <f>(F88*G88*E88*J88)/(D88*I88)</f>
        <v/>
      </c>
      <c r="L88" s="2">
        <f>(F88*G88*E88*5)/(D88*I88)</f>
        <v/>
      </c>
      <c r="M88" s="2">
        <f>(F88*G88*E88*10)/(D88*I88)</f>
        <v/>
      </c>
      <c r="N88" s="2">
        <f>(F88*G88*E88*15)/(D88*I88)</f>
        <v/>
      </c>
      <c r="O88" s="2">
        <f>(F88*G88*E88*20)/(D88*I88)</f>
        <v/>
      </c>
      <c r="P88" s="2">
        <f>(F88*G88*E88*25)/(D88*I88)</f>
        <v/>
      </c>
      <c r="Q88" s="2">
        <f>(F88*G88*E88*30)/(D88*I88)</f>
        <v/>
      </c>
      <c r="R88" s="2">
        <f>K88/H88</f>
        <v/>
      </c>
      <c r="S88" s="2">
        <f>L88/H88</f>
        <v/>
      </c>
      <c r="T88" s="2">
        <f>M88/H88</f>
        <v/>
      </c>
      <c r="U88" s="2">
        <f>N88/H88</f>
        <v/>
      </c>
      <c r="V88" s="2">
        <f>O88/H88</f>
        <v/>
      </c>
      <c r="W88" s="2">
        <f>P88/H88</f>
        <v/>
      </c>
      <c r="X88" s="2">
        <f>Q88/H88</f>
        <v/>
      </c>
      <c r="Y88" s="5">
        <f>IF(R88&gt;1,"1","2")</f>
        <v/>
      </c>
      <c r="Z88" s="5">
        <f>IF(S88&gt;1,"1","2")</f>
        <v/>
      </c>
      <c r="AA88" s="5">
        <f>IF(T88&gt;1,"1","2")</f>
        <v/>
      </c>
      <c r="AB88" s="5">
        <f>IF(U88&gt;1,"1","2")</f>
        <v/>
      </c>
      <c r="AC88" s="5">
        <f>IF(V88&gt;1,"1","2")</f>
        <v/>
      </c>
      <c r="AD88" s="5">
        <f>IF(W88&gt;1,"1","2")</f>
        <v/>
      </c>
      <c r="AE88" s="5">
        <f>IF(X88&gt;1,"1","2")</f>
        <v/>
      </c>
      <c r="AF88" t="n">
        <v>-5.1441</v>
      </c>
      <c r="AG88" t="n">
        <v>119.409476</v>
      </c>
    </row>
    <row r="89" ht="14.4" customHeight="1">
      <c r="A89" s="14" t="n">
        <v>86</v>
      </c>
      <c r="B89" s="15" t="inlineStr">
        <is>
          <t>Cna</t>
        </is>
      </c>
      <c r="C89" s="10" t="n">
        <v>12</v>
      </c>
      <c r="D89" s="10" t="n">
        <v>40</v>
      </c>
      <c r="E89" s="17" t="n">
        <v>365</v>
      </c>
      <c r="F89" s="21" t="n">
        <v>0.0171</v>
      </c>
      <c r="G89" s="10" t="n">
        <v>1800</v>
      </c>
      <c r="H89" s="13" t="n">
        <v>0.02</v>
      </c>
      <c r="I89" s="18" t="n">
        <v>10950</v>
      </c>
      <c r="J89" s="20" t="n">
        <v>5</v>
      </c>
      <c r="K89" s="19">
        <f>(F89*G89*E89*J89)/(D89*I89)</f>
        <v/>
      </c>
      <c r="L89" s="2">
        <f>(F89*G89*E89*5)/(D89*I89)</f>
        <v/>
      </c>
      <c r="M89" s="2">
        <f>(F89*G89*E89*10)/(D89*I89)</f>
        <v/>
      </c>
      <c r="N89" s="2">
        <f>(F89*G89*E89*15)/(D89*I89)</f>
        <v/>
      </c>
      <c r="O89" s="2">
        <f>(F89*G89*E89*20)/(D89*I89)</f>
        <v/>
      </c>
      <c r="P89" s="2">
        <f>(F89*G89*E89*25)/(D89*I89)</f>
        <v/>
      </c>
      <c r="Q89" s="2">
        <f>(F89*G89*E89*30)/(D89*I89)</f>
        <v/>
      </c>
      <c r="R89" s="2">
        <f>K89/H89</f>
        <v/>
      </c>
      <c r="S89" s="2">
        <f>L89/H89</f>
        <v/>
      </c>
      <c r="T89" s="2">
        <f>M89/H89</f>
        <v/>
      </c>
      <c r="U89" s="2">
        <f>N89/H89</f>
        <v/>
      </c>
      <c r="V89" s="2">
        <f>O89/H89</f>
        <v/>
      </c>
      <c r="W89" s="2">
        <f>P89/H89</f>
        <v/>
      </c>
      <c r="X89" s="2">
        <f>Q89/H89</f>
        <v/>
      </c>
      <c r="Y89" s="5">
        <f>IF(R89&gt;1,"1","2")</f>
        <v/>
      </c>
      <c r="Z89" s="5">
        <f>IF(S89&gt;1,"1","2")</f>
        <v/>
      </c>
      <c r="AA89" s="5">
        <f>IF(T89&gt;1,"1","2")</f>
        <v/>
      </c>
      <c r="AB89" s="5">
        <f>IF(U89&gt;1,"1","2")</f>
        <v/>
      </c>
      <c r="AC89" s="5">
        <f>IF(V89&gt;1,"1","2")</f>
        <v/>
      </c>
      <c r="AD89" s="5">
        <f>IF(W89&gt;1,"1","2")</f>
        <v/>
      </c>
      <c r="AE89" s="5">
        <f>IF(X89&gt;1,"1","2")</f>
        <v/>
      </c>
      <c r="AF89" t="n">
        <v>-5.156756</v>
      </c>
      <c r="AG89" t="n">
        <v>119.43034</v>
      </c>
    </row>
    <row r="90" ht="14.4" customHeight="1">
      <c r="A90" s="14" t="n">
        <v>87</v>
      </c>
      <c r="B90" s="15" t="inlineStr">
        <is>
          <t>Srp</t>
        </is>
      </c>
      <c r="C90" s="10" t="n">
        <v>12</v>
      </c>
      <c r="D90" s="10" t="n">
        <v>23</v>
      </c>
      <c r="E90" s="17" t="n">
        <v>365</v>
      </c>
      <c r="F90" s="21" t="n">
        <v>0.0042</v>
      </c>
      <c r="G90" s="10" t="n">
        <v>900</v>
      </c>
      <c r="H90" s="13" t="n">
        <v>0.02</v>
      </c>
      <c r="I90" s="18" t="n">
        <v>10950</v>
      </c>
      <c r="J90" s="20" t="n">
        <v>12</v>
      </c>
      <c r="K90" s="19">
        <f>(F90*G90*E90*J90)/(D90*I90)</f>
        <v/>
      </c>
      <c r="L90" s="2">
        <f>(F90*G90*E90*5)/(D90*I90)</f>
        <v/>
      </c>
      <c r="M90" s="2">
        <f>(F90*G90*E90*10)/(D90*I90)</f>
        <v/>
      </c>
      <c r="N90" s="2">
        <f>(F90*G90*E90*15)/(D90*I90)</f>
        <v/>
      </c>
      <c r="O90" s="2">
        <f>(F90*G90*E90*20)/(D90*I90)</f>
        <v/>
      </c>
      <c r="P90" s="2">
        <f>(F90*G90*E90*25)/(D90*I90)</f>
        <v/>
      </c>
      <c r="Q90" s="2">
        <f>(F90*G90*E90*30)/(D90*I90)</f>
        <v/>
      </c>
      <c r="R90" s="2">
        <f>K90/H90</f>
        <v/>
      </c>
      <c r="S90" s="2">
        <f>L90/H90</f>
        <v/>
      </c>
      <c r="T90" s="2">
        <f>M90/H90</f>
        <v/>
      </c>
      <c r="U90" s="2">
        <f>N90/H90</f>
        <v/>
      </c>
      <c r="V90" s="2">
        <f>O90/H90</f>
        <v/>
      </c>
      <c r="W90" s="2">
        <f>P90/H90</f>
        <v/>
      </c>
      <c r="X90" s="2">
        <f>Q90/H90</f>
        <v/>
      </c>
      <c r="Y90" s="5">
        <f>IF(R90&gt;1,"1","2")</f>
        <v/>
      </c>
      <c r="Z90" s="5">
        <f>IF(S90&gt;1,"1","2")</f>
        <v/>
      </c>
      <c r="AA90" s="5">
        <f>IF(T90&gt;1,"1","2")</f>
        <v/>
      </c>
      <c r="AB90" s="5">
        <f>IF(U90&gt;1,"1","2")</f>
        <v/>
      </c>
      <c r="AC90" s="5">
        <f>IF(V90&gt;1,"1","2")</f>
        <v/>
      </c>
      <c r="AD90" s="5">
        <f>IF(W90&gt;1,"1","2")</f>
        <v/>
      </c>
      <c r="AE90" s="5">
        <f>IF(X90&gt;1,"1","2")</f>
        <v/>
      </c>
      <c r="AF90" t="n">
        <v>-5.151853</v>
      </c>
      <c r="AG90" t="n">
        <v>119.404635</v>
      </c>
    </row>
    <row r="91" ht="14.4" customHeight="1">
      <c r="A91" s="14" t="n">
        <v>88</v>
      </c>
      <c r="B91" s="15" t="inlineStr">
        <is>
          <t>Srp</t>
        </is>
      </c>
      <c r="C91" s="10" t="n">
        <v>12</v>
      </c>
      <c r="D91" s="10" t="n">
        <v>23</v>
      </c>
      <c r="E91" s="17" t="n">
        <v>365</v>
      </c>
      <c r="F91" s="21" t="n">
        <v>0.009900000000000001</v>
      </c>
      <c r="G91" s="10" t="n">
        <v>900</v>
      </c>
      <c r="H91" s="13" t="n">
        <v>0.02</v>
      </c>
      <c r="I91" s="18" t="n">
        <v>10950</v>
      </c>
      <c r="J91" s="20" t="n">
        <v>12</v>
      </c>
      <c r="K91" s="19">
        <f>(F91*G91*E91*J91)/(D91*I91)</f>
        <v/>
      </c>
      <c r="L91" s="2">
        <f>(F91*G91*E91*5)/(D91*I91)</f>
        <v/>
      </c>
      <c r="M91" s="2">
        <f>(F91*G91*E91*10)/(D91*I91)</f>
        <v/>
      </c>
      <c r="N91" s="2">
        <f>(F91*G91*E91*15)/(D91*I91)</f>
        <v/>
      </c>
      <c r="O91" s="2">
        <f>(F91*G91*E91*20)/(D91*I91)</f>
        <v/>
      </c>
      <c r="P91" s="2">
        <f>(F91*G91*E91*25)/(D91*I91)</f>
        <v/>
      </c>
      <c r="Q91" s="2">
        <f>(F91*G91*E91*30)/(D91*I91)</f>
        <v/>
      </c>
      <c r="R91" s="2">
        <f>K91/H91</f>
        <v/>
      </c>
      <c r="S91" s="2">
        <f>L91/H91</f>
        <v/>
      </c>
      <c r="T91" s="2">
        <f>M91/H91</f>
        <v/>
      </c>
      <c r="U91" s="2">
        <f>N91/H91</f>
        <v/>
      </c>
      <c r="V91" s="2">
        <f>O91/H91</f>
        <v/>
      </c>
      <c r="W91" s="2">
        <f>P91/H91</f>
        <v/>
      </c>
      <c r="X91" s="2">
        <f>Q91/H91</f>
        <v/>
      </c>
      <c r="Y91" s="5">
        <f>IF(R91&gt;1,"1","2")</f>
        <v/>
      </c>
      <c r="Z91" s="5">
        <f>IF(S91&gt;1,"1","2")</f>
        <v/>
      </c>
      <c r="AA91" s="5">
        <f>IF(T91&gt;1,"1","2")</f>
        <v/>
      </c>
      <c r="AB91" s="5">
        <f>IF(U91&gt;1,"1","2")</f>
        <v/>
      </c>
      <c r="AC91" s="5">
        <f>IF(V91&gt;1,"1","2")</f>
        <v/>
      </c>
      <c r="AD91" s="5">
        <f>IF(W91&gt;1,"1","2")</f>
        <v/>
      </c>
      <c r="AE91" s="5">
        <f>IF(X91&gt;1,"1","2")</f>
        <v/>
      </c>
      <c r="AF91" t="n">
        <v>-5.156659</v>
      </c>
      <c r="AG91" t="n">
        <v>119.408619</v>
      </c>
    </row>
    <row r="92" ht="14.4" customHeight="1">
      <c r="A92" s="14" t="n">
        <v>89</v>
      </c>
      <c r="B92" s="15" t="inlineStr">
        <is>
          <t>Mhp</t>
        </is>
      </c>
      <c r="C92" s="10" t="n">
        <v>12</v>
      </c>
      <c r="D92" s="10" t="n">
        <v>25</v>
      </c>
      <c r="E92" s="17" t="n">
        <v>365</v>
      </c>
      <c r="F92" s="21" t="n">
        <v>0.009900000000000001</v>
      </c>
      <c r="G92" s="10" t="n">
        <v>1200</v>
      </c>
      <c r="H92" s="13" t="n">
        <v>0.02</v>
      </c>
      <c r="I92" s="18" t="n">
        <v>10950</v>
      </c>
      <c r="J92" s="20" t="n">
        <v>12</v>
      </c>
      <c r="K92" s="19">
        <f>(F92*G92*E92*J92)/(D92*I92)</f>
        <v/>
      </c>
      <c r="L92" s="2">
        <f>(F92*G92*E92*5)/(D92*I92)</f>
        <v/>
      </c>
      <c r="M92" s="2">
        <f>(F92*G92*E92*10)/(D92*I92)</f>
        <v/>
      </c>
      <c r="N92" s="2">
        <f>(F92*G92*E92*15)/(D92*I92)</f>
        <v/>
      </c>
      <c r="O92" s="2">
        <f>(F92*G92*E92*20)/(D92*I92)</f>
        <v/>
      </c>
      <c r="P92" s="2">
        <f>(F92*G92*E92*25)/(D92*I92)</f>
        <v/>
      </c>
      <c r="Q92" s="2">
        <f>(F92*G92*E92*30)/(D92*I92)</f>
        <v/>
      </c>
      <c r="R92" s="2">
        <f>K92/H92</f>
        <v/>
      </c>
      <c r="S92" s="2">
        <f>L92/H92</f>
        <v/>
      </c>
      <c r="T92" s="2">
        <f>M92/H92</f>
        <v/>
      </c>
      <c r="U92" s="2">
        <f>N92/H92</f>
        <v/>
      </c>
      <c r="V92" s="2">
        <f>O92/H92</f>
        <v/>
      </c>
      <c r="W92" s="2">
        <f>P92/H92</f>
        <v/>
      </c>
      <c r="X92" s="2">
        <f>Q92/H92</f>
        <v/>
      </c>
      <c r="Y92" s="5">
        <f>IF(R92&gt;1,"1","2")</f>
        <v/>
      </c>
      <c r="Z92" s="5">
        <f>IF(S92&gt;1,"1","2")</f>
        <v/>
      </c>
      <c r="AA92" s="5">
        <f>IF(T92&gt;1,"1","2")</f>
        <v/>
      </c>
      <c r="AB92" s="5">
        <f>IF(U92&gt;1,"1","2")</f>
        <v/>
      </c>
      <c r="AC92" s="5">
        <f>IF(V92&gt;1,"1","2")</f>
        <v/>
      </c>
      <c r="AD92" s="5">
        <f>IF(W92&gt;1,"1","2")</f>
        <v/>
      </c>
      <c r="AE92" s="5">
        <f>IF(X92&gt;1,"1","2")</f>
        <v/>
      </c>
      <c r="AF92" t="n">
        <v>-5.143158</v>
      </c>
      <c r="AG92" t="n">
        <v>119.428246</v>
      </c>
    </row>
    <row r="93" ht="14.4" customHeight="1">
      <c r="A93" s="14" t="n">
        <v>90</v>
      </c>
      <c r="B93" s="15" t="inlineStr">
        <is>
          <t>Ydh</t>
        </is>
      </c>
      <c r="C93" s="10" t="n">
        <v>12</v>
      </c>
      <c r="D93" s="10" t="n">
        <v>28</v>
      </c>
      <c r="E93" s="17" t="n">
        <v>365</v>
      </c>
      <c r="F93" s="21" t="n">
        <v>0.0061</v>
      </c>
      <c r="G93" s="10" t="n">
        <v>1800</v>
      </c>
      <c r="H93" s="13" t="n">
        <v>0.02</v>
      </c>
      <c r="I93" s="18" t="n">
        <v>10950</v>
      </c>
      <c r="J93" s="20" t="n">
        <v>12</v>
      </c>
      <c r="K93" s="19">
        <f>(F93*G93*E93*J93)/(D93*I93)</f>
        <v/>
      </c>
      <c r="L93" s="2">
        <f>(F93*G93*E93*5)/(D93*I93)</f>
        <v/>
      </c>
      <c r="M93" s="2">
        <f>(F93*G93*E93*10)/(D93*I93)</f>
        <v/>
      </c>
      <c r="N93" s="2">
        <f>(F93*G93*E93*15)/(D93*I93)</f>
        <v/>
      </c>
      <c r="O93" s="2">
        <f>(F93*G93*E93*20)/(D93*I93)</f>
        <v/>
      </c>
      <c r="P93" s="2">
        <f>(F93*G93*E93*25)/(D93*I93)</f>
        <v/>
      </c>
      <c r="Q93" s="2">
        <f>(F93*G93*E93*30)/(D93*I93)</f>
        <v/>
      </c>
      <c r="R93" s="2">
        <f>K93/H93</f>
        <v/>
      </c>
      <c r="S93" s="2">
        <f>L93/H93</f>
        <v/>
      </c>
      <c r="T93" s="2">
        <f>M93/H93</f>
        <v/>
      </c>
      <c r="U93" s="2">
        <f>N93/H93</f>
        <v/>
      </c>
      <c r="V93" s="2">
        <f>O93/H93</f>
        <v/>
      </c>
      <c r="W93" s="2">
        <f>P93/H93</f>
        <v/>
      </c>
      <c r="X93" s="2">
        <f>Q93/H93</f>
        <v/>
      </c>
      <c r="Y93" s="5">
        <f>IF(R93&gt;1,"1","2")</f>
        <v/>
      </c>
      <c r="Z93" s="5">
        <f>IF(S93&gt;1,"1","2")</f>
        <v/>
      </c>
      <c r="AA93" s="5">
        <f>IF(T93&gt;1,"1","2")</f>
        <v/>
      </c>
      <c r="AB93" s="5">
        <f>IF(U93&gt;1,"1","2")</f>
        <v/>
      </c>
      <c r="AC93" s="5">
        <f>IF(V93&gt;1,"1","2")</f>
        <v/>
      </c>
      <c r="AD93" s="5">
        <f>IF(W93&gt;1,"1","2")</f>
        <v/>
      </c>
      <c r="AE93" s="5">
        <f>IF(X93&gt;1,"1","2")</f>
        <v/>
      </c>
      <c r="AF93" t="n">
        <v>-5.123506</v>
      </c>
      <c r="AG93" t="n">
        <v>119.424717</v>
      </c>
    </row>
    <row r="94" ht="14.4" customHeight="1">
      <c r="A94" s="14" t="n">
        <v>91</v>
      </c>
      <c r="B94" s="15" t="inlineStr">
        <is>
          <t>Nur</t>
        </is>
      </c>
      <c r="C94" s="10" t="n">
        <v>12</v>
      </c>
      <c r="D94" s="10" t="n">
        <v>28</v>
      </c>
      <c r="E94" s="17" t="n">
        <v>365</v>
      </c>
      <c r="F94" s="21" t="n">
        <v>0.0325</v>
      </c>
      <c r="G94" s="10" t="n">
        <v>900</v>
      </c>
      <c r="H94" s="13" t="n">
        <v>0.02</v>
      </c>
      <c r="I94" s="18" t="n">
        <v>10950</v>
      </c>
      <c r="J94" s="20" t="n">
        <v>12</v>
      </c>
      <c r="K94" s="19">
        <f>(F94*G94*E94*J94)/(D94*I94)</f>
        <v/>
      </c>
      <c r="L94" s="2">
        <f>(F94*G94*E94*5)/(D94*I94)</f>
        <v/>
      </c>
      <c r="M94" s="2">
        <f>(F94*G94*E94*10)/(D94*I94)</f>
        <v/>
      </c>
      <c r="N94" s="2">
        <f>(F94*G94*E94*15)/(D94*I94)</f>
        <v/>
      </c>
      <c r="O94" s="2">
        <f>(F94*G94*E94*20)/(D94*I94)</f>
        <v/>
      </c>
      <c r="P94" s="2">
        <f>(F94*G94*E94*25)/(D94*I94)</f>
        <v/>
      </c>
      <c r="Q94" s="2">
        <f>(F94*G94*E94*30)/(D94*I94)</f>
        <v/>
      </c>
      <c r="R94" s="2">
        <f>K94/H94</f>
        <v/>
      </c>
      <c r="S94" s="2">
        <f>L94/H94</f>
        <v/>
      </c>
      <c r="T94" s="2">
        <f>M94/H94</f>
        <v/>
      </c>
      <c r="U94" s="2">
        <f>N94/H94</f>
        <v/>
      </c>
      <c r="V94" s="2">
        <f>O94/H94</f>
        <v/>
      </c>
      <c r="W94" s="2">
        <f>P94/H94</f>
        <v/>
      </c>
      <c r="X94" s="2">
        <f>Q94/H94</f>
        <v/>
      </c>
      <c r="Y94" s="5">
        <f>IF(R94&gt;1,"1","2")</f>
        <v/>
      </c>
      <c r="Z94" s="5">
        <f>IF(S94&gt;1,"1","2")</f>
        <v/>
      </c>
      <c r="AA94" s="5">
        <f>IF(T94&gt;1,"1","2")</f>
        <v/>
      </c>
      <c r="AB94" s="5">
        <f>IF(U94&gt;1,"1","2")</f>
        <v/>
      </c>
      <c r="AC94" s="5">
        <f>IF(V94&gt;1,"1","2")</f>
        <v/>
      </c>
      <c r="AD94" s="5">
        <f>IF(W94&gt;1,"1","2")</f>
        <v/>
      </c>
      <c r="AE94" s="5">
        <f>IF(X94&gt;1,"1","2")</f>
        <v/>
      </c>
      <c r="AF94" t="n">
        <v>-5.138128</v>
      </c>
      <c r="AG94" t="n">
        <v>119.406206</v>
      </c>
    </row>
    <row r="95" ht="14.4" customHeight="1">
      <c r="A95" s="14" t="n">
        <v>92</v>
      </c>
      <c r="B95" s="15" t="inlineStr">
        <is>
          <t>Cah</t>
        </is>
      </c>
      <c r="C95" s="10" t="n">
        <v>12</v>
      </c>
      <c r="D95" s="10" t="n">
        <v>40</v>
      </c>
      <c r="E95" s="17" t="n">
        <v>365</v>
      </c>
      <c r="F95" s="21" t="n">
        <v>0.0325</v>
      </c>
      <c r="G95" s="10" t="n">
        <v>1800</v>
      </c>
      <c r="H95" s="13" t="n">
        <v>0.02</v>
      </c>
      <c r="I95" s="18" t="n">
        <v>10950</v>
      </c>
      <c r="J95" s="20" t="n">
        <v>5</v>
      </c>
      <c r="K95" s="19">
        <f>(F95*G95*E95*J95)/(D95*I95)</f>
        <v/>
      </c>
      <c r="L95" s="2">
        <f>(F95*G95*E95*5)/(D95*I95)</f>
        <v/>
      </c>
      <c r="M95" s="2">
        <f>(F95*G95*E95*10)/(D95*I95)</f>
        <v/>
      </c>
      <c r="N95" s="2">
        <f>(F95*G95*E95*15)/(D95*I95)</f>
        <v/>
      </c>
      <c r="O95" s="2">
        <f>(F95*G95*E95*20)/(D95*I95)</f>
        <v/>
      </c>
      <c r="P95" s="2">
        <f>(F95*G95*E95*25)/(D95*I95)</f>
        <v/>
      </c>
      <c r="Q95" s="2">
        <f>(F95*G95*E95*30)/(D95*I95)</f>
        <v/>
      </c>
      <c r="R95" s="2">
        <f>K95/H95</f>
        <v/>
      </c>
      <c r="S95" s="2">
        <f>L95/H95</f>
        <v/>
      </c>
      <c r="T95" s="2">
        <f>M95/H95</f>
        <v/>
      </c>
      <c r="U95" s="2">
        <f>N95/H95</f>
        <v/>
      </c>
      <c r="V95" s="2">
        <f>O95/H95</f>
        <v/>
      </c>
      <c r="W95" s="2">
        <f>P95/H95</f>
        <v/>
      </c>
      <c r="X95" s="2">
        <f>Q95/H95</f>
        <v/>
      </c>
      <c r="Y95" s="5">
        <f>IF(R95&gt;1,"1","2")</f>
        <v/>
      </c>
      <c r="Z95" s="5">
        <f>IF(S95&gt;1,"1","2")</f>
        <v/>
      </c>
      <c r="AA95" s="5">
        <f>IF(T95&gt;1,"1","2")</f>
        <v/>
      </c>
      <c r="AB95" s="5">
        <f>IF(U95&gt;1,"1","2")</f>
        <v/>
      </c>
      <c r="AC95" s="5">
        <f>IF(V95&gt;1,"1","2")</f>
        <v/>
      </c>
      <c r="AD95" s="5">
        <f>IF(W95&gt;1,"1","2")</f>
        <v/>
      </c>
      <c r="AE95" s="5">
        <f>IF(X95&gt;1,"1","2")</f>
        <v/>
      </c>
      <c r="AF95" t="n">
        <v>-5.129594</v>
      </c>
      <c r="AG95" t="n">
        <v>119.425691</v>
      </c>
    </row>
    <row r="96" ht="14.4" customHeight="1">
      <c r="A96" s="14" t="n">
        <v>93</v>
      </c>
      <c r="B96" s="15" t="inlineStr">
        <is>
          <t>Srl</t>
        </is>
      </c>
      <c r="C96" s="10" t="n">
        <v>12</v>
      </c>
      <c r="D96" s="10" t="n">
        <v>23</v>
      </c>
      <c r="E96" s="17" t="n">
        <v>365</v>
      </c>
      <c r="F96" s="21" t="n">
        <v>0.0521</v>
      </c>
      <c r="G96" s="10" t="n">
        <v>900</v>
      </c>
      <c r="H96" s="13" t="n">
        <v>0.02</v>
      </c>
      <c r="I96" s="18" t="n">
        <v>10950</v>
      </c>
      <c r="J96" s="20" t="n">
        <v>12</v>
      </c>
      <c r="K96" s="19">
        <f>(F96*G96*E96*J96)/(D96*I96)</f>
        <v/>
      </c>
      <c r="L96" s="2">
        <f>(F96*G96*E96*5)/(D96*I96)</f>
        <v/>
      </c>
      <c r="M96" s="2">
        <f>(F96*G96*E96*10)/(D96*I96)</f>
        <v/>
      </c>
      <c r="N96" s="2">
        <f>(F96*G96*E96*15)/(D96*I96)</f>
        <v/>
      </c>
      <c r="O96" s="2">
        <f>(F96*G96*E96*20)/(D96*I96)</f>
        <v/>
      </c>
      <c r="P96" s="2">
        <f>(F96*G96*E96*25)/(D96*I96)</f>
        <v/>
      </c>
      <c r="Q96" s="2">
        <f>(F96*G96*E96*30)/(D96*I96)</f>
        <v/>
      </c>
      <c r="R96" s="2">
        <f>K96/H96</f>
        <v/>
      </c>
      <c r="S96" s="2">
        <f>L96/H96</f>
        <v/>
      </c>
      <c r="T96" s="2">
        <f>M96/H96</f>
        <v/>
      </c>
      <c r="U96" s="2">
        <f>N96/H96</f>
        <v/>
      </c>
      <c r="V96" s="2">
        <f>O96/H96</f>
        <v/>
      </c>
      <c r="W96" s="2">
        <f>P96/H96</f>
        <v/>
      </c>
      <c r="X96" s="2">
        <f>Q96/H96</f>
        <v/>
      </c>
      <c r="Y96" s="5">
        <f>IF(R96&gt;1,"1","2")</f>
        <v/>
      </c>
      <c r="Z96" s="5">
        <f>IF(S96&gt;1,"1","2")</f>
        <v/>
      </c>
      <c r="AA96" s="5">
        <f>IF(T96&gt;1,"1","2")</f>
        <v/>
      </c>
      <c r="AB96" s="5">
        <f>IF(U96&gt;1,"1","2")</f>
        <v/>
      </c>
      <c r="AC96" s="5">
        <f>IF(V96&gt;1,"1","2")</f>
        <v/>
      </c>
      <c r="AD96" s="5">
        <f>IF(W96&gt;1,"1","2")</f>
        <v/>
      </c>
      <c r="AE96" s="5">
        <f>IF(X96&gt;1,"1","2")</f>
        <v/>
      </c>
      <c r="AF96" t="n">
        <v>-5.145176</v>
      </c>
      <c r="AG96" t="n">
        <v>119.445381</v>
      </c>
    </row>
    <row r="97" ht="14.4" customHeight="1">
      <c r="A97" s="14" t="n">
        <v>94</v>
      </c>
      <c r="B97" s="15" t="inlineStr">
        <is>
          <t>Afn</t>
        </is>
      </c>
      <c r="C97" s="10" t="n">
        <v>12</v>
      </c>
      <c r="D97" s="10" t="n">
        <v>25</v>
      </c>
      <c r="E97" s="17" t="n">
        <v>365</v>
      </c>
      <c r="F97" s="21" t="n">
        <v>0.0499</v>
      </c>
      <c r="G97" s="10" t="n">
        <v>900</v>
      </c>
      <c r="H97" s="13" t="n">
        <v>0.02</v>
      </c>
      <c r="I97" s="18" t="n">
        <v>10950</v>
      </c>
      <c r="J97" s="20" t="n">
        <v>12</v>
      </c>
      <c r="K97" s="19">
        <f>(F97*G97*E97*J97)/(D97*I97)</f>
        <v/>
      </c>
      <c r="L97" s="2">
        <f>(F97*G97*E97*5)/(D97*I97)</f>
        <v/>
      </c>
      <c r="M97" s="2">
        <f>(F97*G97*E97*10)/(D97*I97)</f>
        <v/>
      </c>
      <c r="N97" s="2">
        <f>(F97*G97*E97*15)/(D97*I97)</f>
        <v/>
      </c>
      <c r="O97" s="2">
        <f>(F97*G97*E97*20)/(D97*I97)</f>
        <v/>
      </c>
      <c r="P97" s="2">
        <f>(F97*G97*E97*25)/(D97*I97)</f>
        <v/>
      </c>
      <c r="Q97" s="2">
        <f>(F97*G97*E97*30)/(D97*I97)</f>
        <v/>
      </c>
      <c r="R97" s="2">
        <f>K97/H97</f>
        <v/>
      </c>
      <c r="S97" s="2">
        <f>L97/H97</f>
        <v/>
      </c>
      <c r="T97" s="2">
        <f>M97/H97</f>
        <v/>
      </c>
      <c r="U97" s="2">
        <f>N97/H97</f>
        <v/>
      </c>
      <c r="V97" s="2">
        <f>O97/H97</f>
        <v/>
      </c>
      <c r="W97" s="2">
        <f>P97/H97</f>
        <v/>
      </c>
      <c r="X97" s="2">
        <f>Q97/H97</f>
        <v/>
      </c>
      <c r="Y97" s="5">
        <f>IF(R97&gt;1,"1","2")</f>
        <v/>
      </c>
      <c r="Z97" s="5">
        <f>IF(S97&gt;1,"1","2")</f>
        <v/>
      </c>
      <c r="AA97" s="5">
        <f>IF(T97&gt;1,"1","2")</f>
        <v/>
      </c>
      <c r="AB97" s="5">
        <f>IF(U97&gt;1,"1","2")</f>
        <v/>
      </c>
      <c r="AC97" s="5">
        <f>IF(V97&gt;1,"1","2")</f>
        <v/>
      </c>
      <c r="AD97" s="5">
        <f>IF(W97&gt;1,"1","2")</f>
        <v/>
      </c>
      <c r="AE97" s="5">
        <f>IF(X97&gt;1,"1","2")</f>
        <v/>
      </c>
      <c r="AF97" t="n">
        <v>-5.152219</v>
      </c>
      <c r="AG97" t="n">
        <v>119.440304</v>
      </c>
    </row>
    <row r="98" ht="14.4" customHeight="1">
      <c r="A98" s="14" t="n">
        <v>95</v>
      </c>
      <c r="B98" s="15" t="inlineStr">
        <is>
          <t>Mad</t>
        </is>
      </c>
      <c r="C98" s="10" t="n">
        <v>12</v>
      </c>
      <c r="D98" s="10" t="n">
        <v>28</v>
      </c>
      <c r="E98" s="17" t="n">
        <v>365</v>
      </c>
      <c r="F98" s="21" t="n">
        <v>0.0384</v>
      </c>
      <c r="G98" s="10" t="n">
        <v>900</v>
      </c>
      <c r="H98" s="13" t="n">
        <v>0.02</v>
      </c>
      <c r="I98" s="18" t="n">
        <v>10950</v>
      </c>
      <c r="J98" s="20" t="n">
        <v>12</v>
      </c>
      <c r="K98" s="19">
        <f>(F98*G98*E98*J98)/(D98*I98)</f>
        <v/>
      </c>
      <c r="L98" s="2">
        <f>(F98*G98*E98*5)/(D98*I98)</f>
        <v/>
      </c>
      <c r="M98" s="2">
        <f>(F98*G98*E98*10)/(D98*I98)</f>
        <v/>
      </c>
      <c r="N98" s="2">
        <f>(F98*G98*E98*15)/(D98*I98)</f>
        <v/>
      </c>
      <c r="O98" s="2">
        <f>(F98*G98*E98*20)/(D98*I98)</f>
        <v/>
      </c>
      <c r="P98" s="2">
        <f>(F98*G98*E98*25)/(D98*I98)</f>
        <v/>
      </c>
      <c r="Q98" s="2">
        <f>(F98*G98*E98*30)/(D98*I98)</f>
        <v/>
      </c>
      <c r="R98" s="2">
        <f>K98/H98</f>
        <v/>
      </c>
      <c r="S98" s="2">
        <f>L98/H98</f>
        <v/>
      </c>
      <c r="T98" s="2">
        <f>M98/H98</f>
        <v/>
      </c>
      <c r="U98" s="2">
        <f>N98/H98</f>
        <v/>
      </c>
      <c r="V98" s="2">
        <f>O98/H98</f>
        <v/>
      </c>
      <c r="W98" s="2">
        <f>P98/H98</f>
        <v/>
      </c>
      <c r="X98" s="2">
        <f>Q98/H98</f>
        <v/>
      </c>
      <c r="Y98" s="5">
        <f>IF(R98&gt;1,"1","2")</f>
        <v/>
      </c>
      <c r="Z98" s="5">
        <f>IF(S98&gt;1,"1","2")</f>
        <v/>
      </c>
      <c r="AA98" s="5">
        <f>IF(T98&gt;1,"1","2")</f>
        <v/>
      </c>
      <c r="AB98" s="5">
        <f>IF(U98&gt;1,"1","2")</f>
        <v/>
      </c>
      <c r="AC98" s="5">
        <f>IF(V98&gt;1,"1","2")</f>
        <v/>
      </c>
      <c r="AD98" s="5">
        <f>IF(W98&gt;1,"1","2")</f>
        <v/>
      </c>
      <c r="AE98" s="5">
        <f>IF(X98&gt;1,"1","2")</f>
        <v/>
      </c>
      <c r="AF98" t="n">
        <v>-5.145744</v>
      </c>
      <c r="AG98" t="n">
        <v>119.441558</v>
      </c>
    </row>
    <row r="99" ht="14.4" customHeight="1">
      <c r="A99" s="14" t="n">
        <v>96</v>
      </c>
      <c r="B99" s="15" t="inlineStr">
        <is>
          <t>Nas</t>
        </is>
      </c>
      <c r="C99" s="10" t="n">
        <v>12</v>
      </c>
      <c r="D99" s="10" t="n">
        <v>40</v>
      </c>
      <c r="E99" s="17" t="n">
        <v>365</v>
      </c>
      <c r="F99" s="21" t="n">
        <v>0.0384</v>
      </c>
      <c r="G99" s="10" t="n">
        <v>1800</v>
      </c>
      <c r="H99" s="13" t="n">
        <v>0.02</v>
      </c>
      <c r="I99" s="18" t="n">
        <v>10950</v>
      </c>
      <c r="J99" s="20" t="n">
        <v>5</v>
      </c>
      <c r="K99" s="19">
        <f>(F99*G99*E99*J99)/(D99*I99)</f>
        <v/>
      </c>
      <c r="L99" s="2">
        <f>(F99*G99*E99*5)/(D99*I99)</f>
        <v/>
      </c>
      <c r="M99" s="2">
        <f>(F99*G99*E99*10)/(D99*I99)</f>
        <v/>
      </c>
      <c r="N99" s="2">
        <f>(F99*G99*E99*15)/(D99*I99)</f>
        <v/>
      </c>
      <c r="O99" s="2">
        <f>(F99*G99*E99*20)/(D99*I99)</f>
        <v/>
      </c>
      <c r="P99" s="2">
        <f>(F99*G99*E99*25)/(D99*I99)</f>
        <v/>
      </c>
      <c r="Q99" s="2">
        <f>(F99*G99*E99*30)/(D99*I99)</f>
        <v/>
      </c>
      <c r="R99" s="2">
        <f>K99/H99</f>
        <v/>
      </c>
      <c r="S99" s="2">
        <f>L99/H99</f>
        <v/>
      </c>
      <c r="T99" s="2">
        <f>M99/H99</f>
        <v/>
      </c>
      <c r="U99" s="2">
        <f>N99/H99</f>
        <v/>
      </c>
      <c r="V99" s="2">
        <f>O99/H99</f>
        <v/>
      </c>
      <c r="W99" s="2">
        <f>P99/H99</f>
        <v/>
      </c>
      <c r="X99" s="2">
        <f>Q99/H99</f>
        <v/>
      </c>
      <c r="Y99" s="5">
        <f>IF(R99&gt;1,"1","2")</f>
        <v/>
      </c>
      <c r="Z99" s="5">
        <f>IF(S99&gt;1,"1","2")</f>
        <v/>
      </c>
      <c r="AA99" s="5">
        <f>IF(T99&gt;1,"1","2")</f>
        <v/>
      </c>
      <c r="AB99" s="5">
        <f>IF(U99&gt;1,"1","2")</f>
        <v/>
      </c>
      <c r="AC99" s="5">
        <f>IF(V99&gt;1,"1","2")</f>
        <v/>
      </c>
      <c r="AD99" s="5">
        <f>IF(W99&gt;1,"1","2")</f>
        <v/>
      </c>
      <c r="AE99" s="5">
        <f>IF(X99&gt;1,"1","2")</f>
        <v/>
      </c>
      <c r="AF99" t="n">
        <v>-5.143841</v>
      </c>
      <c r="AG99" t="n">
        <v>119.410004</v>
      </c>
    </row>
    <row r="100" ht="14.4" customHeight="1">
      <c r="A100" s="14" t="n">
        <v>97</v>
      </c>
      <c r="B100" s="15" t="inlineStr">
        <is>
          <t>Dat</t>
        </is>
      </c>
      <c r="C100" s="10" t="n">
        <v>12</v>
      </c>
      <c r="D100" s="10" t="n">
        <v>28</v>
      </c>
      <c r="E100" s="17" t="n">
        <v>365</v>
      </c>
      <c r="F100" s="21" t="n">
        <v>0.0384</v>
      </c>
      <c r="G100" s="10" t="n">
        <v>900</v>
      </c>
      <c r="H100" s="13" t="n">
        <v>0.02</v>
      </c>
      <c r="I100" s="18" t="n">
        <v>10950</v>
      </c>
      <c r="J100" s="20" t="n">
        <v>12</v>
      </c>
      <c r="K100" s="19">
        <f>(F100*G100*E100*J100)/(D100*I100)</f>
        <v/>
      </c>
      <c r="L100" s="2">
        <f>(F100*G100*E100*5)/(D100*I100)</f>
        <v/>
      </c>
      <c r="M100" s="2">
        <f>(F100*G100*E100*10)/(D100*I100)</f>
        <v/>
      </c>
      <c r="N100" s="2">
        <f>(F100*G100*E100*15)/(D100*I100)</f>
        <v/>
      </c>
      <c r="O100" s="2">
        <f>(F100*G100*E100*20)/(D100*I100)</f>
        <v/>
      </c>
      <c r="P100" s="2">
        <f>(F100*G100*E100*25)/(D100*I100)</f>
        <v/>
      </c>
      <c r="Q100" s="2">
        <f>(F100*G100*E100*30)/(D100*I100)</f>
        <v/>
      </c>
      <c r="R100" s="2">
        <f>K100/H100</f>
        <v/>
      </c>
      <c r="S100" s="2">
        <f>L100/H100</f>
        <v/>
      </c>
      <c r="T100" s="2">
        <f>M100/H100</f>
        <v/>
      </c>
      <c r="U100" s="2">
        <f>N100/H100</f>
        <v/>
      </c>
      <c r="V100" s="2">
        <f>O100/H100</f>
        <v/>
      </c>
      <c r="W100" s="2">
        <f>P100/H100</f>
        <v/>
      </c>
      <c r="X100" s="2">
        <f>Q100/H100</f>
        <v/>
      </c>
      <c r="Y100" s="5">
        <f>IF(R100&gt;1,"1","2")</f>
        <v/>
      </c>
      <c r="Z100" s="5">
        <f>IF(S100&gt;1,"1","2")</f>
        <v/>
      </c>
      <c r="AA100" s="5">
        <f>IF(T100&gt;1,"1","2")</f>
        <v/>
      </c>
      <c r="AB100" s="5">
        <f>IF(U100&gt;1,"1","2")</f>
        <v/>
      </c>
      <c r="AC100" s="5">
        <f>IF(V100&gt;1,"1","2")</f>
        <v/>
      </c>
      <c r="AD100" s="5">
        <f>IF(W100&gt;1,"1","2")</f>
        <v/>
      </c>
      <c r="AE100" s="5">
        <f>IF(X100&gt;1,"1","2")</f>
        <v/>
      </c>
      <c r="AF100" t="n">
        <v>-5.154173</v>
      </c>
      <c r="AG100" t="n">
        <v>119.422746</v>
      </c>
    </row>
    <row r="101" ht="14.4" customHeight="1">
      <c r="A101" s="14" t="n">
        <v>98</v>
      </c>
      <c r="B101" s="15" t="inlineStr">
        <is>
          <t>Nas</t>
        </is>
      </c>
      <c r="C101" s="10" t="n">
        <v>12</v>
      </c>
      <c r="D101" s="10" t="n">
        <v>40</v>
      </c>
      <c r="E101" s="17" t="n">
        <v>365</v>
      </c>
      <c r="F101" s="21" t="n">
        <v>0.0391</v>
      </c>
      <c r="G101" s="10" t="n">
        <v>1800</v>
      </c>
      <c r="H101" s="13" t="n">
        <v>0.02</v>
      </c>
      <c r="I101" s="18" t="n">
        <v>10950</v>
      </c>
      <c r="J101" s="20" t="n">
        <v>5</v>
      </c>
      <c r="K101" s="19">
        <f>(F101*G101*E101*J101)/(D101*I101)</f>
        <v/>
      </c>
      <c r="L101" s="2">
        <f>(F101*G101*E101*5)/(D101*I101)</f>
        <v/>
      </c>
      <c r="M101" s="2">
        <f>(F101*G101*E101*10)/(D101*I101)</f>
        <v/>
      </c>
      <c r="N101" s="2">
        <f>(F101*G101*E101*15)/(D101*I101)</f>
        <v/>
      </c>
      <c r="O101" s="2">
        <f>(F101*G101*E101*20)/(D101*I101)</f>
        <v/>
      </c>
      <c r="P101" s="2">
        <f>(F101*G101*E101*25)/(D101*I101)</f>
        <v/>
      </c>
      <c r="Q101" s="2">
        <f>(F101*G101*E101*30)/(D101*I101)</f>
        <v/>
      </c>
      <c r="R101" s="2">
        <f>K101/H101</f>
        <v/>
      </c>
      <c r="S101" s="2">
        <f>L101/H101</f>
        <v/>
      </c>
      <c r="T101" s="2">
        <f>M101/H101</f>
        <v/>
      </c>
      <c r="U101" s="2">
        <f>N101/H101</f>
        <v/>
      </c>
      <c r="V101" s="2">
        <f>O101/H101</f>
        <v/>
      </c>
      <c r="W101" s="2">
        <f>P101/H101</f>
        <v/>
      </c>
      <c r="X101" s="2">
        <f>Q101/H101</f>
        <v/>
      </c>
      <c r="Y101" s="5">
        <f>IF(R101&gt;1,"1","2")</f>
        <v/>
      </c>
      <c r="Z101" s="5">
        <f>IF(S101&gt;1,"1","2")</f>
        <v/>
      </c>
      <c r="AA101" s="5">
        <f>IF(T101&gt;1,"1","2")</f>
        <v/>
      </c>
      <c r="AB101" s="5">
        <f>IF(U101&gt;1,"1","2")</f>
        <v/>
      </c>
      <c r="AC101" s="5">
        <f>IF(V101&gt;1,"1","2")</f>
        <v/>
      </c>
      <c r="AD101" s="5">
        <f>IF(W101&gt;1,"1","2")</f>
        <v/>
      </c>
      <c r="AE101" s="5">
        <f>IF(X101&gt;1,"1","2")</f>
        <v/>
      </c>
      <c r="AF101" t="n">
        <v>-5.136754</v>
      </c>
      <c r="AG101" t="n">
        <v>119.409738</v>
      </c>
    </row>
    <row r="102" ht="14.4" customHeight="1">
      <c r="A102" s="14" t="n">
        <v>99</v>
      </c>
      <c r="B102" s="15" t="inlineStr">
        <is>
          <t>Dan</t>
        </is>
      </c>
      <c r="C102" s="10" t="n">
        <v>12</v>
      </c>
      <c r="D102" s="10" t="n">
        <v>28</v>
      </c>
      <c r="E102" s="17" t="n">
        <v>365</v>
      </c>
      <c r="F102" s="21" t="n">
        <v>0.0412</v>
      </c>
      <c r="G102" s="10" t="n">
        <v>1800</v>
      </c>
      <c r="H102" s="13" t="n">
        <v>0.02</v>
      </c>
      <c r="I102" s="18" t="n">
        <v>10950</v>
      </c>
      <c r="J102" s="20" t="n">
        <v>12</v>
      </c>
      <c r="K102" s="19">
        <f>(F102*G102*E102*J102)/(D102*I102)</f>
        <v/>
      </c>
      <c r="L102" s="2">
        <f>(F102*G102*E102*5)/(D102*I102)</f>
        <v/>
      </c>
      <c r="M102" s="2">
        <f>(F102*G102*E102*10)/(D102*I102)</f>
        <v/>
      </c>
      <c r="N102" s="2">
        <f>(F102*G102*E102*15)/(D102*I102)</f>
        <v/>
      </c>
      <c r="O102" s="2">
        <f>(F102*G102*E102*20)/(D102*I102)</f>
        <v/>
      </c>
      <c r="P102" s="2">
        <f>(F102*G102*E102*25)/(D102*I102)</f>
        <v/>
      </c>
      <c r="Q102" s="2">
        <f>(F102*G102*E102*30)/(D102*I102)</f>
        <v/>
      </c>
      <c r="R102" s="2">
        <f>K102/H102</f>
        <v/>
      </c>
      <c r="S102" s="2">
        <f>L102/H102</f>
        <v/>
      </c>
      <c r="T102" s="2">
        <f>M102/H102</f>
        <v/>
      </c>
      <c r="U102" s="2">
        <f>N102/H102</f>
        <v/>
      </c>
      <c r="V102" s="2">
        <f>O102/H102</f>
        <v/>
      </c>
      <c r="W102" s="2">
        <f>P102/H102</f>
        <v/>
      </c>
      <c r="X102" s="2">
        <f>Q102/H102</f>
        <v/>
      </c>
      <c r="Y102" s="5">
        <f>IF(R102&gt;1,"1","2")</f>
        <v/>
      </c>
      <c r="Z102" s="5">
        <f>IF(S102&gt;1,"1","2")</f>
        <v/>
      </c>
      <c r="AA102" s="5">
        <f>IF(T102&gt;1,"1","2")</f>
        <v/>
      </c>
      <c r="AB102" s="5">
        <f>IF(U102&gt;1,"1","2")</f>
        <v/>
      </c>
      <c r="AC102" s="5">
        <f>IF(V102&gt;1,"1","2")</f>
        <v/>
      </c>
      <c r="AD102" s="5">
        <f>IF(W102&gt;1,"1","2")</f>
        <v/>
      </c>
      <c r="AE102" s="5">
        <f>IF(X102&gt;1,"1","2")</f>
        <v/>
      </c>
      <c r="AF102" t="n">
        <v>-5.154073</v>
      </c>
      <c r="AG102" t="n">
        <v>119.430798</v>
      </c>
    </row>
    <row r="103" ht="14.4" customHeight="1">
      <c r="A103" s="14" t="n">
        <v>100</v>
      </c>
      <c r="B103" s="15" t="inlineStr">
        <is>
          <t>Adm</t>
        </is>
      </c>
      <c r="C103" s="10" t="n">
        <v>12</v>
      </c>
      <c r="D103" s="10" t="n">
        <v>28</v>
      </c>
      <c r="E103" s="17" t="n">
        <v>365</v>
      </c>
      <c r="F103" s="21" t="n">
        <v>0.0629</v>
      </c>
      <c r="G103" s="10" t="n">
        <v>900</v>
      </c>
      <c r="H103" s="13" t="n">
        <v>0.02</v>
      </c>
      <c r="I103" s="18" t="n">
        <v>10950</v>
      </c>
      <c r="J103" s="20" t="n">
        <v>12</v>
      </c>
      <c r="K103" s="19">
        <f>(F103*G103*E103*J103)/(D103*I103)</f>
        <v/>
      </c>
      <c r="L103" s="2">
        <f>(F103*G103*E103*5)/(D103*I103)</f>
        <v/>
      </c>
      <c r="M103" s="2">
        <f>(F103*G103*E103*10)/(D103*I103)</f>
        <v/>
      </c>
      <c r="N103" s="2">
        <f>(F103*G103*E103*15)/(D103*I103)</f>
        <v/>
      </c>
      <c r="O103" s="2">
        <f>(F103*G103*E103*20)/(D103*I103)</f>
        <v/>
      </c>
      <c r="P103" s="2">
        <f>(F103*G103*E103*25)/(D103*I103)</f>
        <v/>
      </c>
      <c r="Q103" s="2">
        <f>(F103*G103*E103*30)/(D103*I103)</f>
        <v/>
      </c>
      <c r="R103" s="2">
        <f>K103/H103</f>
        <v/>
      </c>
      <c r="S103" s="2">
        <f>L103/H103</f>
        <v/>
      </c>
      <c r="T103" s="2">
        <f>M103/H103</f>
        <v/>
      </c>
      <c r="U103" s="2">
        <f>N103/H103</f>
        <v/>
      </c>
      <c r="V103" s="2">
        <f>O103/H103</f>
        <v/>
      </c>
      <c r="W103" s="2">
        <f>P103/H103</f>
        <v/>
      </c>
      <c r="X103" s="2">
        <f>Q103/H103</f>
        <v/>
      </c>
      <c r="Y103" s="5">
        <f>IF(R103&gt;1,"1","2")</f>
        <v/>
      </c>
      <c r="Z103" s="5">
        <f>IF(S103&gt;1,"1","2")</f>
        <v/>
      </c>
      <c r="AA103" s="5">
        <f>IF(T103&gt;1,"1","2")</f>
        <v/>
      </c>
      <c r="AB103" s="5">
        <f>IF(U103&gt;1,"1","2")</f>
        <v/>
      </c>
      <c r="AC103" s="5">
        <f>IF(V103&gt;1,"1","2")</f>
        <v/>
      </c>
      <c r="AD103" s="5">
        <f>IF(W103&gt;1,"1","2")</f>
        <v/>
      </c>
      <c r="AE103" s="5">
        <f>IF(X103&gt;1,"1","2")</f>
        <v/>
      </c>
      <c r="AF103" t="n">
        <v>-5.120838</v>
      </c>
      <c r="AG103" t="n">
        <v>119.422815</v>
      </c>
    </row>
    <row r="104"/>
    <row r="105">
      <c r="A105" s="3" t="inlineStr">
        <is>
          <t>Interpretasi RQ</t>
        </is>
      </c>
      <c r="AF105" t="n">
        <v>-5.124876</v>
      </c>
      <c r="AG105" t="n">
        <v>119.417456</v>
      </c>
    </row>
    <row r="106">
      <c r="A106" s="3" t="inlineStr">
        <is>
          <t>1: Tidak aman</t>
        </is>
      </c>
      <c r="AF106" t="n">
        <v>-5.131573</v>
      </c>
      <c r="AG106" t="n">
        <v>119.445055</v>
      </c>
    </row>
    <row r="107">
      <c r="A107" s="3" t="inlineStr">
        <is>
          <t>2: Aman</t>
        </is>
      </c>
      <c r="AF107" t="n">
        <v>-5.150141</v>
      </c>
      <c r="AG107" t="n">
        <v>119.429064</v>
      </c>
    </row>
  </sheetData>
  <mergeCells count="31">
    <mergeCell ref="AB1:AB2"/>
    <mergeCell ref="AD1:AD2"/>
    <mergeCell ref="J1:J2"/>
    <mergeCell ref="C1:C2"/>
    <mergeCell ref="E1:E2"/>
    <mergeCell ref="K1:K2"/>
    <mergeCell ref="V1:V2"/>
    <mergeCell ref="M1:M2"/>
    <mergeCell ref="O1:O2"/>
    <mergeCell ref="Q1:Q2"/>
    <mergeCell ref="W1:W2"/>
    <mergeCell ref="Y1:Y2"/>
    <mergeCell ref="B1:B2"/>
    <mergeCell ref="AC1:AC2"/>
    <mergeCell ref="L1:L2"/>
    <mergeCell ref="AE1:AE2"/>
    <mergeCell ref="N1:N2"/>
    <mergeCell ref="T1:T2"/>
    <mergeCell ref="X1:X2"/>
    <mergeCell ref="G1:G2"/>
    <mergeCell ref="I1:I2"/>
    <mergeCell ref="Z1:Z2"/>
    <mergeCell ref="S1:S2"/>
    <mergeCell ref="U1:U2"/>
    <mergeCell ref="D1:D2"/>
    <mergeCell ref="R1:R2"/>
    <mergeCell ref="F1:F2"/>
    <mergeCell ref="H1:H2"/>
    <mergeCell ref="AA1:AA2"/>
    <mergeCell ref="P1:P2"/>
    <mergeCell ref="A1:A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AI107"/>
  <sheetViews>
    <sheetView workbookViewId="0">
      <selection activeCell="F4" sqref="F4:F103"/>
    </sheetView>
  </sheetViews>
  <sheetFormatPr baseColWidth="8" defaultColWidth="9.109375" defaultRowHeight="13.8"/>
  <cols>
    <col width="5.33203125" customWidth="1" style="3" min="1" max="1"/>
    <col width="13" customWidth="1" style="3" min="2" max="2"/>
    <col width="8.44140625" customWidth="1" style="3" min="3" max="3"/>
    <col width="8.5546875" customWidth="1" style="3" min="4" max="4"/>
    <col width="5" customWidth="1" style="6" min="5" max="5"/>
    <col width="10.6640625" customWidth="1" style="3" min="6" max="6"/>
    <col width="9.109375" customWidth="1" style="3" min="7" max="10"/>
    <col width="10" bestFit="1" customWidth="1" style="3" min="11" max="11"/>
    <col width="10.88671875" customWidth="1" style="3" min="12" max="25"/>
    <col width="9.5546875" bestFit="1" customWidth="1" style="3" min="26" max="26"/>
    <col width="9.109375" customWidth="1" style="3" min="27" max="16384"/>
  </cols>
  <sheetData>
    <row r="1" ht="15" customHeight="1">
      <c r="A1" s="25" t="inlineStr">
        <is>
          <t>No</t>
        </is>
      </c>
      <c r="B1" s="26" t="inlineStr">
        <is>
          <t>Responden</t>
        </is>
      </c>
      <c r="C1" s="26" t="inlineStr">
        <is>
          <t>Umur</t>
        </is>
      </c>
      <c r="D1" s="26" t="inlineStr">
        <is>
          <t>Wb</t>
        </is>
      </c>
      <c r="E1" s="26" t="inlineStr">
        <is>
          <t>f</t>
        </is>
      </c>
      <c r="F1" s="23" t="inlineStr">
        <is>
          <t>C</t>
        </is>
      </c>
      <c r="G1" s="23" t="inlineStr">
        <is>
          <t>R</t>
        </is>
      </c>
      <c r="H1" s="23" t="inlineStr">
        <is>
          <t>RfD</t>
        </is>
      </c>
      <c r="I1" s="26" t="inlineStr">
        <is>
          <t>tavg</t>
        </is>
      </c>
      <c r="J1" s="23" t="inlineStr">
        <is>
          <t>Dt (realtime)</t>
        </is>
      </c>
      <c r="K1" s="23" t="inlineStr">
        <is>
          <t>Intake (Dt= realtime)</t>
        </is>
      </c>
      <c r="L1" s="23" t="inlineStr">
        <is>
          <t>Intake (Dt=5th)</t>
        </is>
      </c>
      <c r="M1" s="23" t="inlineStr">
        <is>
          <t>Intake (Dt=10th)</t>
        </is>
      </c>
      <c r="N1" s="23" t="inlineStr">
        <is>
          <t>Intake (Dt=15th)</t>
        </is>
      </c>
      <c r="O1" s="23" t="inlineStr">
        <is>
          <t>Intake (Dt=20th)</t>
        </is>
      </c>
      <c r="P1" s="23" t="inlineStr">
        <is>
          <t>Intake (Dt=25th)</t>
        </is>
      </c>
      <c r="Q1" s="23" t="inlineStr">
        <is>
          <t>Intake (Dt=30th)</t>
        </is>
      </c>
      <c r="R1" s="23" t="inlineStr">
        <is>
          <t>RQ (Dt=realtime)</t>
        </is>
      </c>
      <c r="S1" s="23" t="inlineStr">
        <is>
          <t>RQ (Dt=5th)</t>
        </is>
      </c>
      <c r="T1" s="23" t="inlineStr">
        <is>
          <t>RQ (Dt=10th)</t>
        </is>
      </c>
      <c r="U1" s="23" t="inlineStr">
        <is>
          <t>RQ (Dt=15th)</t>
        </is>
      </c>
      <c r="V1" s="23" t="inlineStr">
        <is>
          <t>RQ (Dt=20th)</t>
        </is>
      </c>
      <c r="W1" s="23" t="inlineStr">
        <is>
          <t>RQ (Dt=25th)</t>
        </is>
      </c>
      <c r="X1" s="23" t="inlineStr">
        <is>
          <t>RQ (Dt=30th)</t>
        </is>
      </c>
      <c r="Y1" s="23" t="inlineStr">
        <is>
          <t>Interpretasi RQ (realtime)</t>
        </is>
      </c>
      <c r="Z1" s="23" t="inlineStr">
        <is>
          <t>Interpretasi RQ (5 tahun)</t>
        </is>
      </c>
      <c r="AA1" s="23" t="inlineStr">
        <is>
          <t>Interpretasi RQ (10 tahun)</t>
        </is>
      </c>
      <c r="AB1" s="23" t="inlineStr">
        <is>
          <t>Interpretasi RQ (15 tahun)</t>
        </is>
      </c>
      <c r="AC1" s="23" t="inlineStr">
        <is>
          <t>Interpretasi RQ (20 tahun)</t>
        </is>
      </c>
      <c r="AD1" s="23" t="inlineStr">
        <is>
          <t>Interpretasi RQ (25 tahun)</t>
        </is>
      </c>
      <c r="AE1" s="23" t="inlineStr">
        <is>
          <t>Interpretasi RQ (30 tahun)</t>
        </is>
      </c>
      <c r="AF1" t="inlineStr">
        <is>
          <t>Latitude</t>
        </is>
      </c>
      <c r="AG1" t="inlineStr">
        <is>
          <t>Longitude</t>
        </is>
      </c>
    </row>
    <row r="2" ht="30.75" customHeight="1">
      <c r="A2" s="29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</row>
    <row r="3" ht="13.2" customFormat="1" customHeight="1" s="9">
      <c r="A3" s="7" t="n">
        <v>1</v>
      </c>
      <c r="B3" s="8" t="n">
        <v>2</v>
      </c>
      <c r="C3" s="7" t="n">
        <v>3</v>
      </c>
      <c r="D3" s="8" t="n">
        <v>4</v>
      </c>
      <c r="E3" s="7" t="n">
        <v>5</v>
      </c>
      <c r="F3" s="8" t="n">
        <v>6</v>
      </c>
      <c r="G3" s="7" t="n">
        <v>7</v>
      </c>
      <c r="H3" s="8" t="n">
        <v>8</v>
      </c>
      <c r="I3" s="7" t="n">
        <v>9</v>
      </c>
      <c r="J3" s="8" t="n">
        <v>10</v>
      </c>
      <c r="K3" s="7" t="n">
        <v>11</v>
      </c>
      <c r="L3" s="8" t="n">
        <v>12</v>
      </c>
      <c r="M3" s="7" t="n">
        <v>13</v>
      </c>
      <c r="N3" s="8" t="n">
        <v>14</v>
      </c>
      <c r="O3" s="7" t="n">
        <v>15</v>
      </c>
      <c r="P3" s="8" t="n">
        <v>16</v>
      </c>
      <c r="Q3" s="7" t="n">
        <v>17</v>
      </c>
      <c r="R3" s="8" t="n">
        <v>18</v>
      </c>
      <c r="S3" s="7" t="n">
        <v>19</v>
      </c>
      <c r="T3" s="8" t="n">
        <v>20</v>
      </c>
      <c r="U3" s="7" t="n">
        <v>21</v>
      </c>
      <c r="V3" s="8" t="n">
        <v>22</v>
      </c>
      <c r="W3" s="7" t="n">
        <v>23</v>
      </c>
      <c r="X3" s="8" t="n">
        <v>24</v>
      </c>
      <c r="Y3" s="7" t="n">
        <v>25</v>
      </c>
      <c r="Z3" s="8" t="n">
        <v>26</v>
      </c>
      <c r="AA3" s="7" t="n">
        <v>27</v>
      </c>
      <c r="AB3" s="8" t="n">
        <v>28</v>
      </c>
      <c r="AC3" s="7" t="n">
        <v>29</v>
      </c>
      <c r="AD3" s="8" t="n">
        <v>30</v>
      </c>
      <c r="AE3" s="7" t="n">
        <v>31</v>
      </c>
      <c r="AF3" t="n">
        <v>-5.150481</v>
      </c>
      <c r="AG3" t="n">
        <v>119.427211</v>
      </c>
    </row>
    <row r="4" ht="14.4" customHeight="1">
      <c r="A4" s="14" t="n">
        <v>1</v>
      </c>
      <c r="B4" s="15" t="inlineStr">
        <is>
          <t>Sp</t>
        </is>
      </c>
      <c r="C4" s="10" t="n">
        <v>9</v>
      </c>
      <c r="D4" s="10" t="n">
        <v>25</v>
      </c>
      <c r="E4" s="16" t="n">
        <v>365</v>
      </c>
      <c r="F4" s="22" t="n">
        <v>0.0002</v>
      </c>
      <c r="G4" s="10" t="n">
        <v>1500</v>
      </c>
      <c r="H4" s="12" t="n">
        <v>0.0003</v>
      </c>
      <c r="I4" s="18" t="n">
        <v>10950</v>
      </c>
      <c r="J4" s="20" t="n">
        <v>9</v>
      </c>
      <c r="K4" s="19">
        <f>(F4*G4*E4*J4)/(D4*I4)</f>
        <v/>
      </c>
      <c r="L4" s="2">
        <f>(F4*G4*E4*5)/(D4*I4)</f>
        <v/>
      </c>
      <c r="M4" s="2">
        <f>(F4*G4*E4*10)/(D4*I4)</f>
        <v/>
      </c>
      <c r="N4" s="2">
        <f>(F4*G4*E4*15)/(D4*I4)</f>
        <v/>
      </c>
      <c r="O4" s="2">
        <f>(F4*G4*E4*20)/(D4*I4)</f>
        <v/>
      </c>
      <c r="P4" s="2">
        <f>(F4*G4*E4*25)/(D4*I4)</f>
        <v/>
      </c>
      <c r="Q4" s="2">
        <f>(F4*G4*E4*30)/(D4*I4)</f>
        <v/>
      </c>
      <c r="R4" s="2">
        <f>K4/H4</f>
        <v/>
      </c>
      <c r="S4" s="2">
        <f>L4/H4</f>
        <v/>
      </c>
      <c r="T4" s="2">
        <f>M4/H4</f>
        <v/>
      </c>
      <c r="U4" s="2">
        <f>N4/H4</f>
        <v/>
      </c>
      <c r="V4" s="2">
        <f>O4/H4</f>
        <v/>
      </c>
      <c r="W4" s="2">
        <f>P4/H4</f>
        <v/>
      </c>
      <c r="X4" s="2">
        <f>Q4/H4</f>
        <v/>
      </c>
      <c r="Y4" s="5">
        <f>IF(R4&gt;1,"1","2")</f>
        <v/>
      </c>
      <c r="Z4" s="5">
        <f>IF(S4&gt;1,"1","2")</f>
        <v/>
      </c>
      <c r="AA4" s="5">
        <f>IF(T4&gt;1,"1","2")</f>
        <v/>
      </c>
      <c r="AB4" s="5">
        <f>IF(U4&gt;1,"1","2")</f>
        <v/>
      </c>
      <c r="AC4" s="5">
        <f>IF(V4&gt;1,"1","2")</f>
        <v/>
      </c>
      <c r="AD4" s="5">
        <f>IF(W4&gt;1,"1","2")</f>
        <v/>
      </c>
      <c r="AE4" s="5">
        <f>IF(X4&gt;1,"1","2")</f>
        <v/>
      </c>
      <c r="AF4" t="n">
        <v>-5.150558</v>
      </c>
      <c r="AG4" t="n">
        <v>119.405158</v>
      </c>
    </row>
    <row r="5" ht="14.4" customHeight="1">
      <c r="A5" s="14" t="n">
        <v>2</v>
      </c>
      <c r="B5" s="15" t="inlineStr">
        <is>
          <t>Gi</t>
        </is>
      </c>
      <c r="C5" s="10" t="n">
        <v>9</v>
      </c>
      <c r="D5" s="10" t="n">
        <v>25</v>
      </c>
      <c r="E5" s="16" t="n">
        <v>365</v>
      </c>
      <c r="F5" s="22" t="n">
        <v>0.0002</v>
      </c>
      <c r="G5" s="10" t="n">
        <v>900</v>
      </c>
      <c r="H5" s="12" t="n">
        <v>0.0003</v>
      </c>
      <c r="I5" s="18" t="n">
        <v>10950</v>
      </c>
      <c r="J5" s="20" t="n">
        <v>9</v>
      </c>
      <c r="K5" s="19">
        <f>(F5*G5*E5*J5)/(D5*I5)</f>
        <v/>
      </c>
      <c r="L5" s="2">
        <f>(F5*G5*E5*5)/(D5*I5)</f>
        <v/>
      </c>
      <c r="M5" s="2">
        <f>(F5*G5*E5*10)/(D5*I5)</f>
        <v/>
      </c>
      <c r="N5" s="2">
        <f>(F5*G5*E5*15)/(D5*I5)</f>
        <v/>
      </c>
      <c r="O5" s="2">
        <f>(F5*G5*E5*20)/(D5*I5)</f>
        <v/>
      </c>
      <c r="P5" s="2">
        <f>(F5*G5*E5*25)/(D5*I5)</f>
        <v/>
      </c>
      <c r="Q5" s="2">
        <f>(F5*G5*E5*30)/(D5*I5)</f>
        <v/>
      </c>
      <c r="R5" s="2">
        <f>K5/H5</f>
        <v/>
      </c>
      <c r="S5" s="2">
        <f>L5/H5</f>
        <v/>
      </c>
      <c r="T5" s="2">
        <f>M5/H5</f>
        <v/>
      </c>
      <c r="U5" s="2">
        <f>N5/H5</f>
        <v/>
      </c>
      <c r="V5" s="2">
        <f>O5/H5</f>
        <v/>
      </c>
      <c r="W5" s="2">
        <f>P5/H5</f>
        <v/>
      </c>
      <c r="X5" s="2">
        <f>Q5/H5</f>
        <v/>
      </c>
      <c r="Y5" s="5">
        <f>IF(R5&gt;1,"1","2")</f>
        <v/>
      </c>
      <c r="Z5" s="5">
        <f>IF(S5&gt;1,"1","2")</f>
        <v/>
      </c>
      <c r="AA5" s="5">
        <f>IF(T5&gt;1,"1","2")</f>
        <v/>
      </c>
      <c r="AB5" s="5">
        <f>IF(U5&gt;1,"1","2")</f>
        <v/>
      </c>
      <c r="AC5" s="5">
        <f>IF(V5&gt;1,"1","2")</f>
        <v/>
      </c>
      <c r="AD5" s="5">
        <f>IF(W5&gt;1,"1","2")</f>
        <v/>
      </c>
      <c r="AE5" s="5">
        <f>IF(X5&gt;1,"1","2")</f>
        <v/>
      </c>
      <c r="AF5" t="n">
        <v>-5.135084</v>
      </c>
      <c r="AG5" t="n">
        <v>119.437089</v>
      </c>
    </row>
    <row r="6" ht="14.4" customHeight="1">
      <c r="A6" s="14" t="n">
        <v>3</v>
      </c>
      <c r="B6" s="15" t="inlineStr">
        <is>
          <t>Gia</t>
        </is>
      </c>
      <c r="C6" s="10" t="n">
        <v>9</v>
      </c>
      <c r="D6" s="10" t="n">
        <v>25</v>
      </c>
      <c r="E6" s="16" t="n">
        <v>365</v>
      </c>
      <c r="F6" s="22" t="n">
        <v>0.0002</v>
      </c>
      <c r="G6" s="10" t="n">
        <v>900</v>
      </c>
      <c r="H6" s="12" t="n">
        <v>0.0003</v>
      </c>
      <c r="I6" s="18" t="n">
        <v>10950</v>
      </c>
      <c r="J6" s="20" t="n">
        <v>9</v>
      </c>
      <c r="K6" s="19">
        <f>(F6*G6*E6*J6)/(D6*I6)</f>
        <v/>
      </c>
      <c r="L6" s="2">
        <f>(F6*G6*E6*5)/(D6*I6)</f>
        <v/>
      </c>
      <c r="M6" s="2">
        <f>(F6*G6*E6*10)/(D6*I6)</f>
        <v/>
      </c>
      <c r="N6" s="2">
        <f>(F6*G6*E6*15)/(D6*I6)</f>
        <v/>
      </c>
      <c r="O6" s="2">
        <f>(F6*G6*E6*20)/(D6*I6)</f>
        <v/>
      </c>
      <c r="P6" s="2">
        <f>(F6*G6*E6*25)/(D6*I6)</f>
        <v/>
      </c>
      <c r="Q6" s="2">
        <f>(F6*G6*E6*30)/(D6*I6)</f>
        <v/>
      </c>
      <c r="R6" s="2">
        <f>K6/H6</f>
        <v/>
      </c>
      <c r="S6" s="2">
        <f>L6/H6</f>
        <v/>
      </c>
      <c r="T6" s="2">
        <f>M6/H6</f>
        <v/>
      </c>
      <c r="U6" s="2">
        <f>N6/H6</f>
        <v/>
      </c>
      <c r="V6" s="2">
        <f>O6/H6</f>
        <v/>
      </c>
      <c r="W6" s="2">
        <f>P6/H6</f>
        <v/>
      </c>
      <c r="X6" s="2">
        <f>Q6/H6</f>
        <v/>
      </c>
      <c r="Y6" s="5">
        <f>IF(R6&gt;1,"1","2")</f>
        <v/>
      </c>
      <c r="Z6" s="5">
        <f>IF(S6&gt;1,"1","2")</f>
        <v/>
      </c>
      <c r="AA6" s="5">
        <f>IF(T6&gt;1,"1","2")</f>
        <v/>
      </c>
      <c r="AB6" s="5">
        <f>IF(U6&gt;1,"1","2")</f>
        <v/>
      </c>
      <c r="AC6" s="5">
        <f>IF(V6&gt;1,"1","2")</f>
        <v/>
      </c>
      <c r="AD6" s="5">
        <f>IF(W6&gt;1,"1","2")</f>
        <v/>
      </c>
      <c r="AE6" s="5">
        <f>IF(X6&gt;1,"1","2")</f>
        <v/>
      </c>
      <c r="AF6" t="n">
        <v>-5.128266</v>
      </c>
      <c r="AG6" t="n">
        <v>119.441098</v>
      </c>
    </row>
    <row r="7" ht="14.4" customHeight="1">
      <c r="A7" s="14" t="n">
        <v>4</v>
      </c>
      <c r="B7" s="15" t="inlineStr">
        <is>
          <t>Rsp</t>
        </is>
      </c>
      <c r="C7" s="10" t="n">
        <v>9</v>
      </c>
      <c r="D7" s="10" t="n">
        <v>23</v>
      </c>
      <c r="E7" s="16" t="n">
        <v>365</v>
      </c>
      <c r="F7" s="22" t="n">
        <v>0.0002</v>
      </c>
      <c r="G7" s="10" t="n">
        <v>1500</v>
      </c>
      <c r="H7" s="12" t="n">
        <v>0.0003</v>
      </c>
      <c r="I7" s="18" t="n">
        <v>10950</v>
      </c>
      <c r="J7" s="20" t="n">
        <v>9</v>
      </c>
      <c r="K7" s="19">
        <f>(F7*G7*E7*J7)/(D7*I7)</f>
        <v/>
      </c>
      <c r="L7" s="2">
        <f>(F7*G7*E7*5)/(D7*I7)</f>
        <v/>
      </c>
      <c r="M7" s="2">
        <f>(F7*G7*E7*10)/(D7*I7)</f>
        <v/>
      </c>
      <c r="N7" s="2">
        <f>(F7*G7*E7*15)/(D7*I7)</f>
        <v/>
      </c>
      <c r="O7" s="2">
        <f>(F7*G7*E7*20)/(D7*I7)</f>
        <v/>
      </c>
      <c r="P7" s="2">
        <f>(F7*G7*E7*25)/(D7*I7)</f>
        <v/>
      </c>
      <c r="Q7" s="2">
        <f>(F7*G7*E7*30)/(D7*I7)</f>
        <v/>
      </c>
      <c r="R7" s="2">
        <f>K7/H7</f>
        <v/>
      </c>
      <c r="S7" s="2">
        <f>L7/H7</f>
        <v/>
      </c>
      <c r="T7" s="2">
        <f>M7/H7</f>
        <v/>
      </c>
      <c r="U7" s="2">
        <f>N7/H7</f>
        <v/>
      </c>
      <c r="V7" s="2">
        <f>O7/H7</f>
        <v/>
      </c>
      <c r="W7" s="2">
        <f>P7/H7</f>
        <v/>
      </c>
      <c r="X7" s="2">
        <f>Q7/H7</f>
        <v/>
      </c>
      <c r="Y7" s="5">
        <f>IF(R7&gt;1,"1","2")</f>
        <v/>
      </c>
      <c r="Z7" s="5">
        <f>IF(S7&gt;1,"1","2")</f>
        <v/>
      </c>
      <c r="AA7" s="5">
        <f>IF(T7&gt;1,"1","2")</f>
        <v/>
      </c>
      <c r="AB7" s="5">
        <f>IF(U7&gt;1,"1","2")</f>
        <v/>
      </c>
      <c r="AC7" s="5">
        <f>IF(V7&gt;1,"1","2")</f>
        <v/>
      </c>
      <c r="AD7" s="5">
        <f>IF(W7&gt;1,"1","2")</f>
        <v/>
      </c>
      <c r="AE7" s="5">
        <f>IF(X7&gt;1,"1","2")</f>
        <v/>
      </c>
      <c r="AF7" t="n">
        <v>-5.147047</v>
      </c>
      <c r="AG7" t="n">
        <v>119.407542</v>
      </c>
    </row>
    <row r="8" ht="14.4" customHeight="1">
      <c r="A8" s="14" t="n">
        <v>5</v>
      </c>
      <c r="B8" s="15" t="inlineStr">
        <is>
          <t>Nk</t>
        </is>
      </c>
      <c r="C8" s="10" t="n">
        <v>9</v>
      </c>
      <c r="D8" s="10" t="n">
        <v>20</v>
      </c>
      <c r="E8" s="16" t="n">
        <v>365</v>
      </c>
      <c r="F8" s="22" t="n">
        <v>0.0002</v>
      </c>
      <c r="G8" s="10" t="n">
        <v>2100</v>
      </c>
      <c r="H8" s="12" t="n">
        <v>0.0003</v>
      </c>
      <c r="I8" s="18" t="n">
        <v>10950</v>
      </c>
      <c r="J8" s="20" t="n">
        <v>9</v>
      </c>
      <c r="K8" s="19">
        <f>(F8*G8*E8*J8)/(D8*I8)</f>
        <v/>
      </c>
      <c r="L8" s="2">
        <f>(F8*G8*E8*5)/(D8*I8)</f>
        <v/>
      </c>
      <c r="M8" s="2">
        <f>(F8*G8*E8*10)/(D8*I8)</f>
        <v/>
      </c>
      <c r="N8" s="2">
        <f>(F8*G8*E8*15)/(D8*I8)</f>
        <v/>
      </c>
      <c r="O8" s="2">
        <f>(F8*G8*E8*20)/(D8*I8)</f>
        <v/>
      </c>
      <c r="P8" s="2">
        <f>(F8*G8*E8*25)/(D8*I8)</f>
        <v/>
      </c>
      <c r="Q8" s="2">
        <f>(F8*G8*E8*30)/(D8*I8)</f>
        <v/>
      </c>
      <c r="R8" s="2">
        <f>K8/H8</f>
        <v/>
      </c>
      <c r="S8" s="2">
        <f>L8/H8</f>
        <v/>
      </c>
      <c r="T8" s="2">
        <f>M8/H8</f>
        <v/>
      </c>
      <c r="U8" s="2">
        <f>N8/H8</f>
        <v/>
      </c>
      <c r="V8" s="2">
        <f>O8/H8</f>
        <v/>
      </c>
      <c r="W8" s="2">
        <f>P8/H8</f>
        <v/>
      </c>
      <c r="X8" s="2">
        <f>Q8/H8</f>
        <v/>
      </c>
      <c r="Y8" s="5">
        <f>IF(R8&gt;1,"1","2")</f>
        <v/>
      </c>
      <c r="Z8" s="5">
        <f>IF(S8&gt;1,"1","2")</f>
        <v/>
      </c>
      <c r="AA8" s="5">
        <f>IF(T8&gt;1,"1","2")</f>
        <v/>
      </c>
      <c r="AB8" s="5">
        <f>IF(U8&gt;1,"1","2")</f>
        <v/>
      </c>
      <c r="AC8" s="5">
        <f>IF(V8&gt;1,"1","2")</f>
        <v/>
      </c>
      <c r="AD8" s="5">
        <f>IF(W8&gt;1,"1","2")</f>
        <v/>
      </c>
      <c r="AE8" s="5">
        <f>IF(X8&gt;1,"1","2")</f>
        <v/>
      </c>
      <c r="AF8" t="n">
        <v>-5.150932</v>
      </c>
      <c r="AG8" t="n">
        <v>119.448115</v>
      </c>
    </row>
    <row r="9" ht="14.4" customHeight="1">
      <c r="A9" s="14" t="n">
        <v>6</v>
      </c>
      <c r="B9" s="15" t="inlineStr">
        <is>
          <t>Tsy</t>
        </is>
      </c>
      <c r="C9" s="10" t="n">
        <v>9</v>
      </c>
      <c r="D9" s="10" t="n">
        <v>40</v>
      </c>
      <c r="E9" s="16" t="n">
        <v>365</v>
      </c>
      <c r="F9" s="22" t="n">
        <v>0.0002</v>
      </c>
      <c r="G9" s="10" t="n">
        <v>900</v>
      </c>
      <c r="H9" s="12" t="n">
        <v>0.0003</v>
      </c>
      <c r="I9" s="18" t="n">
        <v>10950</v>
      </c>
      <c r="J9" s="20" t="n">
        <v>5</v>
      </c>
      <c r="K9" s="19">
        <f>(F9*G9*E9*J9)/(D9*I9)</f>
        <v/>
      </c>
      <c r="L9" s="2">
        <f>(F9*G9*E9*5)/(D9*I9)</f>
        <v/>
      </c>
      <c r="M9" s="2">
        <f>(F9*G9*E9*10)/(D9*I9)</f>
        <v/>
      </c>
      <c r="N9" s="2">
        <f>(F9*G9*E9*15)/(D9*I9)</f>
        <v/>
      </c>
      <c r="O9" s="2">
        <f>(F9*G9*E9*20)/(D9*I9)</f>
        <v/>
      </c>
      <c r="P9" s="2">
        <f>(F9*G9*E9*25)/(D9*I9)</f>
        <v/>
      </c>
      <c r="Q9" s="2">
        <f>(F9*G9*E9*30)/(D9*I9)</f>
        <v/>
      </c>
      <c r="R9" s="2">
        <f>K9/H9</f>
        <v/>
      </c>
      <c r="S9" s="2">
        <f>L9/H9</f>
        <v/>
      </c>
      <c r="T9" s="2">
        <f>M9/H9</f>
        <v/>
      </c>
      <c r="U9" s="2">
        <f>N9/H9</f>
        <v/>
      </c>
      <c r="V9" s="2">
        <f>O9/H9</f>
        <v/>
      </c>
      <c r="W9" s="2">
        <f>P9/H9</f>
        <v/>
      </c>
      <c r="X9" s="2">
        <f>Q9/H9</f>
        <v/>
      </c>
      <c r="Y9" s="5">
        <f>IF(R9&gt;1,"1","2")</f>
        <v/>
      </c>
      <c r="Z9" s="5">
        <f>IF(S9&gt;1,"1","2")</f>
        <v/>
      </c>
      <c r="AA9" s="5">
        <f>IF(T9&gt;1,"1","2")</f>
        <v/>
      </c>
      <c r="AB9" s="5">
        <f>IF(U9&gt;1,"1","2")</f>
        <v/>
      </c>
      <c r="AC9" s="5">
        <f>IF(V9&gt;1,"1","2")</f>
        <v/>
      </c>
      <c r="AD9" s="5">
        <f>IF(W9&gt;1,"1","2")</f>
        <v/>
      </c>
      <c r="AE9" s="5">
        <f>IF(X9&gt;1,"1","2")</f>
        <v/>
      </c>
      <c r="AF9" t="n">
        <v>-5.14148</v>
      </c>
      <c r="AG9" t="n">
        <v>119.418666</v>
      </c>
    </row>
    <row r="10" ht="14.4" customHeight="1">
      <c r="A10" s="14" t="n">
        <v>7</v>
      </c>
      <c r="B10" s="15" t="inlineStr">
        <is>
          <t>Alf</t>
        </is>
      </c>
      <c r="C10" s="10" t="n">
        <v>9</v>
      </c>
      <c r="D10" s="10" t="n">
        <v>22</v>
      </c>
      <c r="E10" s="16" t="n">
        <v>365</v>
      </c>
      <c r="F10" s="22" t="n">
        <v>0.0002</v>
      </c>
      <c r="G10" s="10" t="n">
        <v>900</v>
      </c>
      <c r="H10" s="12" t="n">
        <v>0.0003</v>
      </c>
      <c r="I10" s="18" t="n">
        <v>10950</v>
      </c>
      <c r="J10" s="20" t="n">
        <v>9</v>
      </c>
      <c r="K10" s="19">
        <f>(F10*G10*E10*J10)/(D10*I10)</f>
        <v/>
      </c>
      <c r="L10" s="2">
        <f>(F10*G10*E10*5)/(D10*I10)</f>
        <v/>
      </c>
      <c r="M10" s="2">
        <f>(F10*G10*E10*10)/(D10*I10)</f>
        <v/>
      </c>
      <c r="N10" s="2">
        <f>(F10*G10*E10*15)/(D10*I10)</f>
        <v/>
      </c>
      <c r="O10" s="2">
        <f>(F10*G10*E10*20)/(D10*I10)</f>
        <v/>
      </c>
      <c r="P10" s="2">
        <f>(F10*G10*E10*25)/(D10*I10)</f>
        <v/>
      </c>
      <c r="Q10" s="2">
        <f>(F10*G10*E10*30)/(D10*I10)</f>
        <v/>
      </c>
      <c r="R10" s="2">
        <f>K10/H10</f>
        <v/>
      </c>
      <c r="S10" s="2">
        <f>L10/H10</f>
        <v/>
      </c>
      <c r="T10" s="2">
        <f>M10/H10</f>
        <v/>
      </c>
      <c r="U10" s="2">
        <f>N10/H10</f>
        <v/>
      </c>
      <c r="V10" s="2">
        <f>O10/H10</f>
        <v/>
      </c>
      <c r="W10" s="2">
        <f>P10/H10</f>
        <v/>
      </c>
      <c r="X10" s="2">
        <f>Q10/H10</f>
        <v/>
      </c>
      <c r="Y10" s="5">
        <f>IF(R10&gt;1,"1","2")</f>
        <v/>
      </c>
      <c r="Z10" s="5">
        <f>IF(S10&gt;1,"1","2")</f>
        <v/>
      </c>
      <c r="AA10" s="5">
        <f>IF(T10&gt;1,"1","2")</f>
        <v/>
      </c>
      <c r="AB10" s="5">
        <f>IF(U10&gt;1,"1","2")</f>
        <v/>
      </c>
      <c r="AC10" s="5">
        <f>IF(V10&gt;1,"1","2")</f>
        <v/>
      </c>
      <c r="AD10" s="5">
        <f>IF(W10&gt;1,"1","2")</f>
        <v/>
      </c>
      <c r="AE10" s="5">
        <f>IF(X10&gt;1,"1","2")</f>
        <v/>
      </c>
      <c r="AF10" t="n">
        <v>-5.137144</v>
      </c>
      <c r="AG10" t="n">
        <v>119.421444</v>
      </c>
    </row>
    <row r="11" ht="14.4" customHeight="1">
      <c r="A11" s="14" t="n">
        <v>8</v>
      </c>
      <c r="B11" s="15" t="inlineStr">
        <is>
          <t>Sab</t>
        </is>
      </c>
      <c r="C11" s="10" t="n">
        <v>9</v>
      </c>
      <c r="D11" s="10" t="n">
        <v>20</v>
      </c>
      <c r="E11" s="16" t="n">
        <v>365</v>
      </c>
      <c r="F11" s="22" t="n">
        <v>0.0002</v>
      </c>
      <c r="G11" s="10" t="n">
        <v>900</v>
      </c>
      <c r="H11" s="12" t="n">
        <v>0.0003</v>
      </c>
      <c r="I11" s="18" t="n">
        <v>10950</v>
      </c>
      <c r="J11" s="20" t="n">
        <v>6</v>
      </c>
      <c r="K11" s="19">
        <f>(F11*G11*E11*J11)/(D11*I11)</f>
        <v/>
      </c>
      <c r="L11" s="2">
        <f>(F11*G11*E11*5)/(D11*I11)</f>
        <v/>
      </c>
      <c r="M11" s="2">
        <f>(F11*G11*E11*10)/(D11*I11)</f>
        <v/>
      </c>
      <c r="N11" s="2">
        <f>(F11*G11*E11*15)/(D11*I11)</f>
        <v/>
      </c>
      <c r="O11" s="2">
        <f>(F11*G11*E11*20)/(D11*I11)</f>
        <v/>
      </c>
      <c r="P11" s="2">
        <f>(F11*G11*E11*25)/(D11*I11)</f>
        <v/>
      </c>
      <c r="Q11" s="2">
        <f>(F11*G11*E11*30)/(D11*I11)</f>
        <v/>
      </c>
      <c r="R11" s="2">
        <f>K11/H11</f>
        <v/>
      </c>
      <c r="S11" s="2">
        <f>L11/H11</f>
        <v/>
      </c>
      <c r="T11" s="2">
        <f>M11/H11</f>
        <v/>
      </c>
      <c r="U11" s="2">
        <f>N11/H11</f>
        <v/>
      </c>
      <c r="V11" s="2">
        <f>O11/H11</f>
        <v/>
      </c>
      <c r="W11" s="2">
        <f>P11/H11</f>
        <v/>
      </c>
      <c r="X11" s="2">
        <f>Q11/H11</f>
        <v/>
      </c>
      <c r="Y11" s="5">
        <f>IF(R11&gt;1,"1","2")</f>
        <v/>
      </c>
      <c r="Z11" s="5">
        <f>IF(S11&gt;1,"1","2")</f>
        <v/>
      </c>
      <c r="AA11" s="5">
        <f>IF(T11&gt;1,"1","2")</f>
        <v/>
      </c>
      <c r="AB11" s="5">
        <f>IF(U11&gt;1,"1","2")</f>
        <v/>
      </c>
      <c r="AC11" s="5">
        <f>IF(V11&gt;1,"1","2")</f>
        <v/>
      </c>
      <c r="AD11" s="5">
        <f>IF(W11&gt;1,"1","2")</f>
        <v/>
      </c>
      <c r="AE11" s="5">
        <f>IF(X11&gt;1,"1","2")</f>
        <v/>
      </c>
      <c r="AF11" t="n">
        <v>-5.141905</v>
      </c>
      <c r="AG11" t="n">
        <v>119.427989</v>
      </c>
    </row>
    <row r="12" ht="14.4" customHeight="1">
      <c r="A12" s="14" t="n">
        <v>9</v>
      </c>
      <c r="B12" s="15" t="inlineStr">
        <is>
          <t>Dea</t>
        </is>
      </c>
      <c r="C12" s="10" t="n">
        <v>9</v>
      </c>
      <c r="D12" s="10" t="n">
        <v>39</v>
      </c>
      <c r="E12" s="16" t="n">
        <v>365</v>
      </c>
      <c r="F12" s="22" t="n">
        <v>0.0002</v>
      </c>
      <c r="G12" s="10" t="n">
        <v>900</v>
      </c>
      <c r="H12" s="12" t="n">
        <v>0.0003</v>
      </c>
      <c r="I12" s="18" t="n">
        <v>10950</v>
      </c>
      <c r="J12" s="20" t="n">
        <v>1</v>
      </c>
      <c r="K12" s="19">
        <f>(F12*G12*E12*J12)/(D12*I12)</f>
        <v/>
      </c>
      <c r="L12" s="2">
        <f>(F12*G12*E12*5)/(D12*I12)</f>
        <v/>
      </c>
      <c r="M12" s="2">
        <f>(F12*G12*E12*10)/(D12*I12)</f>
        <v/>
      </c>
      <c r="N12" s="2">
        <f>(F12*G12*E12*15)/(D12*I12)</f>
        <v/>
      </c>
      <c r="O12" s="2">
        <f>(F12*G12*E12*20)/(D12*I12)</f>
        <v/>
      </c>
      <c r="P12" s="2">
        <f>(F12*G12*E12*25)/(D12*I12)</f>
        <v/>
      </c>
      <c r="Q12" s="2">
        <f>(F12*G12*E12*30)/(D12*I12)</f>
        <v/>
      </c>
      <c r="R12" s="2">
        <f>K12/H12</f>
        <v/>
      </c>
      <c r="S12" s="2">
        <f>L12/H12</f>
        <v/>
      </c>
      <c r="T12" s="2">
        <f>M12/H12</f>
        <v/>
      </c>
      <c r="U12" s="2">
        <f>N12/H12</f>
        <v/>
      </c>
      <c r="V12" s="2">
        <f>O12/H12</f>
        <v/>
      </c>
      <c r="W12" s="2">
        <f>P12/H12</f>
        <v/>
      </c>
      <c r="X12" s="2">
        <f>Q12/H12</f>
        <v/>
      </c>
      <c r="Y12" s="5">
        <f>IF(R12&gt;1,"1","2")</f>
        <v/>
      </c>
      <c r="Z12" s="5">
        <f>IF(S12&gt;1,"1","2")</f>
        <v/>
      </c>
      <c r="AA12" s="5">
        <f>IF(T12&gt;1,"1","2")</f>
        <v/>
      </c>
      <c r="AB12" s="5">
        <f>IF(U12&gt;1,"1","2")</f>
        <v/>
      </c>
      <c r="AC12" s="5">
        <f>IF(V12&gt;1,"1","2")</f>
        <v/>
      </c>
      <c r="AD12" s="5">
        <f>IF(W12&gt;1,"1","2")</f>
        <v/>
      </c>
      <c r="AE12" s="5">
        <f>IF(X12&gt;1,"1","2")</f>
        <v/>
      </c>
      <c r="AF12" t="n">
        <v>-5.141017</v>
      </c>
      <c r="AG12" t="n">
        <v>119.432874</v>
      </c>
    </row>
    <row r="13" ht="14.4" customHeight="1">
      <c r="A13" s="14" t="n">
        <v>10</v>
      </c>
      <c r="B13" s="15" t="inlineStr">
        <is>
          <t>Muh</t>
        </is>
      </c>
      <c r="C13" s="10" t="n">
        <v>9</v>
      </c>
      <c r="D13" s="10" t="n">
        <v>26</v>
      </c>
      <c r="E13" s="16" t="n">
        <v>365</v>
      </c>
      <c r="F13" s="22" t="n">
        <v>0.0002</v>
      </c>
      <c r="G13" s="10" t="n">
        <v>900</v>
      </c>
      <c r="H13" s="12" t="n">
        <v>0.0003</v>
      </c>
      <c r="I13" s="18" t="n">
        <v>10950</v>
      </c>
      <c r="J13" s="20" t="n">
        <v>9</v>
      </c>
      <c r="K13" s="19">
        <f>(F13*G13*E13*J13)/(D13*I13)</f>
        <v/>
      </c>
      <c r="L13" s="2">
        <f>(F13*G13*E13*5)/(D13*I13)</f>
        <v/>
      </c>
      <c r="M13" s="2">
        <f>(F13*G13*E13*10)/(D13*I13)</f>
        <v/>
      </c>
      <c r="N13" s="2">
        <f>(F13*G13*E13*15)/(D13*I13)</f>
        <v/>
      </c>
      <c r="O13" s="2">
        <f>(F13*G13*E13*20)/(D13*I13)</f>
        <v/>
      </c>
      <c r="P13" s="2">
        <f>(F13*G13*E13*25)/(D13*I13)</f>
        <v/>
      </c>
      <c r="Q13" s="2">
        <f>(F13*G13*E13*30)/(D13*I13)</f>
        <v/>
      </c>
      <c r="R13" s="2">
        <f>K13/H13</f>
        <v/>
      </c>
      <c r="S13" s="2">
        <f>L13/H13</f>
        <v/>
      </c>
      <c r="T13" s="2">
        <f>M13/H13</f>
        <v/>
      </c>
      <c r="U13" s="2">
        <f>N13/H13</f>
        <v/>
      </c>
      <c r="V13" s="2">
        <f>O13/H13</f>
        <v/>
      </c>
      <c r="W13" s="2">
        <f>P13/H13</f>
        <v/>
      </c>
      <c r="X13" s="2">
        <f>Q13/H13</f>
        <v/>
      </c>
      <c r="Y13" s="5">
        <f>IF(R13&gt;1,"1","2")</f>
        <v/>
      </c>
      <c r="Z13" s="5">
        <f>IF(S13&gt;1,"1","2")</f>
        <v/>
      </c>
      <c r="AA13" s="5">
        <f>IF(T13&gt;1,"1","2")</f>
        <v/>
      </c>
      <c r="AB13" s="5">
        <f>IF(U13&gt;1,"1","2")</f>
        <v/>
      </c>
      <c r="AC13" s="5">
        <f>IF(V13&gt;1,"1","2")</f>
        <v/>
      </c>
      <c r="AD13" s="5">
        <f>IF(W13&gt;1,"1","2")</f>
        <v/>
      </c>
      <c r="AE13" s="5">
        <f>IF(X13&gt;1,"1","2")</f>
        <v/>
      </c>
      <c r="AF13" t="n">
        <v>-5.14964</v>
      </c>
      <c r="AG13" t="n">
        <v>119.434263</v>
      </c>
    </row>
    <row r="14" ht="14.4" customHeight="1">
      <c r="A14" s="14" t="n">
        <v>11</v>
      </c>
      <c r="B14" s="15" t="inlineStr">
        <is>
          <t>Aks</t>
        </is>
      </c>
      <c r="C14" s="10" t="n">
        <v>9</v>
      </c>
      <c r="D14" s="10" t="n">
        <v>25</v>
      </c>
      <c r="E14" s="16" t="n">
        <v>365</v>
      </c>
      <c r="F14" s="22" t="n">
        <v>0.0002</v>
      </c>
      <c r="G14" s="10" t="n">
        <v>900</v>
      </c>
      <c r="H14" s="12" t="n">
        <v>0.0003</v>
      </c>
      <c r="I14" s="18" t="n">
        <v>10950</v>
      </c>
      <c r="J14" s="20" t="n">
        <v>1</v>
      </c>
      <c r="K14" s="19">
        <f>(F14*G14*E14*J14)/(D14*I14)</f>
        <v/>
      </c>
      <c r="L14" s="2">
        <f>(F14*G14*E14*5)/(D14*I14)</f>
        <v/>
      </c>
      <c r="M14" s="2">
        <f>(F14*G14*E14*10)/(D14*I14)</f>
        <v/>
      </c>
      <c r="N14" s="2">
        <f>(F14*G14*E14*15)/(D14*I14)</f>
        <v/>
      </c>
      <c r="O14" s="2">
        <f>(F14*G14*E14*20)/(D14*I14)</f>
        <v/>
      </c>
      <c r="P14" s="2">
        <f>(F14*G14*E14*25)/(D14*I14)</f>
        <v/>
      </c>
      <c r="Q14" s="2">
        <f>(F14*G14*E14*30)/(D14*I14)</f>
        <v/>
      </c>
      <c r="R14" s="2">
        <f>K14/H14</f>
        <v/>
      </c>
      <c r="S14" s="2">
        <f>L14/H14</f>
        <v/>
      </c>
      <c r="T14" s="2">
        <f>M14/H14</f>
        <v/>
      </c>
      <c r="U14" s="2">
        <f>N14/H14</f>
        <v/>
      </c>
      <c r="V14" s="2">
        <f>O14/H14</f>
        <v/>
      </c>
      <c r="W14" s="2">
        <f>P14/H14</f>
        <v/>
      </c>
      <c r="X14" s="2">
        <f>Q14/H14</f>
        <v/>
      </c>
      <c r="Y14" s="5">
        <f>IF(R14&gt;1,"1","2")</f>
        <v/>
      </c>
      <c r="Z14" s="5">
        <f>IF(S14&gt;1,"1","2")</f>
        <v/>
      </c>
      <c r="AA14" s="5">
        <f>IF(T14&gt;1,"1","2")</f>
        <v/>
      </c>
      <c r="AB14" s="5">
        <f>IF(U14&gt;1,"1","2")</f>
        <v/>
      </c>
      <c r="AC14" s="5">
        <f>IF(V14&gt;1,"1","2")</f>
        <v/>
      </c>
      <c r="AD14" s="5">
        <f>IF(W14&gt;1,"1","2")</f>
        <v/>
      </c>
      <c r="AE14" s="5">
        <f>IF(X14&gt;1,"1","2")</f>
        <v/>
      </c>
      <c r="AF14" t="n">
        <v>-5.155727</v>
      </c>
      <c r="AG14" t="n">
        <v>119.435129</v>
      </c>
    </row>
    <row r="15" ht="14.4" customHeight="1">
      <c r="A15" s="14" t="n">
        <v>12</v>
      </c>
      <c r="B15" s="15" t="inlineStr">
        <is>
          <t>Bil</t>
        </is>
      </c>
      <c r="C15" s="10" t="n">
        <v>9</v>
      </c>
      <c r="D15" s="10" t="n">
        <v>32</v>
      </c>
      <c r="E15" s="16" t="n">
        <v>365</v>
      </c>
      <c r="F15" s="22" t="n">
        <v>0.0002</v>
      </c>
      <c r="G15" s="10" t="n">
        <v>900</v>
      </c>
      <c r="H15" s="12" t="n">
        <v>0.0003</v>
      </c>
      <c r="I15" s="18" t="n">
        <v>10950</v>
      </c>
      <c r="J15" s="20" t="n">
        <v>9</v>
      </c>
      <c r="K15" s="19">
        <f>(F15*G15*E15*J15)/(D15*I15)</f>
        <v/>
      </c>
      <c r="L15" s="2">
        <f>(F15*G15*E15*5)/(D15*I15)</f>
        <v/>
      </c>
      <c r="M15" s="2">
        <f>(F15*G15*E15*10)/(D15*I15)</f>
        <v/>
      </c>
      <c r="N15" s="2">
        <f>(F15*G15*E15*15)/(D15*I15)</f>
        <v/>
      </c>
      <c r="O15" s="2">
        <f>(F15*G15*E15*20)/(D15*I15)</f>
        <v/>
      </c>
      <c r="P15" s="2">
        <f>(F15*G15*E15*25)/(D15*I15)</f>
        <v/>
      </c>
      <c r="Q15" s="2">
        <f>(F15*G15*E15*30)/(D15*I15)</f>
        <v/>
      </c>
      <c r="R15" s="2">
        <f>K15/H15</f>
        <v/>
      </c>
      <c r="S15" s="2">
        <f>L15/H15</f>
        <v/>
      </c>
      <c r="T15" s="2">
        <f>M15/H15</f>
        <v/>
      </c>
      <c r="U15" s="2">
        <f>N15/H15</f>
        <v/>
      </c>
      <c r="V15" s="2">
        <f>O15/H15</f>
        <v/>
      </c>
      <c r="W15" s="2">
        <f>P15/H15</f>
        <v/>
      </c>
      <c r="X15" s="2">
        <f>Q15/H15</f>
        <v/>
      </c>
      <c r="Y15" s="5">
        <f>IF(R15&gt;1,"1","2")</f>
        <v/>
      </c>
      <c r="Z15" s="5">
        <f>IF(S15&gt;1,"1","2")</f>
        <v/>
      </c>
      <c r="AA15" s="5">
        <f>IF(T15&gt;1,"1","2")</f>
        <v/>
      </c>
      <c r="AB15" s="5">
        <f>IF(U15&gt;1,"1","2")</f>
        <v/>
      </c>
      <c r="AC15" s="5">
        <f>IF(V15&gt;1,"1","2")</f>
        <v/>
      </c>
      <c r="AD15" s="5">
        <f>IF(W15&gt;1,"1","2")</f>
        <v/>
      </c>
      <c r="AE15" s="5">
        <f>IF(X15&gt;1,"1","2")</f>
        <v/>
      </c>
      <c r="AF15" t="n">
        <v>-5.12139</v>
      </c>
      <c r="AG15" t="n">
        <v>119.400583</v>
      </c>
    </row>
    <row r="16" ht="14.4" customHeight="1">
      <c r="A16" s="14" t="n">
        <v>13</v>
      </c>
      <c r="B16" s="15" t="inlineStr">
        <is>
          <t>Abd</t>
        </is>
      </c>
      <c r="C16" s="10" t="n">
        <v>9</v>
      </c>
      <c r="D16" s="10" t="n">
        <v>24</v>
      </c>
      <c r="E16" s="16" t="n">
        <v>365</v>
      </c>
      <c r="F16" s="22" t="n">
        <v>0.0002</v>
      </c>
      <c r="G16" s="10" t="n">
        <v>900</v>
      </c>
      <c r="H16" s="12" t="n">
        <v>0.0003</v>
      </c>
      <c r="I16" s="18" t="n">
        <v>10950</v>
      </c>
      <c r="J16" s="20" t="n">
        <v>9</v>
      </c>
      <c r="K16" s="19">
        <f>(F16*G16*E16*J16)/(D16*I16)</f>
        <v/>
      </c>
      <c r="L16" s="2">
        <f>(F16*G16*E16*5)/(D16*I16)</f>
        <v/>
      </c>
      <c r="M16" s="2">
        <f>(F16*G16*E16*10)/(D16*I16)</f>
        <v/>
      </c>
      <c r="N16" s="2">
        <f>(F16*G16*E16*15)/(D16*I16)</f>
        <v/>
      </c>
      <c r="O16" s="2">
        <f>(F16*G16*E16*20)/(D16*I16)</f>
        <v/>
      </c>
      <c r="P16" s="2">
        <f>(F16*G16*E16*25)/(D16*I16)</f>
        <v/>
      </c>
      <c r="Q16" s="2">
        <f>(F16*G16*E16*30)/(D16*I16)</f>
        <v/>
      </c>
      <c r="R16" s="2">
        <f>K16/H16</f>
        <v/>
      </c>
      <c r="S16" s="2">
        <f>L16/H16</f>
        <v/>
      </c>
      <c r="T16" s="2">
        <f>M16/H16</f>
        <v/>
      </c>
      <c r="U16" s="2">
        <f>N16/H16</f>
        <v/>
      </c>
      <c r="V16" s="2">
        <f>O16/H16</f>
        <v/>
      </c>
      <c r="W16" s="2">
        <f>P16/H16</f>
        <v/>
      </c>
      <c r="X16" s="2">
        <f>Q16/H16</f>
        <v/>
      </c>
      <c r="Y16" s="5">
        <f>IF(R16&gt;1,"1","2")</f>
        <v/>
      </c>
      <c r="Z16" s="5">
        <f>IF(S16&gt;1,"1","2")</f>
        <v/>
      </c>
      <c r="AA16" s="5">
        <f>IF(T16&gt;1,"1","2")</f>
        <v/>
      </c>
      <c r="AB16" s="5">
        <f>IF(U16&gt;1,"1","2")</f>
        <v/>
      </c>
      <c r="AC16" s="5">
        <f>IF(V16&gt;1,"1","2")</f>
        <v/>
      </c>
      <c r="AD16" s="5">
        <f>IF(W16&gt;1,"1","2")</f>
        <v/>
      </c>
      <c r="AE16" s="5">
        <f>IF(X16&gt;1,"1","2")</f>
        <v/>
      </c>
      <c r="AF16" t="n">
        <v>-5.145539</v>
      </c>
      <c r="AG16" t="n">
        <v>119.424024</v>
      </c>
    </row>
    <row r="17" ht="14.4" customHeight="1">
      <c r="A17" s="14" t="n">
        <v>14</v>
      </c>
      <c r="B17" s="15" t="inlineStr">
        <is>
          <t>Way</t>
        </is>
      </c>
      <c r="C17" s="10" t="n">
        <v>9</v>
      </c>
      <c r="D17" s="10" t="n">
        <v>28</v>
      </c>
      <c r="E17" s="16" t="n">
        <v>365</v>
      </c>
      <c r="F17" s="22" t="n">
        <v>0.0002</v>
      </c>
      <c r="G17" s="10" t="n">
        <v>900</v>
      </c>
      <c r="H17" s="12" t="n">
        <v>0.0003</v>
      </c>
      <c r="I17" s="18" t="n">
        <v>10950</v>
      </c>
      <c r="J17" s="20" t="n">
        <v>4</v>
      </c>
      <c r="K17" s="19">
        <f>(F17*G17*E17*J17)/(D17*I17)</f>
        <v/>
      </c>
      <c r="L17" s="2">
        <f>(F17*G17*E17*5)/(D17*I17)</f>
        <v/>
      </c>
      <c r="M17" s="2">
        <f>(F17*G17*E17*10)/(D17*I17)</f>
        <v/>
      </c>
      <c r="N17" s="2">
        <f>(F17*G17*E17*15)/(D17*I17)</f>
        <v/>
      </c>
      <c r="O17" s="2">
        <f>(F17*G17*E17*20)/(D17*I17)</f>
        <v/>
      </c>
      <c r="P17" s="2">
        <f>(F17*G17*E17*25)/(D17*I17)</f>
        <v/>
      </c>
      <c r="Q17" s="2">
        <f>(F17*G17*E17*30)/(D17*I17)</f>
        <v/>
      </c>
      <c r="R17" s="2">
        <f>K17/H17</f>
        <v/>
      </c>
      <c r="S17" s="2">
        <f>L17/H17</f>
        <v/>
      </c>
      <c r="T17" s="2">
        <f>M17/H17</f>
        <v/>
      </c>
      <c r="U17" s="2">
        <f>N17/H17</f>
        <v/>
      </c>
      <c r="V17" s="2">
        <f>O17/H17</f>
        <v/>
      </c>
      <c r="W17" s="2">
        <f>P17/H17</f>
        <v/>
      </c>
      <c r="X17" s="2">
        <f>Q17/H17</f>
        <v/>
      </c>
      <c r="Y17" s="5">
        <f>IF(R17&gt;1,"1","2")</f>
        <v/>
      </c>
      <c r="Z17" s="5">
        <f>IF(S17&gt;1,"1","2")</f>
        <v/>
      </c>
      <c r="AA17" s="5">
        <f>IF(T17&gt;1,"1","2")</f>
        <v/>
      </c>
      <c r="AB17" s="5">
        <f>IF(U17&gt;1,"1","2")</f>
        <v/>
      </c>
      <c r="AC17" s="5">
        <f>IF(V17&gt;1,"1","2")</f>
        <v/>
      </c>
      <c r="AD17" s="5">
        <f>IF(W17&gt;1,"1","2")</f>
        <v/>
      </c>
      <c r="AE17" s="5">
        <f>IF(X17&gt;1,"1","2")</f>
        <v/>
      </c>
      <c r="AF17" t="n">
        <v>-5.139121</v>
      </c>
      <c r="AG17" t="n">
        <v>119.440335</v>
      </c>
    </row>
    <row r="18" ht="14.4" customHeight="1">
      <c r="A18" s="14" t="n">
        <v>15</v>
      </c>
      <c r="B18" s="15" t="inlineStr">
        <is>
          <t>Ngh</t>
        </is>
      </c>
      <c r="C18" s="10" t="n">
        <v>9</v>
      </c>
      <c r="D18" s="10" t="n">
        <v>29</v>
      </c>
      <c r="E18" s="16" t="n">
        <v>365</v>
      </c>
      <c r="F18" s="22" t="n">
        <v>0.0002</v>
      </c>
      <c r="G18" s="10" t="n">
        <v>900</v>
      </c>
      <c r="H18" s="12" t="n">
        <v>0.0003</v>
      </c>
      <c r="I18" s="18" t="n">
        <v>10950</v>
      </c>
      <c r="J18" s="20" t="n">
        <v>9</v>
      </c>
      <c r="K18" s="19">
        <f>(F18*G18*E18*J18)/(D18*I18)</f>
        <v/>
      </c>
      <c r="L18" s="2">
        <f>(F18*G18*E18*5)/(D18*I18)</f>
        <v/>
      </c>
      <c r="M18" s="2">
        <f>(F18*G18*E18*10)/(D18*I18)</f>
        <v/>
      </c>
      <c r="N18" s="2">
        <f>(F18*G18*E18*15)/(D18*I18)</f>
        <v/>
      </c>
      <c r="O18" s="2">
        <f>(F18*G18*E18*20)/(D18*I18)</f>
        <v/>
      </c>
      <c r="P18" s="2">
        <f>(F18*G18*E18*25)/(D18*I18)</f>
        <v/>
      </c>
      <c r="Q18" s="2">
        <f>(F18*G18*E18*30)/(D18*I18)</f>
        <v/>
      </c>
      <c r="R18" s="2">
        <f>K18/H18</f>
        <v/>
      </c>
      <c r="S18" s="2">
        <f>L18/H18</f>
        <v/>
      </c>
      <c r="T18" s="2">
        <f>M18/H18</f>
        <v/>
      </c>
      <c r="U18" s="2">
        <f>N18/H18</f>
        <v/>
      </c>
      <c r="V18" s="2">
        <f>O18/H18</f>
        <v/>
      </c>
      <c r="W18" s="2">
        <f>P18/H18</f>
        <v/>
      </c>
      <c r="X18" s="2">
        <f>Q18/H18</f>
        <v/>
      </c>
      <c r="Y18" s="5">
        <f>IF(R18&gt;1,"1","2")</f>
        <v/>
      </c>
      <c r="Z18" s="5">
        <f>IF(S18&gt;1,"1","2")</f>
        <v/>
      </c>
      <c r="AA18" s="5">
        <f>IF(T18&gt;1,"1","2")</f>
        <v/>
      </c>
      <c r="AB18" s="5">
        <f>IF(U18&gt;1,"1","2")</f>
        <v/>
      </c>
      <c r="AC18" s="5">
        <f>IF(V18&gt;1,"1","2")</f>
        <v/>
      </c>
      <c r="AD18" s="5">
        <f>IF(W18&gt;1,"1","2")</f>
        <v/>
      </c>
      <c r="AE18" s="5">
        <f>IF(X18&gt;1,"1","2")</f>
        <v/>
      </c>
      <c r="AF18" t="n">
        <v>-5.152749</v>
      </c>
      <c r="AG18" t="n">
        <v>119.433072</v>
      </c>
    </row>
    <row r="19" ht="14.4" customHeight="1">
      <c r="A19" s="14" t="n">
        <v>16</v>
      </c>
      <c r="B19" s="15" t="inlineStr">
        <is>
          <t>Gia</t>
        </is>
      </c>
      <c r="C19" s="10" t="n">
        <v>9</v>
      </c>
      <c r="D19" s="10" t="n">
        <v>25</v>
      </c>
      <c r="E19" s="16" t="n">
        <v>365</v>
      </c>
      <c r="F19" s="22" t="n">
        <v>0.0002</v>
      </c>
      <c r="G19" s="10" t="n">
        <v>900</v>
      </c>
      <c r="H19" s="12" t="n">
        <v>0.0003</v>
      </c>
      <c r="I19" s="18" t="n">
        <v>10950</v>
      </c>
      <c r="J19" s="20" t="n">
        <v>9</v>
      </c>
      <c r="K19" s="19">
        <f>(F19*G19*E19*J19)/(D19*I19)</f>
        <v/>
      </c>
      <c r="L19" s="2">
        <f>(F19*G19*E19*5)/(D19*I19)</f>
        <v/>
      </c>
      <c r="M19" s="2">
        <f>(F19*G19*E19*10)/(D19*I19)</f>
        <v/>
      </c>
      <c r="N19" s="2">
        <f>(F19*G19*E19*15)/(D19*I19)</f>
        <v/>
      </c>
      <c r="O19" s="2">
        <f>(F19*G19*E19*20)/(D19*I19)</f>
        <v/>
      </c>
      <c r="P19" s="2">
        <f>(F19*G19*E19*25)/(D19*I19)</f>
        <v/>
      </c>
      <c r="Q19" s="2">
        <f>(F19*G19*E19*30)/(D19*I19)</f>
        <v/>
      </c>
      <c r="R19" s="2">
        <f>K19/H19</f>
        <v/>
      </c>
      <c r="S19" s="2">
        <f>L19/H19</f>
        <v/>
      </c>
      <c r="T19" s="2">
        <f>M19/H19</f>
        <v/>
      </c>
      <c r="U19" s="2">
        <f>N19/H19</f>
        <v/>
      </c>
      <c r="V19" s="2">
        <f>O19/H19</f>
        <v/>
      </c>
      <c r="W19" s="2">
        <f>P19/H19</f>
        <v/>
      </c>
      <c r="X19" s="2">
        <f>Q19/H19</f>
        <v/>
      </c>
      <c r="Y19" s="5">
        <f>IF(R19&gt;1,"1","2")</f>
        <v/>
      </c>
      <c r="Z19" s="5">
        <f>IF(S19&gt;1,"1","2")</f>
        <v/>
      </c>
      <c r="AA19" s="5">
        <f>IF(T19&gt;1,"1","2")</f>
        <v/>
      </c>
      <c r="AB19" s="5">
        <f>IF(U19&gt;1,"1","2")</f>
        <v/>
      </c>
      <c r="AC19" s="5">
        <f>IF(V19&gt;1,"1","2")</f>
        <v/>
      </c>
      <c r="AD19" s="5">
        <f>IF(W19&gt;1,"1","2")</f>
        <v/>
      </c>
      <c r="AE19" s="5">
        <f>IF(X19&gt;1,"1","2")</f>
        <v/>
      </c>
      <c r="AF19" t="n">
        <v>-5.132915</v>
      </c>
      <c r="AG19" t="n">
        <v>119.439246</v>
      </c>
    </row>
    <row r="20" ht="14.4" customHeight="1">
      <c r="A20" s="14" t="n">
        <v>17</v>
      </c>
      <c r="B20" s="15" t="inlineStr">
        <is>
          <t>Sar</t>
        </is>
      </c>
      <c r="C20" s="10" t="n">
        <v>9</v>
      </c>
      <c r="D20" s="10" t="n">
        <v>25</v>
      </c>
      <c r="E20" s="16" t="n">
        <v>365</v>
      </c>
      <c r="F20" s="22" t="n">
        <v>0.0002</v>
      </c>
      <c r="G20" s="10" t="n">
        <v>1500</v>
      </c>
      <c r="H20" s="12" t="n">
        <v>0.0003</v>
      </c>
      <c r="I20" s="18" t="n">
        <v>10950</v>
      </c>
      <c r="J20" s="20" t="n">
        <v>9</v>
      </c>
      <c r="K20" s="19">
        <f>(F20*G20*E20*J20)/(D20*I20)</f>
        <v/>
      </c>
      <c r="L20" s="2">
        <f>(F20*G20*E20*5)/(D20*I20)</f>
        <v/>
      </c>
      <c r="M20" s="2">
        <f>(F20*G20*E20*10)/(D20*I20)</f>
        <v/>
      </c>
      <c r="N20" s="2">
        <f>(F20*G20*E20*15)/(D20*I20)</f>
        <v/>
      </c>
      <c r="O20" s="2">
        <f>(F20*G20*E20*20)/(D20*I20)</f>
        <v/>
      </c>
      <c r="P20" s="2">
        <f>(F20*G20*E20*25)/(D20*I20)</f>
        <v/>
      </c>
      <c r="Q20" s="2">
        <f>(F20*G20*E20*30)/(D20*I20)</f>
        <v/>
      </c>
      <c r="R20" s="2">
        <f>K20/H20</f>
        <v/>
      </c>
      <c r="S20" s="2">
        <f>L20/H20</f>
        <v/>
      </c>
      <c r="T20" s="2">
        <f>M20/H20</f>
        <v/>
      </c>
      <c r="U20" s="2">
        <f>N20/H20</f>
        <v/>
      </c>
      <c r="V20" s="2">
        <f>O20/H20</f>
        <v/>
      </c>
      <c r="W20" s="2">
        <f>P20/H20</f>
        <v/>
      </c>
      <c r="X20" s="2">
        <f>Q20/H20</f>
        <v/>
      </c>
      <c r="Y20" s="5">
        <f>IF(R20&gt;1,"1","2")</f>
        <v/>
      </c>
      <c r="Z20" s="5">
        <f>IF(S20&gt;1,"1","2")</f>
        <v/>
      </c>
      <c r="AA20" s="5">
        <f>IF(T20&gt;1,"1","2")</f>
        <v/>
      </c>
      <c r="AB20" s="5">
        <f>IF(U20&gt;1,"1","2")</f>
        <v/>
      </c>
      <c r="AC20" s="5">
        <f>IF(V20&gt;1,"1","2")</f>
        <v/>
      </c>
      <c r="AD20" s="5">
        <f>IF(W20&gt;1,"1","2")</f>
        <v/>
      </c>
      <c r="AE20" s="5">
        <f>IF(X20&gt;1,"1","2")</f>
        <v/>
      </c>
      <c r="AF20" t="n">
        <v>-5.123774</v>
      </c>
      <c r="AG20" t="n">
        <v>119.434313</v>
      </c>
    </row>
    <row r="21" ht="14.4" customHeight="1">
      <c r="A21" s="14" t="n">
        <v>18</v>
      </c>
      <c r="B21" s="15" t="inlineStr">
        <is>
          <t>Gaf</t>
        </is>
      </c>
      <c r="C21" s="10" t="n">
        <v>9</v>
      </c>
      <c r="D21" s="10" t="n">
        <v>25</v>
      </c>
      <c r="E21" s="16" t="n">
        <v>365</v>
      </c>
      <c r="F21" s="22" t="n">
        <v>0.0002</v>
      </c>
      <c r="G21" s="10" t="n">
        <v>900</v>
      </c>
      <c r="H21" s="12" t="n">
        <v>0.0003</v>
      </c>
      <c r="I21" s="18" t="n">
        <v>10950</v>
      </c>
      <c r="J21" s="20" t="n">
        <v>9</v>
      </c>
      <c r="K21" s="19">
        <f>(F21*G21*E21*J21)/(D21*I21)</f>
        <v/>
      </c>
      <c r="L21" s="2">
        <f>(F21*G21*E21*5)/(D21*I21)</f>
        <v/>
      </c>
      <c r="M21" s="2">
        <f>(F21*G21*E21*10)/(D21*I21)</f>
        <v/>
      </c>
      <c r="N21" s="2">
        <f>(F21*G21*E21*15)/(D21*I21)</f>
        <v/>
      </c>
      <c r="O21" s="2">
        <f>(F21*G21*E21*20)/(D21*I21)</f>
        <v/>
      </c>
      <c r="P21" s="2">
        <f>(F21*G21*E21*25)/(D21*I21)</f>
        <v/>
      </c>
      <c r="Q21" s="2">
        <f>(F21*G21*E21*30)/(D21*I21)</f>
        <v/>
      </c>
      <c r="R21" s="2">
        <f>K21/H21</f>
        <v/>
      </c>
      <c r="S21" s="2">
        <f>L21/H21</f>
        <v/>
      </c>
      <c r="T21" s="2">
        <f>M21/H21</f>
        <v/>
      </c>
      <c r="U21" s="2">
        <f>N21/H21</f>
        <v/>
      </c>
      <c r="V21" s="2">
        <f>O21/H21</f>
        <v/>
      </c>
      <c r="W21" s="2">
        <f>P21/H21</f>
        <v/>
      </c>
      <c r="X21" s="2">
        <f>Q21/H21</f>
        <v/>
      </c>
      <c r="Y21" s="5">
        <f>IF(R21&gt;1,"1","2")</f>
        <v/>
      </c>
      <c r="Z21" s="5">
        <f>IF(S21&gt;1,"1","2")</f>
        <v/>
      </c>
      <c r="AA21" s="5">
        <f>IF(T21&gt;1,"1","2")</f>
        <v/>
      </c>
      <c r="AB21" s="5">
        <f>IF(U21&gt;1,"1","2")</f>
        <v/>
      </c>
      <c r="AC21" s="5">
        <f>IF(V21&gt;1,"1","2")</f>
        <v/>
      </c>
      <c r="AD21" s="5">
        <f>IF(W21&gt;1,"1","2")</f>
        <v/>
      </c>
      <c r="AE21" s="5">
        <f>IF(X21&gt;1,"1","2")</f>
        <v/>
      </c>
      <c r="AF21" t="n">
        <v>-5.153402</v>
      </c>
      <c r="AG21" t="n">
        <v>119.434488</v>
      </c>
    </row>
    <row r="22" ht="14.4" customHeight="1">
      <c r="A22" s="14" t="n">
        <v>19</v>
      </c>
      <c r="B22" s="15" t="inlineStr">
        <is>
          <t>Gii</t>
        </is>
      </c>
      <c r="C22" s="10" t="n">
        <v>9</v>
      </c>
      <c r="D22" s="10" t="n">
        <v>25</v>
      </c>
      <c r="E22" s="16" t="n">
        <v>365</v>
      </c>
      <c r="F22" s="22" t="n">
        <v>0.0002</v>
      </c>
      <c r="G22" s="10" t="n">
        <v>900</v>
      </c>
      <c r="H22" s="12" t="n">
        <v>0.0003</v>
      </c>
      <c r="I22" s="18" t="n">
        <v>10950</v>
      </c>
      <c r="J22" s="20" t="n">
        <v>9</v>
      </c>
      <c r="K22" s="19">
        <f>(F22*G22*E22*J22)/(D22*I22)</f>
        <v/>
      </c>
      <c r="L22" s="2">
        <f>(F22*G22*E22*5)/(D22*I22)</f>
        <v/>
      </c>
      <c r="M22" s="2">
        <f>(F22*G22*E22*10)/(D22*I22)</f>
        <v/>
      </c>
      <c r="N22" s="2">
        <f>(F22*G22*E22*15)/(D22*I22)</f>
        <v/>
      </c>
      <c r="O22" s="2">
        <f>(F22*G22*E22*20)/(D22*I22)</f>
        <v/>
      </c>
      <c r="P22" s="2">
        <f>(F22*G22*E22*25)/(D22*I22)</f>
        <v/>
      </c>
      <c r="Q22" s="2">
        <f>(F22*G22*E22*30)/(D22*I22)</f>
        <v/>
      </c>
      <c r="R22" s="2">
        <f>K22/H22</f>
        <v/>
      </c>
      <c r="S22" s="2">
        <f>L22/H22</f>
        <v/>
      </c>
      <c r="T22" s="2">
        <f>M22/H22</f>
        <v/>
      </c>
      <c r="U22" s="2">
        <f>N22/H22</f>
        <v/>
      </c>
      <c r="V22" s="2">
        <f>O22/H22</f>
        <v/>
      </c>
      <c r="W22" s="2">
        <f>P22/H22</f>
        <v/>
      </c>
      <c r="X22" s="2">
        <f>Q22/H22</f>
        <v/>
      </c>
      <c r="Y22" s="5">
        <f>IF(R22&gt;1,"1","2")</f>
        <v/>
      </c>
      <c r="Z22" s="5">
        <f>IF(S22&gt;1,"1","2")</f>
        <v/>
      </c>
      <c r="AA22" s="5">
        <f>IF(T22&gt;1,"1","2")</f>
        <v/>
      </c>
      <c r="AB22" s="5">
        <f>IF(U22&gt;1,"1","2")</f>
        <v/>
      </c>
      <c r="AC22" s="5">
        <f>IF(V22&gt;1,"1","2")</f>
        <v/>
      </c>
      <c r="AD22" s="5">
        <f>IF(W22&gt;1,"1","2")</f>
        <v/>
      </c>
      <c r="AE22" s="5">
        <f>IF(X22&gt;1,"1","2")</f>
        <v/>
      </c>
      <c r="AF22" t="n">
        <v>-5.121672</v>
      </c>
      <c r="AG22" t="n">
        <v>119.407018</v>
      </c>
    </row>
    <row r="23" ht="14.4" customHeight="1">
      <c r="A23" s="14" t="n">
        <v>20</v>
      </c>
      <c r="B23" s="15" t="inlineStr">
        <is>
          <t>Nh</t>
        </is>
      </c>
      <c r="C23" s="10" t="n">
        <v>9</v>
      </c>
      <c r="D23" s="10" t="n">
        <v>29</v>
      </c>
      <c r="E23" s="16" t="n">
        <v>365</v>
      </c>
      <c r="F23" s="22" t="n">
        <v>0.0002</v>
      </c>
      <c r="G23" s="10" t="n">
        <v>900</v>
      </c>
      <c r="H23" s="12" t="n">
        <v>0.0003</v>
      </c>
      <c r="I23" s="18" t="n">
        <v>10950</v>
      </c>
      <c r="J23" s="20" t="n">
        <v>9</v>
      </c>
      <c r="K23" s="19">
        <f>(F23*G23*E23*J23)/(D23*I23)</f>
        <v/>
      </c>
      <c r="L23" s="2">
        <f>(F23*G23*E23*5)/(D23*I23)</f>
        <v/>
      </c>
      <c r="M23" s="2">
        <f>(F23*G23*E23*10)/(D23*I23)</f>
        <v/>
      </c>
      <c r="N23" s="2">
        <f>(F23*G23*E23*15)/(D23*I23)</f>
        <v/>
      </c>
      <c r="O23" s="2">
        <f>(F23*G23*E23*20)/(D23*I23)</f>
        <v/>
      </c>
      <c r="P23" s="2">
        <f>(F23*G23*E23*25)/(D23*I23)</f>
        <v/>
      </c>
      <c r="Q23" s="2">
        <f>(F23*G23*E23*30)/(D23*I23)</f>
        <v/>
      </c>
      <c r="R23" s="2">
        <f>K23/H23</f>
        <v/>
      </c>
      <c r="S23" s="2">
        <f>L23/H23</f>
        <v/>
      </c>
      <c r="T23" s="2">
        <f>M23/H23</f>
        <v/>
      </c>
      <c r="U23" s="2">
        <f>N23/H23</f>
        <v/>
      </c>
      <c r="V23" s="2">
        <f>O23/H23</f>
        <v/>
      </c>
      <c r="W23" s="2">
        <f>P23/H23</f>
        <v/>
      </c>
      <c r="X23" s="2">
        <f>Q23/H23</f>
        <v/>
      </c>
      <c r="Y23" s="5">
        <f>IF(R23&gt;1,"1","2")</f>
        <v/>
      </c>
      <c r="Z23" s="5">
        <f>IF(S23&gt;1,"1","2")</f>
        <v/>
      </c>
      <c r="AA23" s="5">
        <f>IF(T23&gt;1,"1","2")</f>
        <v/>
      </c>
      <c r="AB23" s="5">
        <f>IF(U23&gt;1,"1","2")</f>
        <v/>
      </c>
      <c r="AC23" s="5">
        <f>IF(V23&gt;1,"1","2")</f>
        <v/>
      </c>
      <c r="AD23" s="5">
        <f>IF(W23&gt;1,"1","2")</f>
        <v/>
      </c>
      <c r="AE23" s="5">
        <f>IF(X23&gt;1,"1","2")</f>
        <v/>
      </c>
      <c r="AF23" t="n">
        <v>-5.123005</v>
      </c>
      <c r="AG23" t="n">
        <v>119.44743</v>
      </c>
    </row>
    <row r="24" ht="14.4" customHeight="1">
      <c r="A24" s="14" t="n">
        <v>21</v>
      </c>
      <c r="B24" s="15" t="inlineStr">
        <is>
          <t>Gaw</t>
        </is>
      </c>
      <c r="C24" s="10" t="n">
        <v>9</v>
      </c>
      <c r="D24" s="10" t="n">
        <v>25</v>
      </c>
      <c r="E24" s="16" t="n">
        <v>365</v>
      </c>
      <c r="F24" s="22" t="n">
        <v>0.0002</v>
      </c>
      <c r="G24" s="10" t="n">
        <v>1500</v>
      </c>
      <c r="H24" s="12" t="n">
        <v>0.0003</v>
      </c>
      <c r="I24" s="18" t="n">
        <v>10950</v>
      </c>
      <c r="J24" s="20" t="n">
        <v>9</v>
      </c>
      <c r="K24" s="19">
        <f>(F24*G24*E24*J24)/(D24*I24)</f>
        <v/>
      </c>
      <c r="L24" s="2">
        <f>(F24*G24*E24*5)/(D24*I24)</f>
        <v/>
      </c>
      <c r="M24" s="2">
        <f>(F24*G24*E24*10)/(D24*I24)</f>
        <v/>
      </c>
      <c r="N24" s="2">
        <f>(F24*G24*E24*15)/(D24*I24)</f>
        <v/>
      </c>
      <c r="O24" s="2">
        <f>(F24*G24*E24*20)/(D24*I24)</f>
        <v/>
      </c>
      <c r="P24" s="2">
        <f>(F24*G24*E24*25)/(D24*I24)</f>
        <v/>
      </c>
      <c r="Q24" s="2">
        <f>(F24*G24*E24*30)/(D24*I24)</f>
        <v/>
      </c>
      <c r="R24" s="2">
        <f>K24/H24</f>
        <v/>
      </c>
      <c r="S24" s="2">
        <f>L24/H24</f>
        <v/>
      </c>
      <c r="T24" s="2">
        <f>M24/H24</f>
        <v/>
      </c>
      <c r="U24" s="2">
        <f>N24/H24</f>
        <v/>
      </c>
      <c r="V24" s="2">
        <f>O24/H24</f>
        <v/>
      </c>
      <c r="W24" s="2">
        <f>P24/H24</f>
        <v/>
      </c>
      <c r="X24" s="2">
        <f>Q24/H24</f>
        <v/>
      </c>
      <c r="Y24" s="5">
        <f>IF(R24&gt;1,"1","2")</f>
        <v/>
      </c>
      <c r="Z24" s="5">
        <f>IF(S24&gt;1,"1","2")</f>
        <v/>
      </c>
      <c r="AA24" s="5">
        <f>IF(T24&gt;1,"1","2")</f>
        <v/>
      </c>
      <c r="AB24" s="5">
        <f>IF(U24&gt;1,"1","2")</f>
        <v/>
      </c>
      <c r="AC24" s="5">
        <f>IF(V24&gt;1,"1","2")</f>
        <v/>
      </c>
      <c r="AD24" s="5">
        <f>IF(W24&gt;1,"1","2")</f>
        <v/>
      </c>
      <c r="AE24" s="5">
        <f>IF(X24&gt;1,"1","2")</f>
        <v/>
      </c>
      <c r="AF24" t="n">
        <v>-5.131506</v>
      </c>
      <c r="AG24" t="n">
        <v>119.44199</v>
      </c>
    </row>
    <row r="25" ht="14.4" customHeight="1">
      <c r="A25" s="14" t="n">
        <v>22</v>
      </c>
      <c r="B25" s="15" t="inlineStr">
        <is>
          <t>ALs</t>
        </is>
      </c>
      <c r="C25" s="10" t="n">
        <v>9</v>
      </c>
      <c r="D25" s="10" t="n">
        <v>25</v>
      </c>
      <c r="E25" s="16" t="n">
        <v>365</v>
      </c>
      <c r="F25" s="22" t="n">
        <v>0.0002</v>
      </c>
      <c r="G25" s="10" t="n">
        <v>900</v>
      </c>
      <c r="H25" s="12" t="n">
        <v>0.0003</v>
      </c>
      <c r="I25" s="18" t="n">
        <v>10950</v>
      </c>
      <c r="J25" s="20" t="n">
        <v>9</v>
      </c>
      <c r="K25" s="19">
        <f>(F25*G25*E25*J25)/(D25*I25)</f>
        <v/>
      </c>
      <c r="L25" s="2">
        <f>(F25*G25*E25*5)/(D25*I25)</f>
        <v/>
      </c>
      <c r="M25" s="2">
        <f>(F25*G25*E25*10)/(D25*I25)</f>
        <v/>
      </c>
      <c r="N25" s="2">
        <f>(F25*G25*E25*15)/(D25*I25)</f>
        <v/>
      </c>
      <c r="O25" s="2">
        <f>(F25*G25*E25*20)/(D25*I25)</f>
        <v/>
      </c>
      <c r="P25" s="2">
        <f>(F25*G25*E25*25)/(D25*I25)</f>
        <v/>
      </c>
      <c r="Q25" s="2">
        <f>(F25*G25*E25*30)/(D25*I25)</f>
        <v/>
      </c>
      <c r="R25" s="2">
        <f>K25/H25</f>
        <v/>
      </c>
      <c r="S25" s="2">
        <f>L25/H25</f>
        <v/>
      </c>
      <c r="T25" s="2">
        <f>M25/H25</f>
        <v/>
      </c>
      <c r="U25" s="2">
        <f>N25/H25</f>
        <v/>
      </c>
      <c r="V25" s="2">
        <f>O25/H25</f>
        <v/>
      </c>
      <c r="W25" s="2">
        <f>P25/H25</f>
        <v/>
      </c>
      <c r="X25" s="2">
        <f>Q25/H25</f>
        <v/>
      </c>
      <c r="Y25" s="5">
        <f>IF(R25&gt;1,"1","2")</f>
        <v/>
      </c>
      <c r="Z25" s="5">
        <f>IF(S25&gt;1,"1","2")</f>
        <v/>
      </c>
      <c r="AA25" s="5">
        <f>IF(T25&gt;1,"1","2")</f>
        <v/>
      </c>
      <c r="AB25" s="5">
        <f>IF(U25&gt;1,"1","2")</f>
        <v/>
      </c>
      <c r="AC25" s="5">
        <f>IF(V25&gt;1,"1","2")</f>
        <v/>
      </c>
      <c r="AD25" s="5">
        <f>IF(W25&gt;1,"1","2")</f>
        <v/>
      </c>
      <c r="AE25" s="5">
        <f>IF(X25&gt;1,"1","2")</f>
        <v/>
      </c>
      <c r="AF25" t="n">
        <v>-5.144922</v>
      </c>
      <c r="AG25" t="n">
        <v>119.446339</v>
      </c>
    </row>
    <row r="26" ht="14.4" customHeight="1">
      <c r="A26" s="14" t="n">
        <v>23</v>
      </c>
      <c r="B26" s="15" t="inlineStr">
        <is>
          <t>Ana</t>
        </is>
      </c>
      <c r="C26" s="10" t="n">
        <v>9</v>
      </c>
      <c r="D26" s="10" t="n">
        <v>39</v>
      </c>
      <c r="E26" s="16" t="n">
        <v>365</v>
      </c>
      <c r="F26" s="22" t="n">
        <v>0.0002</v>
      </c>
      <c r="G26" s="10" t="n">
        <v>900</v>
      </c>
      <c r="H26" s="12" t="n">
        <v>0.0003</v>
      </c>
      <c r="I26" s="18" t="n">
        <v>10950</v>
      </c>
      <c r="J26" s="20" t="n">
        <v>1</v>
      </c>
      <c r="K26" s="19">
        <f>(F26*G26*E26*J26)/(D26*I26)</f>
        <v/>
      </c>
      <c r="L26" s="2">
        <f>(F26*G26*E26*5)/(D26*I26)</f>
        <v/>
      </c>
      <c r="M26" s="2">
        <f>(F26*G26*E26*10)/(D26*I26)</f>
        <v/>
      </c>
      <c r="N26" s="2">
        <f>(F26*G26*E26*15)/(D26*I26)</f>
        <v/>
      </c>
      <c r="O26" s="2">
        <f>(F26*G26*E26*20)/(D26*I26)</f>
        <v/>
      </c>
      <c r="P26" s="2">
        <f>(F26*G26*E26*25)/(D26*I26)</f>
        <v/>
      </c>
      <c r="Q26" s="2">
        <f>(F26*G26*E26*30)/(D26*I26)</f>
        <v/>
      </c>
      <c r="R26" s="2">
        <f>K26/H26</f>
        <v/>
      </c>
      <c r="S26" s="2">
        <f>L26/H26</f>
        <v/>
      </c>
      <c r="T26" s="2">
        <f>M26/H26</f>
        <v/>
      </c>
      <c r="U26" s="2">
        <f>N26/H26</f>
        <v/>
      </c>
      <c r="V26" s="2">
        <f>O26/H26</f>
        <v/>
      </c>
      <c r="W26" s="2">
        <f>P26/H26</f>
        <v/>
      </c>
      <c r="X26" s="2">
        <f>Q26/H26</f>
        <v/>
      </c>
      <c r="Y26" s="5">
        <f>IF(R26&gt;1,"1","2")</f>
        <v/>
      </c>
      <c r="Z26" s="5">
        <f>IF(S26&gt;1,"1","2")</f>
        <v/>
      </c>
      <c r="AA26" s="5">
        <f>IF(T26&gt;1,"1","2")</f>
        <v/>
      </c>
      <c r="AB26" s="5">
        <f>IF(U26&gt;1,"1","2")</f>
        <v/>
      </c>
      <c r="AC26" s="5">
        <f>IF(V26&gt;1,"1","2")</f>
        <v/>
      </c>
      <c r="AD26" s="5">
        <f>IF(W26&gt;1,"1","2")</f>
        <v/>
      </c>
      <c r="AE26" s="5">
        <f>IF(X26&gt;1,"1","2")</f>
        <v/>
      </c>
      <c r="AF26" t="n">
        <v>-5.130108</v>
      </c>
      <c r="AG26" t="n">
        <v>119.410138</v>
      </c>
    </row>
    <row r="27" ht="14.4" customHeight="1">
      <c r="A27" s="14" t="n">
        <v>24</v>
      </c>
      <c r="B27" s="15" t="inlineStr">
        <is>
          <t>Zan</t>
        </is>
      </c>
      <c r="C27" s="10" t="n">
        <v>9</v>
      </c>
      <c r="D27" s="10" t="n">
        <v>26</v>
      </c>
      <c r="E27" s="16" t="n">
        <v>365</v>
      </c>
      <c r="F27" s="22" t="n">
        <v>0.0002</v>
      </c>
      <c r="G27" s="10" t="n">
        <v>900</v>
      </c>
      <c r="H27" s="12" t="n">
        <v>0.0003</v>
      </c>
      <c r="I27" s="18" t="n">
        <v>10950</v>
      </c>
      <c r="J27" s="20" t="n">
        <v>9</v>
      </c>
      <c r="K27" s="19">
        <f>(F27*G27*E27*J27)/(D27*I27)</f>
        <v/>
      </c>
      <c r="L27" s="2">
        <f>(F27*G27*E27*5)/(D27*I27)</f>
        <v/>
      </c>
      <c r="M27" s="2">
        <f>(F27*G27*E27*10)/(D27*I27)</f>
        <v/>
      </c>
      <c r="N27" s="2">
        <f>(F27*G27*E27*15)/(D27*I27)</f>
        <v/>
      </c>
      <c r="O27" s="2">
        <f>(F27*G27*E27*20)/(D27*I27)</f>
        <v/>
      </c>
      <c r="P27" s="2">
        <f>(F27*G27*E27*25)/(D27*I27)</f>
        <v/>
      </c>
      <c r="Q27" s="2">
        <f>(F27*G27*E27*30)/(D27*I27)</f>
        <v/>
      </c>
      <c r="R27" s="2">
        <f>K27/H27</f>
        <v/>
      </c>
      <c r="S27" s="2">
        <f>L27/H27</f>
        <v/>
      </c>
      <c r="T27" s="2">
        <f>M27/H27</f>
        <v/>
      </c>
      <c r="U27" s="2">
        <f>N27/H27</f>
        <v/>
      </c>
      <c r="V27" s="2">
        <f>O27/H27</f>
        <v/>
      </c>
      <c r="W27" s="2">
        <f>P27/H27</f>
        <v/>
      </c>
      <c r="X27" s="2">
        <f>Q27/H27</f>
        <v/>
      </c>
      <c r="Y27" s="5">
        <f>IF(R27&gt;1,"1","2")</f>
        <v/>
      </c>
      <c r="Z27" s="5">
        <f>IF(S27&gt;1,"1","2")</f>
        <v/>
      </c>
      <c r="AA27" s="5">
        <f>IF(T27&gt;1,"1","2")</f>
        <v/>
      </c>
      <c r="AB27" s="5">
        <f>IF(U27&gt;1,"1","2")</f>
        <v/>
      </c>
      <c r="AC27" s="5">
        <f>IF(V27&gt;1,"1","2")</f>
        <v/>
      </c>
      <c r="AD27" s="5">
        <f>IF(W27&gt;1,"1","2")</f>
        <v/>
      </c>
      <c r="AE27" s="5">
        <f>IF(X27&gt;1,"1","2")</f>
        <v/>
      </c>
      <c r="AF27" t="n">
        <v>-5.13406</v>
      </c>
      <c r="AG27" t="n">
        <v>119.435068</v>
      </c>
    </row>
    <row r="28" ht="14.4" customHeight="1">
      <c r="A28" s="14" t="n">
        <v>25</v>
      </c>
      <c r="B28" s="15" t="inlineStr">
        <is>
          <t>Bia</t>
        </is>
      </c>
      <c r="C28" s="10" t="n">
        <v>9</v>
      </c>
      <c r="D28" s="10" t="n">
        <v>20</v>
      </c>
      <c r="E28" s="16" t="n">
        <v>365</v>
      </c>
      <c r="F28" s="22" t="n">
        <v>0.0002</v>
      </c>
      <c r="G28" s="10" t="n">
        <v>2100</v>
      </c>
      <c r="H28" s="12" t="n">
        <v>0.0003</v>
      </c>
      <c r="I28" s="18" t="n">
        <v>10950</v>
      </c>
      <c r="J28" s="20" t="n">
        <v>9</v>
      </c>
      <c r="K28" s="19">
        <f>(F28*G28*E28*J28)/(D28*I28)</f>
        <v/>
      </c>
      <c r="L28" s="2">
        <f>(F28*G28*E28*5)/(D28*I28)</f>
        <v/>
      </c>
      <c r="M28" s="2">
        <f>(F28*G28*E28*10)/(D28*I28)</f>
        <v/>
      </c>
      <c r="N28" s="2">
        <f>(F28*G28*E28*15)/(D28*I28)</f>
        <v/>
      </c>
      <c r="O28" s="2">
        <f>(F28*G28*E28*20)/(D28*I28)</f>
        <v/>
      </c>
      <c r="P28" s="2">
        <f>(F28*G28*E28*25)/(D28*I28)</f>
        <v/>
      </c>
      <c r="Q28" s="2">
        <f>(F28*G28*E28*30)/(D28*I28)</f>
        <v/>
      </c>
      <c r="R28" s="2">
        <f>K28/H28</f>
        <v/>
      </c>
      <c r="S28" s="2">
        <f>L28/H28</f>
        <v/>
      </c>
      <c r="T28" s="2">
        <f>M28/H28</f>
        <v/>
      </c>
      <c r="U28" s="2">
        <f>N28/H28</f>
        <v/>
      </c>
      <c r="V28" s="2">
        <f>O28/H28</f>
        <v/>
      </c>
      <c r="W28" s="2">
        <f>P28/H28</f>
        <v/>
      </c>
      <c r="X28" s="2">
        <f>Q28/H28</f>
        <v/>
      </c>
      <c r="Y28" s="5">
        <f>IF(R28&gt;1,"1","2")</f>
        <v/>
      </c>
      <c r="Z28" s="5">
        <f>IF(S28&gt;1,"1","2")</f>
        <v/>
      </c>
      <c r="AA28" s="5">
        <f>IF(T28&gt;1,"1","2")</f>
        <v/>
      </c>
      <c r="AB28" s="5">
        <f>IF(U28&gt;1,"1","2")</f>
        <v/>
      </c>
      <c r="AC28" s="5">
        <f>IF(V28&gt;1,"1","2")</f>
        <v/>
      </c>
      <c r="AD28" s="5">
        <f>IF(W28&gt;1,"1","2")</f>
        <v/>
      </c>
      <c r="AE28" s="5">
        <f>IF(X28&gt;1,"1","2")</f>
        <v/>
      </c>
      <c r="AF28" t="n">
        <v>-5.155482</v>
      </c>
      <c r="AG28" t="n">
        <v>119.406543</v>
      </c>
    </row>
    <row r="29" ht="14.4" customHeight="1">
      <c r="A29" s="14" t="n">
        <v>26</v>
      </c>
      <c r="B29" s="15" t="inlineStr">
        <is>
          <t>Tis</t>
        </is>
      </c>
      <c r="C29" s="10" t="n">
        <v>9</v>
      </c>
      <c r="D29" s="10" t="n">
        <v>40</v>
      </c>
      <c r="E29" s="16" t="n">
        <v>365</v>
      </c>
      <c r="F29" s="22" t="n">
        <v>0.0002</v>
      </c>
      <c r="G29" s="10" t="n">
        <v>900</v>
      </c>
      <c r="H29" s="12" t="n">
        <v>0.0003</v>
      </c>
      <c r="I29" s="18" t="n">
        <v>10950</v>
      </c>
      <c r="J29" s="20" t="n">
        <v>5</v>
      </c>
      <c r="K29" s="19">
        <f>(F29*G29*E29*J29)/(D29*I29)</f>
        <v/>
      </c>
      <c r="L29" s="2">
        <f>(F29*G29*E29*5)/(D29*I29)</f>
        <v/>
      </c>
      <c r="M29" s="2">
        <f>(F29*G29*E29*10)/(D29*I29)</f>
        <v/>
      </c>
      <c r="N29" s="2">
        <f>(F29*G29*E29*15)/(D29*I29)</f>
        <v/>
      </c>
      <c r="O29" s="2">
        <f>(F29*G29*E29*20)/(D29*I29)</f>
        <v/>
      </c>
      <c r="P29" s="2">
        <f>(F29*G29*E29*25)/(D29*I29)</f>
        <v/>
      </c>
      <c r="Q29" s="2">
        <f>(F29*G29*E29*30)/(D29*I29)</f>
        <v/>
      </c>
      <c r="R29" s="2">
        <f>K29/H29</f>
        <v/>
      </c>
      <c r="S29" s="2">
        <f>L29/H29</f>
        <v/>
      </c>
      <c r="T29" s="2">
        <f>M29/H29</f>
        <v/>
      </c>
      <c r="U29" s="2">
        <f>N29/H29</f>
        <v/>
      </c>
      <c r="V29" s="2">
        <f>O29/H29</f>
        <v/>
      </c>
      <c r="W29" s="2">
        <f>P29/H29</f>
        <v/>
      </c>
      <c r="X29" s="2">
        <f>Q29/H29</f>
        <v/>
      </c>
      <c r="Y29" s="5">
        <f>IF(R29&gt;1,"1","2")</f>
        <v/>
      </c>
      <c r="Z29" s="5">
        <f>IF(S29&gt;1,"1","2")</f>
        <v/>
      </c>
      <c r="AA29" s="5">
        <f>IF(T29&gt;1,"1","2")</f>
        <v/>
      </c>
      <c r="AB29" s="5">
        <f>IF(U29&gt;1,"1","2")</f>
        <v/>
      </c>
      <c r="AC29" s="5">
        <f>IF(V29&gt;1,"1","2")</f>
        <v/>
      </c>
      <c r="AD29" s="5">
        <f>IF(W29&gt;1,"1","2")</f>
        <v/>
      </c>
      <c r="AE29" s="5">
        <f>IF(X29&gt;1,"1","2")</f>
        <v/>
      </c>
      <c r="AF29" t="n">
        <v>-5.138075</v>
      </c>
      <c r="AG29" t="n">
        <v>119.417292</v>
      </c>
    </row>
    <row r="30" ht="14.4" customHeight="1">
      <c r="A30" s="14" t="n">
        <v>27</v>
      </c>
      <c r="B30" s="15" t="inlineStr">
        <is>
          <t>And</t>
        </is>
      </c>
      <c r="C30" s="10" t="n">
        <v>9</v>
      </c>
      <c r="D30" s="10" t="n">
        <v>39</v>
      </c>
      <c r="E30" s="16" t="n">
        <v>365</v>
      </c>
      <c r="F30" s="22" t="n">
        <v>0.0002</v>
      </c>
      <c r="G30" s="10" t="n">
        <v>900</v>
      </c>
      <c r="H30" s="12" t="n">
        <v>0.0003</v>
      </c>
      <c r="I30" s="18" t="n">
        <v>10950</v>
      </c>
      <c r="J30" s="20" t="n">
        <v>1</v>
      </c>
      <c r="K30" s="19">
        <f>(F30*G30*E30*J30)/(D30*I30)</f>
        <v/>
      </c>
      <c r="L30" s="2">
        <f>(F30*G30*E30*5)/(D30*I30)</f>
        <v/>
      </c>
      <c r="M30" s="2">
        <f>(F30*G30*E30*10)/(D30*I30)</f>
        <v/>
      </c>
      <c r="N30" s="2">
        <f>(F30*G30*E30*15)/(D30*I30)</f>
        <v/>
      </c>
      <c r="O30" s="2">
        <f>(F30*G30*E30*20)/(D30*I30)</f>
        <v/>
      </c>
      <c r="P30" s="2">
        <f>(F30*G30*E30*25)/(D30*I30)</f>
        <v/>
      </c>
      <c r="Q30" s="2">
        <f>(F30*G30*E30*30)/(D30*I30)</f>
        <v/>
      </c>
      <c r="R30" s="2">
        <f>K30/H30</f>
        <v/>
      </c>
      <c r="S30" s="2">
        <f>L30/H30</f>
        <v/>
      </c>
      <c r="T30" s="2">
        <f>M30/H30</f>
        <v/>
      </c>
      <c r="U30" s="2">
        <f>N30/H30</f>
        <v/>
      </c>
      <c r="V30" s="2">
        <f>O30/H30</f>
        <v/>
      </c>
      <c r="W30" s="2">
        <f>P30/H30</f>
        <v/>
      </c>
      <c r="X30" s="2">
        <f>Q30/H30</f>
        <v/>
      </c>
      <c r="Y30" s="5">
        <f>IF(R30&gt;1,"1","2")</f>
        <v/>
      </c>
      <c r="Z30" s="5">
        <f>IF(S30&gt;1,"1","2")</f>
        <v/>
      </c>
      <c r="AA30" s="5">
        <f>IF(T30&gt;1,"1","2")</f>
        <v/>
      </c>
      <c r="AB30" s="5">
        <f>IF(U30&gt;1,"1","2")</f>
        <v/>
      </c>
      <c r="AC30" s="5">
        <f>IF(V30&gt;1,"1","2")</f>
        <v/>
      </c>
      <c r="AD30" s="5">
        <f>IF(W30&gt;1,"1","2")</f>
        <v/>
      </c>
      <c r="AE30" s="5">
        <f>IF(X30&gt;1,"1","2")</f>
        <v/>
      </c>
      <c r="AF30" t="n">
        <v>-5.138437</v>
      </c>
      <c r="AG30" t="n">
        <v>119.41446</v>
      </c>
    </row>
    <row r="31" ht="14.4" customHeight="1">
      <c r="A31" s="14" t="n">
        <v>28</v>
      </c>
      <c r="B31" s="15" t="inlineStr">
        <is>
          <t>Fau</t>
        </is>
      </c>
      <c r="C31" s="10" t="n">
        <v>9</v>
      </c>
      <c r="D31" s="10" t="n">
        <v>26</v>
      </c>
      <c r="E31" s="16" t="n">
        <v>365</v>
      </c>
      <c r="F31" s="22" t="n">
        <v>0.0002</v>
      </c>
      <c r="G31" s="10" t="n">
        <v>900</v>
      </c>
      <c r="H31" s="12" t="n">
        <v>0.0003</v>
      </c>
      <c r="I31" s="18" t="n">
        <v>10950</v>
      </c>
      <c r="J31" s="20" t="n">
        <v>9</v>
      </c>
      <c r="K31" s="19">
        <f>(F31*G31*E31*J31)/(D31*I31)</f>
        <v/>
      </c>
      <c r="L31" s="2">
        <f>(F31*G31*E31*5)/(D31*I31)</f>
        <v/>
      </c>
      <c r="M31" s="2">
        <f>(F31*G31*E31*10)/(D31*I31)</f>
        <v/>
      </c>
      <c r="N31" s="2">
        <f>(F31*G31*E31*15)/(D31*I31)</f>
        <v/>
      </c>
      <c r="O31" s="2">
        <f>(F31*G31*E31*20)/(D31*I31)</f>
        <v/>
      </c>
      <c r="P31" s="2">
        <f>(F31*G31*E31*25)/(D31*I31)</f>
        <v/>
      </c>
      <c r="Q31" s="2">
        <f>(F31*G31*E31*30)/(D31*I31)</f>
        <v/>
      </c>
      <c r="R31" s="2">
        <f>K31/H31</f>
        <v/>
      </c>
      <c r="S31" s="2">
        <f>L31/H31</f>
        <v/>
      </c>
      <c r="T31" s="2">
        <f>M31/H31</f>
        <v/>
      </c>
      <c r="U31" s="2">
        <f>N31/H31</f>
        <v/>
      </c>
      <c r="V31" s="2">
        <f>O31/H31</f>
        <v/>
      </c>
      <c r="W31" s="2">
        <f>P31/H31</f>
        <v/>
      </c>
      <c r="X31" s="2">
        <f>Q31/H31</f>
        <v/>
      </c>
      <c r="Y31" s="5">
        <f>IF(R31&gt;1,"1","2")</f>
        <v/>
      </c>
      <c r="Z31" s="5">
        <f>IF(S31&gt;1,"1","2")</f>
        <v/>
      </c>
      <c r="AA31" s="5">
        <f>IF(T31&gt;1,"1","2")</f>
        <v/>
      </c>
      <c r="AB31" s="5">
        <f>IF(U31&gt;1,"1","2")</f>
        <v/>
      </c>
      <c r="AC31" s="5">
        <f>IF(V31&gt;1,"1","2")</f>
        <v/>
      </c>
      <c r="AD31" s="5">
        <f>IF(W31&gt;1,"1","2")</f>
        <v/>
      </c>
      <c r="AE31" s="5">
        <f>IF(X31&gt;1,"1","2")</f>
        <v/>
      </c>
      <c r="AF31" t="n">
        <v>-5.159509</v>
      </c>
      <c r="AG31" t="n">
        <v>119.40562</v>
      </c>
    </row>
    <row r="32" ht="14.4" customHeight="1">
      <c r="A32" s="14" t="n">
        <v>29</v>
      </c>
      <c r="B32" s="15" t="inlineStr">
        <is>
          <t>Als</t>
        </is>
      </c>
      <c r="C32" s="10" t="n">
        <v>9</v>
      </c>
      <c r="D32" s="10" t="n">
        <v>25</v>
      </c>
      <c r="E32" s="16" t="n">
        <v>365</v>
      </c>
      <c r="F32" s="22" t="n">
        <v>0.0002</v>
      </c>
      <c r="G32" s="10" t="n">
        <v>900</v>
      </c>
      <c r="H32" s="12" t="n">
        <v>0.0003</v>
      </c>
      <c r="I32" s="18" t="n">
        <v>10950</v>
      </c>
      <c r="J32" s="20" t="n">
        <v>9</v>
      </c>
      <c r="K32" s="19">
        <f>(F32*G32*E32*J32)/(D32*I32)</f>
        <v/>
      </c>
      <c r="L32" s="2">
        <f>(F32*G32*E32*5)/(D32*I32)</f>
        <v/>
      </c>
      <c r="M32" s="2">
        <f>(F32*G32*E32*10)/(D32*I32)</f>
        <v/>
      </c>
      <c r="N32" s="2">
        <f>(F32*G32*E32*15)/(D32*I32)</f>
        <v/>
      </c>
      <c r="O32" s="2">
        <f>(F32*G32*E32*20)/(D32*I32)</f>
        <v/>
      </c>
      <c r="P32" s="2">
        <f>(F32*G32*E32*25)/(D32*I32)</f>
        <v/>
      </c>
      <c r="Q32" s="2">
        <f>(F32*G32*E32*30)/(D32*I32)</f>
        <v/>
      </c>
      <c r="R32" s="2">
        <f>K32/H32</f>
        <v/>
      </c>
      <c r="S32" s="2">
        <f>L32/H32</f>
        <v/>
      </c>
      <c r="T32" s="2">
        <f>M32/H32</f>
        <v/>
      </c>
      <c r="U32" s="2">
        <f>N32/H32</f>
        <v/>
      </c>
      <c r="V32" s="2">
        <f>O32/H32</f>
        <v/>
      </c>
      <c r="W32" s="2">
        <f>P32/H32</f>
        <v/>
      </c>
      <c r="X32" s="2">
        <f>Q32/H32</f>
        <v/>
      </c>
      <c r="Y32" s="5">
        <f>IF(R32&gt;1,"1","2")</f>
        <v/>
      </c>
      <c r="Z32" s="5">
        <f>IF(S32&gt;1,"1","2")</f>
        <v/>
      </c>
      <c r="AA32" s="5">
        <f>IF(T32&gt;1,"1","2")</f>
        <v/>
      </c>
      <c r="AB32" s="5">
        <f>IF(U32&gt;1,"1","2")</f>
        <v/>
      </c>
      <c r="AC32" s="5">
        <f>IF(V32&gt;1,"1","2")</f>
        <v/>
      </c>
      <c r="AD32" s="5">
        <f>IF(W32&gt;1,"1","2")</f>
        <v/>
      </c>
      <c r="AE32" s="5">
        <f>IF(X32&gt;1,"1","2")</f>
        <v/>
      </c>
      <c r="AF32" t="n">
        <v>-5.156903</v>
      </c>
      <c r="AG32" t="n">
        <v>119.410681</v>
      </c>
    </row>
    <row r="33" ht="14.4" customHeight="1">
      <c r="A33" s="14" t="n">
        <v>30</v>
      </c>
      <c r="B33" s="15" t="inlineStr">
        <is>
          <t>Mak</t>
        </is>
      </c>
      <c r="C33" s="10" t="n">
        <v>10</v>
      </c>
      <c r="D33" s="10" t="n">
        <v>25</v>
      </c>
      <c r="E33" s="16" t="n">
        <v>365</v>
      </c>
      <c r="F33" s="22" t="n">
        <v>0.0002</v>
      </c>
      <c r="G33" s="10" t="n">
        <v>900</v>
      </c>
      <c r="H33" s="12" t="n">
        <v>0.0003</v>
      </c>
      <c r="I33" s="18" t="n">
        <v>10950</v>
      </c>
      <c r="J33" s="20" t="n">
        <v>10</v>
      </c>
      <c r="K33" s="19">
        <f>(F33*G33*E33*J33)/(D33*I33)</f>
        <v/>
      </c>
      <c r="L33" s="2">
        <f>(F33*G33*E33*5)/(D33*I33)</f>
        <v/>
      </c>
      <c r="M33" s="2">
        <f>(F33*G33*E33*10)/(D33*I33)</f>
        <v/>
      </c>
      <c r="N33" s="2">
        <f>(F33*G33*E33*15)/(D33*I33)</f>
        <v/>
      </c>
      <c r="O33" s="2">
        <f>(F33*G33*E33*20)/(D33*I33)</f>
        <v/>
      </c>
      <c r="P33" s="2">
        <f>(F33*G33*E33*25)/(D33*I33)</f>
        <v/>
      </c>
      <c r="Q33" s="2">
        <f>(F33*G33*E33*30)/(D33*I33)</f>
        <v/>
      </c>
      <c r="R33" s="2">
        <f>K33/H33</f>
        <v/>
      </c>
      <c r="S33" s="2">
        <f>L33/H33</f>
        <v/>
      </c>
      <c r="T33" s="2">
        <f>M33/H33</f>
        <v/>
      </c>
      <c r="U33" s="2">
        <f>N33/H33</f>
        <v/>
      </c>
      <c r="V33" s="2">
        <f>O33/H33</f>
        <v/>
      </c>
      <c r="W33" s="2">
        <f>P33/H33</f>
        <v/>
      </c>
      <c r="X33" s="2">
        <f>Q33/H33</f>
        <v/>
      </c>
      <c r="Y33" s="5">
        <f>IF(R33&gt;1,"1","2")</f>
        <v/>
      </c>
      <c r="Z33" s="5">
        <f>IF(S33&gt;1,"1","2")</f>
        <v/>
      </c>
      <c r="AA33" s="5">
        <f>IF(T33&gt;1,"1","2")</f>
        <v/>
      </c>
      <c r="AB33" s="5">
        <f>IF(U33&gt;1,"1","2")</f>
        <v/>
      </c>
      <c r="AC33" s="5">
        <f>IF(V33&gt;1,"1","2")</f>
        <v/>
      </c>
      <c r="AD33" s="5">
        <f>IF(W33&gt;1,"1","2")</f>
        <v/>
      </c>
      <c r="AE33" s="5">
        <f>IF(X33&gt;1,"1","2")</f>
        <v/>
      </c>
      <c r="AF33" t="n">
        <v>-5.137187</v>
      </c>
      <c r="AG33" t="n">
        <v>119.431612</v>
      </c>
    </row>
    <row r="34" ht="14.4" customHeight="1">
      <c r="A34" s="14" t="n">
        <v>31</v>
      </c>
      <c r="B34" s="15" t="inlineStr">
        <is>
          <t>Rwu</t>
        </is>
      </c>
      <c r="C34" s="10" t="n">
        <v>10</v>
      </c>
      <c r="D34" s="10" t="n">
        <v>33</v>
      </c>
      <c r="E34" s="16" t="n">
        <v>365</v>
      </c>
      <c r="F34" s="22" t="n">
        <v>0.0002</v>
      </c>
      <c r="G34" s="10" t="n">
        <v>900</v>
      </c>
      <c r="H34" s="12" t="n">
        <v>0.0003</v>
      </c>
      <c r="I34" s="18" t="n">
        <v>10950</v>
      </c>
      <c r="J34" s="20" t="n">
        <v>10</v>
      </c>
      <c r="K34" s="19">
        <f>(F34*G34*E34*J34)/(D34*I34)</f>
        <v/>
      </c>
      <c r="L34" s="2">
        <f>(F34*G34*E34*5)/(D34*I34)</f>
        <v/>
      </c>
      <c r="M34" s="2">
        <f>(F34*G34*E34*10)/(D34*I34)</f>
        <v/>
      </c>
      <c r="N34" s="2">
        <f>(F34*G34*E34*15)/(D34*I34)</f>
        <v/>
      </c>
      <c r="O34" s="2">
        <f>(F34*G34*E34*20)/(D34*I34)</f>
        <v/>
      </c>
      <c r="P34" s="2">
        <f>(F34*G34*E34*25)/(D34*I34)</f>
        <v/>
      </c>
      <c r="Q34" s="2">
        <f>(F34*G34*E34*30)/(D34*I34)</f>
        <v/>
      </c>
      <c r="R34" s="2">
        <f>K34/H34</f>
        <v/>
      </c>
      <c r="S34" s="2">
        <f>L34/H34</f>
        <v/>
      </c>
      <c r="T34" s="2">
        <f>M34/H34</f>
        <v/>
      </c>
      <c r="U34" s="2">
        <f>N34/H34</f>
        <v/>
      </c>
      <c r="V34" s="2">
        <f>O34/H34</f>
        <v/>
      </c>
      <c r="W34" s="2">
        <f>P34/H34</f>
        <v/>
      </c>
      <c r="X34" s="2">
        <f>Q34/H34</f>
        <v/>
      </c>
      <c r="Y34" s="5">
        <f>IF(R34&gt;1,"1","2")</f>
        <v/>
      </c>
      <c r="Z34" s="5">
        <f>IF(S34&gt;1,"1","2")</f>
        <v/>
      </c>
      <c r="AA34" s="5">
        <f>IF(T34&gt;1,"1","2")</f>
        <v/>
      </c>
      <c r="AB34" s="5">
        <f>IF(U34&gt;1,"1","2")</f>
        <v/>
      </c>
      <c r="AC34" s="5">
        <f>IF(V34&gt;1,"1","2")</f>
        <v/>
      </c>
      <c r="AD34" s="5">
        <f>IF(W34&gt;1,"1","2")</f>
        <v/>
      </c>
      <c r="AE34" s="5">
        <f>IF(X34&gt;1,"1","2")</f>
        <v/>
      </c>
      <c r="AF34" t="n">
        <v>-5.138843</v>
      </c>
      <c r="AG34" t="n">
        <v>119.429287</v>
      </c>
    </row>
    <row r="35" ht="14.4" customHeight="1">
      <c r="A35" s="14" t="n">
        <v>32</v>
      </c>
      <c r="B35" s="15" t="inlineStr">
        <is>
          <t>Nhf</t>
        </is>
      </c>
      <c r="C35" s="10" t="n">
        <v>10</v>
      </c>
      <c r="D35" s="10" t="n">
        <v>25</v>
      </c>
      <c r="E35" s="16" t="n">
        <v>365</v>
      </c>
      <c r="F35" s="22" t="n">
        <v>0.0002</v>
      </c>
      <c r="G35" s="10" t="n">
        <v>900</v>
      </c>
      <c r="H35" s="12" t="n">
        <v>0.0003</v>
      </c>
      <c r="I35" s="18" t="n">
        <v>10950</v>
      </c>
      <c r="J35" s="20" t="n">
        <v>10</v>
      </c>
      <c r="K35" s="19">
        <f>(F35*G35*E35*J35)/(D35*I35)</f>
        <v/>
      </c>
      <c r="L35" s="2">
        <f>(F35*G35*E35*5)/(D35*I35)</f>
        <v/>
      </c>
      <c r="M35" s="2">
        <f>(F35*G35*E35*10)/(D35*I35)</f>
        <v/>
      </c>
      <c r="N35" s="2">
        <f>(F35*G35*E35*15)/(D35*I35)</f>
        <v/>
      </c>
      <c r="O35" s="2">
        <f>(F35*G35*E35*20)/(D35*I35)</f>
        <v/>
      </c>
      <c r="P35" s="2">
        <f>(F35*G35*E35*25)/(D35*I35)</f>
        <v/>
      </c>
      <c r="Q35" s="2">
        <f>(F35*G35*E35*30)/(D35*I35)</f>
        <v/>
      </c>
      <c r="R35" s="2">
        <f>K35/H35</f>
        <v/>
      </c>
      <c r="S35" s="2">
        <f>L35/H35</f>
        <v/>
      </c>
      <c r="T35" s="2">
        <f>M35/H35</f>
        <v/>
      </c>
      <c r="U35" s="2">
        <f>N35/H35</f>
        <v/>
      </c>
      <c r="V35" s="2">
        <f>O35/H35</f>
        <v/>
      </c>
      <c r="W35" s="2">
        <f>P35/H35</f>
        <v/>
      </c>
      <c r="X35" s="2">
        <f>Q35/H35</f>
        <v/>
      </c>
      <c r="Y35" s="5">
        <f>IF(R35&gt;1,"1","2")</f>
        <v/>
      </c>
      <c r="Z35" s="5">
        <f>IF(S35&gt;1,"1","2")</f>
        <v/>
      </c>
      <c r="AA35" s="5">
        <f>IF(T35&gt;1,"1","2")</f>
        <v/>
      </c>
      <c r="AB35" s="5">
        <f>IF(U35&gt;1,"1","2")</f>
        <v/>
      </c>
      <c r="AC35" s="5">
        <f>IF(V35&gt;1,"1","2")</f>
        <v/>
      </c>
      <c r="AD35" s="5">
        <f>IF(W35&gt;1,"1","2")</f>
        <v/>
      </c>
      <c r="AE35" s="5">
        <f>IF(X35&gt;1,"1","2")</f>
        <v/>
      </c>
      <c r="AF35" t="n">
        <v>-5.138052</v>
      </c>
      <c r="AG35" t="n">
        <v>119.437527</v>
      </c>
    </row>
    <row r="36" ht="14.4" customHeight="1">
      <c r="A36" s="14" t="n">
        <v>33</v>
      </c>
      <c r="B36" s="15" t="inlineStr">
        <is>
          <t>Mfk</t>
        </is>
      </c>
      <c r="C36" s="10" t="n">
        <v>10</v>
      </c>
      <c r="D36" s="10" t="n">
        <v>25</v>
      </c>
      <c r="E36" s="16" t="n">
        <v>365</v>
      </c>
      <c r="F36" s="22" t="n">
        <v>0.0002</v>
      </c>
      <c r="G36" s="10" t="n">
        <v>900</v>
      </c>
      <c r="H36" s="12" t="n">
        <v>0.0003</v>
      </c>
      <c r="I36" s="18" t="n">
        <v>10950</v>
      </c>
      <c r="J36" s="20" t="n">
        <v>10</v>
      </c>
      <c r="K36" s="19">
        <f>(F36*G36*E36*J36)/(D36*I36)</f>
        <v/>
      </c>
      <c r="L36" s="2">
        <f>(F36*G36*E36*5)/(D36*I36)</f>
        <v/>
      </c>
      <c r="M36" s="2">
        <f>(F36*G36*E36*10)/(D36*I36)</f>
        <v/>
      </c>
      <c r="N36" s="2">
        <f>(F36*G36*E36*15)/(D36*I36)</f>
        <v/>
      </c>
      <c r="O36" s="2">
        <f>(F36*G36*E36*20)/(D36*I36)</f>
        <v/>
      </c>
      <c r="P36" s="2">
        <f>(F36*G36*E36*25)/(D36*I36)</f>
        <v/>
      </c>
      <c r="Q36" s="2">
        <f>(F36*G36*E36*30)/(D36*I36)</f>
        <v/>
      </c>
      <c r="R36" s="2">
        <f>K36/H36</f>
        <v/>
      </c>
      <c r="S36" s="2">
        <f>L36/H36</f>
        <v/>
      </c>
      <c r="T36" s="2">
        <f>M36/H36</f>
        <v/>
      </c>
      <c r="U36" s="2">
        <f>N36/H36</f>
        <v/>
      </c>
      <c r="V36" s="2">
        <f>O36/H36</f>
        <v/>
      </c>
      <c r="W36" s="2">
        <f>P36/H36</f>
        <v/>
      </c>
      <c r="X36" s="2">
        <f>Q36/H36</f>
        <v/>
      </c>
      <c r="Y36" s="5">
        <f>IF(R36&gt;1,"1","2")</f>
        <v/>
      </c>
      <c r="Z36" s="5">
        <f>IF(S36&gt;1,"1","2")</f>
        <v/>
      </c>
      <c r="AA36" s="5">
        <f>IF(T36&gt;1,"1","2")</f>
        <v/>
      </c>
      <c r="AB36" s="5">
        <f>IF(U36&gt;1,"1","2")</f>
        <v/>
      </c>
      <c r="AC36" s="5">
        <f>IF(V36&gt;1,"1","2")</f>
        <v/>
      </c>
      <c r="AD36" s="5">
        <f>IF(W36&gt;1,"1","2")</f>
        <v/>
      </c>
      <c r="AE36" s="5">
        <f>IF(X36&gt;1,"1","2")</f>
        <v/>
      </c>
      <c r="AF36" t="n">
        <v>-5.146852</v>
      </c>
      <c r="AG36" t="n">
        <v>119.449161</v>
      </c>
    </row>
    <row r="37" ht="14.4" customHeight="1">
      <c r="A37" s="14" t="n">
        <v>34</v>
      </c>
      <c r="B37" s="15" t="inlineStr">
        <is>
          <t>Ewi</t>
        </is>
      </c>
      <c r="C37" s="10" t="n">
        <v>10</v>
      </c>
      <c r="D37" s="10" t="n">
        <v>33</v>
      </c>
      <c r="E37" s="17" t="n">
        <v>365</v>
      </c>
      <c r="F37" s="22" t="n">
        <v>0.0002</v>
      </c>
      <c r="G37" s="10" t="n">
        <v>900</v>
      </c>
      <c r="H37" s="12" t="n">
        <v>0.0003</v>
      </c>
      <c r="I37" s="18" t="n">
        <v>10950</v>
      </c>
      <c r="J37" s="20" t="n">
        <v>10</v>
      </c>
      <c r="K37" s="19">
        <f>(F37*G37*E37*J37)/(D37*I37)</f>
        <v/>
      </c>
      <c r="L37" s="2">
        <f>(F37*G37*E37*5)/(D37*I37)</f>
        <v/>
      </c>
      <c r="M37" s="2">
        <f>(F37*G37*E37*10)/(D37*I37)</f>
        <v/>
      </c>
      <c r="N37" s="2">
        <f>(F37*G37*E37*15)/(D37*I37)</f>
        <v/>
      </c>
      <c r="O37" s="2">
        <f>(F37*G37*E37*20)/(D37*I37)</f>
        <v/>
      </c>
      <c r="P37" s="2">
        <f>(F37*G37*E37*25)/(D37*I37)</f>
        <v/>
      </c>
      <c r="Q37" s="2">
        <f>(F37*G37*E37*30)/(D37*I37)</f>
        <v/>
      </c>
      <c r="R37" s="2">
        <f>K37/H37</f>
        <v/>
      </c>
      <c r="S37" s="2">
        <f>L37/H37</f>
        <v/>
      </c>
      <c r="T37" s="2">
        <f>M37/H37</f>
        <v/>
      </c>
      <c r="U37" s="2">
        <f>N37/H37</f>
        <v/>
      </c>
      <c r="V37" s="2">
        <f>O37/H37</f>
        <v/>
      </c>
      <c r="W37" s="2">
        <f>P37/H37</f>
        <v/>
      </c>
      <c r="X37" s="2">
        <f>Q37/H37</f>
        <v/>
      </c>
      <c r="Y37" s="5">
        <f>IF(R37&gt;1,"1","2")</f>
        <v/>
      </c>
      <c r="Z37" s="5">
        <f>IF(S37&gt;1,"1","2")</f>
        <v/>
      </c>
      <c r="AA37" s="5">
        <f>IF(T37&gt;1,"1","2")</f>
        <v/>
      </c>
      <c r="AB37" s="5">
        <f>IF(U37&gt;1,"1","2")</f>
        <v/>
      </c>
      <c r="AC37" s="5">
        <f>IF(V37&gt;1,"1","2")</f>
        <v/>
      </c>
      <c r="AD37" s="5">
        <f>IF(W37&gt;1,"1","2")</f>
        <v/>
      </c>
      <c r="AE37" s="5">
        <f>IF(X37&gt;1,"1","2")</f>
        <v/>
      </c>
      <c r="AF37" t="n">
        <v>-5.13272</v>
      </c>
      <c r="AG37" t="n">
        <v>119.40458</v>
      </c>
    </row>
    <row r="38" ht="14.4" customHeight="1">
      <c r="A38" s="14" t="n">
        <v>35</v>
      </c>
      <c r="B38" s="15" t="inlineStr">
        <is>
          <t>Nul</t>
        </is>
      </c>
      <c r="C38" s="10" t="n">
        <v>10</v>
      </c>
      <c r="D38" s="10" t="n">
        <v>25</v>
      </c>
      <c r="E38" s="17" t="n">
        <v>365</v>
      </c>
      <c r="F38" s="22" t="n">
        <v>0.0002</v>
      </c>
      <c r="G38" s="10" t="n">
        <v>900</v>
      </c>
      <c r="H38" s="12" t="n">
        <v>0.0003</v>
      </c>
      <c r="I38" s="18" t="n">
        <v>10950</v>
      </c>
      <c r="J38" s="20" t="n">
        <v>10</v>
      </c>
      <c r="K38" s="19">
        <f>(F38*G38*E38*J38)/(D38*I38)</f>
        <v/>
      </c>
      <c r="L38" s="2">
        <f>(F38*G38*E38*5)/(D38*I38)</f>
        <v/>
      </c>
      <c r="M38" s="2">
        <f>(F38*G38*E38*10)/(D38*I38)</f>
        <v/>
      </c>
      <c r="N38" s="2">
        <f>(F38*G38*E38*15)/(D38*I38)</f>
        <v/>
      </c>
      <c r="O38" s="2">
        <f>(F38*G38*E38*20)/(D38*I38)</f>
        <v/>
      </c>
      <c r="P38" s="2">
        <f>(F38*G38*E38*25)/(D38*I38)</f>
        <v/>
      </c>
      <c r="Q38" s="2">
        <f>(F38*G38*E38*30)/(D38*I38)</f>
        <v/>
      </c>
      <c r="R38" s="2">
        <f>K38/H38</f>
        <v/>
      </c>
      <c r="S38" s="2">
        <f>L38/H38</f>
        <v/>
      </c>
      <c r="T38" s="2">
        <f>M38/H38</f>
        <v/>
      </c>
      <c r="U38" s="2">
        <f>N38/H38</f>
        <v/>
      </c>
      <c r="V38" s="2">
        <f>O38/H38</f>
        <v/>
      </c>
      <c r="W38" s="2">
        <f>P38/H38</f>
        <v/>
      </c>
      <c r="X38" s="2">
        <f>Q38/H38</f>
        <v/>
      </c>
      <c r="Y38" s="5">
        <f>IF(R38&gt;1,"1","2")</f>
        <v/>
      </c>
      <c r="Z38" s="5">
        <f>IF(S38&gt;1,"1","2")</f>
        <v/>
      </c>
      <c r="AA38" s="5">
        <f>IF(T38&gt;1,"1","2")</f>
        <v/>
      </c>
      <c r="AB38" s="5">
        <f>IF(U38&gt;1,"1","2")</f>
        <v/>
      </c>
      <c r="AC38" s="5">
        <f>IF(V38&gt;1,"1","2")</f>
        <v/>
      </c>
      <c r="AD38" s="5">
        <f>IF(W38&gt;1,"1","2")</f>
        <v/>
      </c>
      <c r="AE38" s="5">
        <f>IF(X38&gt;1,"1","2")</f>
        <v/>
      </c>
      <c r="AF38" t="n">
        <v>-5.134421</v>
      </c>
      <c r="AG38" t="n">
        <v>119.421451</v>
      </c>
    </row>
    <row r="39" ht="14.4" customHeight="1">
      <c r="A39" s="14" t="n">
        <v>36</v>
      </c>
      <c r="B39" s="15" t="inlineStr">
        <is>
          <t>Naq</t>
        </is>
      </c>
      <c r="C39" s="10" t="n">
        <v>10</v>
      </c>
      <c r="D39" s="10" t="n">
        <v>24</v>
      </c>
      <c r="E39" s="17" t="n">
        <v>365</v>
      </c>
      <c r="F39" s="22" t="n">
        <v>0.0002</v>
      </c>
      <c r="G39" s="10" t="n">
        <v>900</v>
      </c>
      <c r="H39" s="12" t="n">
        <v>0.0003</v>
      </c>
      <c r="I39" s="18" t="n">
        <v>10950</v>
      </c>
      <c r="J39" s="20" t="n">
        <v>1</v>
      </c>
      <c r="K39" s="19">
        <f>(F39*G39*E39*J39)/(D39*I39)</f>
        <v/>
      </c>
      <c r="L39" s="2">
        <f>(F39*G39*E39*5)/(D39*I39)</f>
        <v/>
      </c>
      <c r="M39" s="2">
        <f>(F39*G39*E39*10)/(D39*I39)</f>
        <v/>
      </c>
      <c r="N39" s="2">
        <f>(F39*G39*E39*15)/(D39*I39)</f>
        <v/>
      </c>
      <c r="O39" s="2">
        <f>(F39*G39*E39*20)/(D39*I39)</f>
        <v/>
      </c>
      <c r="P39" s="2">
        <f>(F39*G39*E39*25)/(D39*I39)</f>
        <v/>
      </c>
      <c r="Q39" s="2">
        <f>(F39*G39*E39*30)/(D39*I39)</f>
        <v/>
      </c>
      <c r="R39" s="2">
        <f>K39/H39</f>
        <v/>
      </c>
      <c r="S39" s="2">
        <f>L39/H39</f>
        <v/>
      </c>
      <c r="T39" s="2">
        <f>M39/H39</f>
        <v/>
      </c>
      <c r="U39" s="2">
        <f>N39/H39</f>
        <v/>
      </c>
      <c r="V39" s="2">
        <f>O39/H39</f>
        <v/>
      </c>
      <c r="W39" s="2">
        <f>P39/H39</f>
        <v/>
      </c>
      <c r="X39" s="2">
        <f>Q39/H39</f>
        <v/>
      </c>
      <c r="Y39" s="5">
        <f>IF(R39&gt;1,"1","2")</f>
        <v/>
      </c>
      <c r="Z39" s="5">
        <f>IF(S39&gt;1,"1","2")</f>
        <v/>
      </c>
      <c r="AA39" s="5">
        <f>IF(T39&gt;1,"1","2")</f>
        <v/>
      </c>
      <c r="AB39" s="5">
        <f>IF(U39&gt;1,"1","2")</f>
        <v/>
      </c>
      <c r="AC39" s="5">
        <f>IF(V39&gt;1,"1","2")</f>
        <v/>
      </c>
      <c r="AD39" s="5">
        <f>IF(W39&gt;1,"1","2")</f>
        <v/>
      </c>
      <c r="AE39" s="5">
        <f>IF(X39&gt;1,"1","2")</f>
        <v/>
      </c>
      <c r="AF39" t="n">
        <v>-5.151606</v>
      </c>
      <c r="AG39" t="n">
        <v>119.41927</v>
      </c>
    </row>
    <row r="40" ht="14.4" customHeight="1">
      <c r="A40" s="14" t="n">
        <v>37</v>
      </c>
      <c r="B40" s="15" t="inlineStr">
        <is>
          <t>Frd</t>
        </is>
      </c>
      <c r="C40" s="10" t="n">
        <v>10</v>
      </c>
      <c r="D40" s="10" t="n">
        <v>20</v>
      </c>
      <c r="E40" s="17" t="n">
        <v>365</v>
      </c>
      <c r="F40" s="22" t="n">
        <v>0.0002</v>
      </c>
      <c r="G40" s="10" t="n">
        <v>900</v>
      </c>
      <c r="H40" s="12" t="n">
        <v>0.0003</v>
      </c>
      <c r="I40" s="18" t="n">
        <v>10950</v>
      </c>
      <c r="J40" s="20" t="n">
        <v>10</v>
      </c>
      <c r="K40" s="19">
        <f>(F40*G40*E40*J40)/(D40*I40)</f>
        <v/>
      </c>
      <c r="L40" s="2">
        <f>(F40*G40*E40*5)/(D40*I40)</f>
        <v/>
      </c>
      <c r="M40" s="2">
        <f>(F40*G40*E40*10)/(D40*I40)</f>
        <v/>
      </c>
      <c r="N40" s="2">
        <f>(F40*G40*E40*15)/(D40*I40)</f>
        <v/>
      </c>
      <c r="O40" s="2">
        <f>(F40*G40*E40*20)/(D40*I40)</f>
        <v/>
      </c>
      <c r="P40" s="2">
        <f>(F40*G40*E40*25)/(D40*I40)</f>
        <v/>
      </c>
      <c r="Q40" s="2">
        <f>(F40*G40*E40*30)/(D40*I40)</f>
        <v/>
      </c>
      <c r="R40" s="2">
        <f>K40/H40</f>
        <v/>
      </c>
      <c r="S40" s="2">
        <f>L40/H40</f>
        <v/>
      </c>
      <c r="T40" s="2">
        <f>M40/H40</f>
        <v/>
      </c>
      <c r="U40" s="2">
        <f>N40/H40</f>
        <v/>
      </c>
      <c r="V40" s="2">
        <f>O40/H40</f>
        <v/>
      </c>
      <c r="W40" s="2">
        <f>P40/H40</f>
        <v/>
      </c>
      <c r="X40" s="2">
        <f>Q40/H40</f>
        <v/>
      </c>
      <c r="Y40" s="5">
        <f>IF(R40&gt;1,"1","2")</f>
        <v/>
      </c>
      <c r="Z40" s="5">
        <f>IF(S40&gt;1,"1","2")</f>
        <v/>
      </c>
      <c r="AA40" s="5">
        <f>IF(T40&gt;1,"1","2")</f>
        <v/>
      </c>
      <c r="AB40" s="5">
        <f>IF(U40&gt;1,"1","2")</f>
        <v/>
      </c>
      <c r="AC40" s="5">
        <f>IF(V40&gt;1,"1","2")</f>
        <v/>
      </c>
      <c r="AD40" s="5">
        <f>IF(W40&gt;1,"1","2")</f>
        <v/>
      </c>
      <c r="AE40" s="5">
        <f>IF(X40&gt;1,"1","2")</f>
        <v/>
      </c>
      <c r="AF40" t="n">
        <v>-5.141656</v>
      </c>
      <c r="AG40" t="n">
        <v>119.443893</v>
      </c>
    </row>
    <row r="41" ht="14.4" customHeight="1">
      <c r="A41" s="14" t="n">
        <v>38</v>
      </c>
      <c r="B41" s="15" t="inlineStr">
        <is>
          <t>Ark</t>
        </is>
      </c>
      <c r="C41" s="10" t="n">
        <v>10</v>
      </c>
      <c r="D41" s="10" t="n">
        <v>25</v>
      </c>
      <c r="E41" s="17" t="n">
        <v>365</v>
      </c>
      <c r="F41" s="22" t="n">
        <v>0.0002</v>
      </c>
      <c r="G41" s="10" t="n">
        <v>900</v>
      </c>
      <c r="H41" s="12" t="n">
        <v>0.0003</v>
      </c>
      <c r="I41" s="18" t="n">
        <v>10950</v>
      </c>
      <c r="J41" s="20" t="n">
        <v>10</v>
      </c>
      <c r="K41" s="19">
        <f>(F41*G41*E41*J41)/(D41*I41)</f>
        <v/>
      </c>
      <c r="L41" s="2">
        <f>(F41*G41*E41*5)/(D41*I41)</f>
        <v/>
      </c>
      <c r="M41" s="2">
        <f>(F41*G41*E41*10)/(D41*I41)</f>
        <v/>
      </c>
      <c r="N41" s="2">
        <f>(F41*G41*E41*15)/(D41*I41)</f>
        <v/>
      </c>
      <c r="O41" s="2">
        <f>(F41*G41*E41*20)/(D41*I41)</f>
        <v/>
      </c>
      <c r="P41" s="2">
        <f>(F41*G41*E41*25)/(D41*I41)</f>
        <v/>
      </c>
      <c r="Q41" s="2">
        <f>(F41*G41*E41*30)/(D41*I41)</f>
        <v/>
      </c>
      <c r="R41" s="2">
        <f>K41/H41</f>
        <v/>
      </c>
      <c r="S41" s="2">
        <f>L41/H41</f>
        <v/>
      </c>
      <c r="T41" s="2">
        <f>M41/H41</f>
        <v/>
      </c>
      <c r="U41" s="2">
        <f>N41/H41</f>
        <v/>
      </c>
      <c r="V41" s="2">
        <f>O41/H41</f>
        <v/>
      </c>
      <c r="W41" s="2">
        <f>P41/H41</f>
        <v/>
      </c>
      <c r="X41" s="2">
        <f>Q41/H41</f>
        <v/>
      </c>
      <c r="Y41" s="5">
        <f>IF(R41&gt;1,"1","2")</f>
        <v/>
      </c>
      <c r="Z41" s="5">
        <f>IF(S41&gt;1,"1","2")</f>
        <v/>
      </c>
      <c r="AA41" s="5">
        <f>IF(T41&gt;1,"1","2")</f>
        <v/>
      </c>
      <c r="AB41" s="5">
        <f>IF(U41&gt;1,"1","2")</f>
        <v/>
      </c>
      <c r="AC41" s="5">
        <f>IF(V41&gt;1,"1","2")</f>
        <v/>
      </c>
      <c r="AD41" s="5">
        <f>IF(W41&gt;1,"1","2")</f>
        <v/>
      </c>
      <c r="AE41" s="5">
        <f>IF(X41&gt;1,"1","2")</f>
        <v/>
      </c>
      <c r="AF41" t="n">
        <v>-5.144759</v>
      </c>
      <c r="AG41" t="n">
        <v>119.411536</v>
      </c>
    </row>
    <row r="42" ht="14.4" customHeight="1">
      <c r="A42" s="14" t="n">
        <v>39</v>
      </c>
      <c r="B42" s="15" t="inlineStr">
        <is>
          <t>Dah</t>
        </is>
      </c>
      <c r="C42" s="10" t="n">
        <v>10</v>
      </c>
      <c r="D42" s="10" t="n">
        <v>30</v>
      </c>
      <c r="E42" s="17" t="n">
        <v>365</v>
      </c>
      <c r="F42" s="22" t="n">
        <v>0.0002</v>
      </c>
      <c r="G42" s="10" t="n">
        <v>900</v>
      </c>
      <c r="H42" s="12" t="n">
        <v>0.0003</v>
      </c>
      <c r="I42" s="18" t="n">
        <v>10950</v>
      </c>
      <c r="J42" s="20" t="n">
        <v>10</v>
      </c>
      <c r="K42" s="19">
        <f>(F42*G42*E42*J42)/(D42*I42)</f>
        <v/>
      </c>
      <c r="L42" s="2">
        <f>(F42*G42*E42*5)/(D42*I42)</f>
        <v/>
      </c>
      <c r="M42" s="2">
        <f>(F42*G42*E42*10)/(D42*I42)</f>
        <v/>
      </c>
      <c r="N42" s="2">
        <f>(F42*G42*E42*15)/(D42*I42)</f>
        <v/>
      </c>
      <c r="O42" s="2">
        <f>(F42*G42*E42*20)/(D42*I42)</f>
        <v/>
      </c>
      <c r="P42" s="2">
        <f>(F42*G42*E42*25)/(D42*I42)</f>
        <v/>
      </c>
      <c r="Q42" s="2">
        <f>(F42*G42*E42*30)/(D42*I42)</f>
        <v/>
      </c>
      <c r="R42" s="2">
        <f>K42/H42</f>
        <v/>
      </c>
      <c r="S42" s="2">
        <f>L42/H42</f>
        <v/>
      </c>
      <c r="T42" s="2">
        <f>M42/H42</f>
        <v/>
      </c>
      <c r="U42" s="2">
        <f>N42/H42</f>
        <v/>
      </c>
      <c r="V42" s="2">
        <f>O42/H42</f>
        <v/>
      </c>
      <c r="W42" s="2">
        <f>P42/H42</f>
        <v/>
      </c>
      <c r="X42" s="2">
        <f>Q42/H42</f>
        <v/>
      </c>
      <c r="Y42" s="5">
        <f>IF(R42&gt;1,"1","2")</f>
        <v/>
      </c>
      <c r="Z42" s="5">
        <f>IF(S42&gt;1,"1","2")</f>
        <v/>
      </c>
      <c r="AA42" s="5">
        <f>IF(T42&gt;1,"1","2")</f>
        <v/>
      </c>
      <c r="AB42" s="5">
        <f>IF(U42&gt;1,"1","2")</f>
        <v/>
      </c>
      <c r="AC42" s="5">
        <f>IF(V42&gt;1,"1","2")</f>
        <v/>
      </c>
      <c r="AD42" s="5">
        <f>IF(W42&gt;1,"1","2")</f>
        <v/>
      </c>
      <c r="AE42" s="5">
        <f>IF(X42&gt;1,"1","2")</f>
        <v/>
      </c>
      <c r="AF42" t="n">
        <v>-5.134423</v>
      </c>
      <c r="AG42" t="n">
        <v>119.401251</v>
      </c>
    </row>
    <row r="43" ht="14.4" customHeight="1">
      <c r="A43" s="14" t="n">
        <v>40</v>
      </c>
      <c r="B43" s="15" t="inlineStr">
        <is>
          <t>Wah</t>
        </is>
      </c>
      <c r="C43" s="10" t="n">
        <v>10</v>
      </c>
      <c r="D43" s="10" t="n">
        <v>25</v>
      </c>
      <c r="E43" s="17" t="n">
        <v>365</v>
      </c>
      <c r="F43" s="22" t="n">
        <v>0.0002</v>
      </c>
      <c r="G43" s="10" t="n">
        <v>900</v>
      </c>
      <c r="H43" s="12" t="n">
        <v>0.0003</v>
      </c>
      <c r="I43" s="18" t="n">
        <v>10950</v>
      </c>
      <c r="J43" s="20" t="n">
        <v>10</v>
      </c>
      <c r="K43" s="19">
        <f>(F43*G43*E43*J43)/(D43*I43)</f>
        <v/>
      </c>
      <c r="L43" s="2">
        <f>(F43*G43*E43*5)/(D43*I43)</f>
        <v/>
      </c>
      <c r="M43" s="2">
        <f>(F43*G43*E43*10)/(D43*I43)</f>
        <v/>
      </c>
      <c r="N43" s="2">
        <f>(F43*G43*E43*15)/(D43*I43)</f>
        <v/>
      </c>
      <c r="O43" s="2">
        <f>(F43*G43*E43*20)/(D43*I43)</f>
        <v/>
      </c>
      <c r="P43" s="2">
        <f>(F43*G43*E43*25)/(D43*I43)</f>
        <v/>
      </c>
      <c r="Q43" s="2">
        <f>(F43*G43*E43*30)/(D43*I43)</f>
        <v/>
      </c>
      <c r="R43" s="2">
        <f>K43/H43</f>
        <v/>
      </c>
      <c r="S43" s="2">
        <f>L43/H43</f>
        <v/>
      </c>
      <c r="T43" s="2">
        <f>M43/H43</f>
        <v/>
      </c>
      <c r="U43" s="2">
        <f>N43/H43</f>
        <v/>
      </c>
      <c r="V43" s="2">
        <f>O43/H43</f>
        <v/>
      </c>
      <c r="W43" s="2">
        <f>P43/H43</f>
        <v/>
      </c>
      <c r="X43" s="2">
        <f>Q43/H43</f>
        <v/>
      </c>
      <c r="Y43" s="5">
        <f>IF(R43&gt;1,"1","2")</f>
        <v/>
      </c>
      <c r="Z43" s="5">
        <f>IF(S43&gt;1,"1","2")</f>
        <v/>
      </c>
      <c r="AA43" s="5">
        <f>IF(T43&gt;1,"1","2")</f>
        <v/>
      </c>
      <c r="AB43" s="5">
        <f>IF(U43&gt;1,"1","2")</f>
        <v/>
      </c>
      <c r="AC43" s="5">
        <f>IF(V43&gt;1,"1","2")</f>
        <v/>
      </c>
      <c r="AD43" s="5">
        <f>IF(W43&gt;1,"1","2")</f>
        <v/>
      </c>
      <c r="AE43" s="5">
        <f>IF(X43&gt;1,"1","2")</f>
        <v/>
      </c>
      <c r="AF43" t="n">
        <v>-5.158458</v>
      </c>
      <c r="AG43" t="n">
        <v>119.434811</v>
      </c>
    </row>
    <row r="44" ht="14.4" customHeight="1">
      <c r="A44" s="14" t="n">
        <v>41</v>
      </c>
      <c r="B44" s="15" t="inlineStr">
        <is>
          <t>Roh</t>
        </is>
      </c>
      <c r="C44" s="10" t="n">
        <v>10</v>
      </c>
      <c r="D44" s="10" t="n">
        <v>37</v>
      </c>
      <c r="E44" s="17" t="n">
        <v>365</v>
      </c>
      <c r="F44" s="22" t="n">
        <v>0.0002</v>
      </c>
      <c r="G44" s="10" t="n">
        <v>900</v>
      </c>
      <c r="H44" s="12" t="n">
        <v>0.0003</v>
      </c>
      <c r="I44" s="18" t="n">
        <v>10950</v>
      </c>
      <c r="J44" s="20" t="n">
        <v>10</v>
      </c>
      <c r="K44" s="19">
        <f>(F44*G44*E44*J44)/(D44*I44)</f>
        <v/>
      </c>
      <c r="L44" s="2">
        <f>(F44*G44*E44*5)/(D44*I44)</f>
        <v/>
      </c>
      <c r="M44" s="2">
        <f>(F44*G44*E44*10)/(D44*I44)</f>
        <v/>
      </c>
      <c r="N44" s="2">
        <f>(F44*G44*E44*15)/(D44*I44)</f>
        <v/>
      </c>
      <c r="O44" s="2">
        <f>(F44*G44*E44*20)/(D44*I44)</f>
        <v/>
      </c>
      <c r="P44" s="2">
        <f>(F44*G44*E44*25)/(D44*I44)</f>
        <v/>
      </c>
      <c r="Q44" s="2">
        <f>(F44*G44*E44*30)/(D44*I44)</f>
        <v/>
      </c>
      <c r="R44" s="2">
        <f>K44/H44</f>
        <v/>
      </c>
      <c r="S44" s="2">
        <f>L44/H44</f>
        <v/>
      </c>
      <c r="T44" s="2">
        <f>M44/H44</f>
        <v/>
      </c>
      <c r="U44" s="2">
        <f>N44/H44</f>
        <v/>
      </c>
      <c r="V44" s="2">
        <f>O44/H44</f>
        <v/>
      </c>
      <c r="W44" s="2">
        <f>P44/H44</f>
        <v/>
      </c>
      <c r="X44" s="2">
        <f>Q44/H44</f>
        <v/>
      </c>
      <c r="Y44" s="5">
        <f>IF(R44&gt;1,"1","2")</f>
        <v/>
      </c>
      <c r="Z44" s="5">
        <f>IF(S44&gt;1,"1","2")</f>
        <v/>
      </c>
      <c r="AA44" s="5">
        <f>IF(T44&gt;1,"1","2")</f>
        <v/>
      </c>
      <c r="AB44" s="5">
        <f>IF(U44&gt;1,"1","2")</f>
        <v/>
      </c>
      <c r="AC44" s="5">
        <f>IF(V44&gt;1,"1","2")</f>
        <v/>
      </c>
      <c r="AD44" s="5">
        <f>IF(W44&gt;1,"1","2")</f>
        <v/>
      </c>
      <c r="AE44" s="5">
        <f>IF(X44&gt;1,"1","2")</f>
        <v/>
      </c>
      <c r="AF44" t="n">
        <v>-5.143659</v>
      </c>
      <c r="AG44" t="n">
        <v>119.427099</v>
      </c>
    </row>
    <row r="45" ht="14.4" customHeight="1">
      <c r="A45" s="14" t="n">
        <v>42</v>
      </c>
      <c r="B45" s="15" t="inlineStr">
        <is>
          <t>Nur</t>
        </is>
      </c>
      <c r="C45" s="10" t="n">
        <v>10</v>
      </c>
      <c r="D45" s="10" t="n">
        <v>22</v>
      </c>
      <c r="E45" s="17" t="n">
        <v>365</v>
      </c>
      <c r="F45" s="22" t="n">
        <v>0.0002</v>
      </c>
      <c r="G45" s="10" t="n">
        <v>900</v>
      </c>
      <c r="H45" s="12" t="n">
        <v>0.0003</v>
      </c>
      <c r="I45" s="18" t="n">
        <v>10950</v>
      </c>
      <c r="J45" s="20" t="n">
        <v>10</v>
      </c>
      <c r="K45" s="19">
        <f>(F45*G45*E45*J45)/(D45*I45)</f>
        <v/>
      </c>
      <c r="L45" s="2">
        <f>(F45*G45*E45*5)/(D45*I45)</f>
        <v/>
      </c>
      <c r="M45" s="2">
        <f>(F45*G45*E45*10)/(D45*I45)</f>
        <v/>
      </c>
      <c r="N45" s="2">
        <f>(F45*G45*E45*15)/(D45*I45)</f>
        <v/>
      </c>
      <c r="O45" s="2">
        <f>(F45*G45*E45*20)/(D45*I45)</f>
        <v/>
      </c>
      <c r="P45" s="2">
        <f>(F45*G45*E45*25)/(D45*I45)</f>
        <v/>
      </c>
      <c r="Q45" s="2">
        <f>(F45*G45*E45*30)/(D45*I45)</f>
        <v/>
      </c>
      <c r="R45" s="2">
        <f>K45/H45</f>
        <v/>
      </c>
      <c r="S45" s="2">
        <f>L45/H45</f>
        <v/>
      </c>
      <c r="T45" s="2">
        <f>M45/H45</f>
        <v/>
      </c>
      <c r="U45" s="2">
        <f>N45/H45</f>
        <v/>
      </c>
      <c r="V45" s="2">
        <f>O45/H45</f>
        <v/>
      </c>
      <c r="W45" s="2">
        <f>P45/H45</f>
        <v/>
      </c>
      <c r="X45" s="2">
        <f>Q45/H45</f>
        <v/>
      </c>
      <c r="Y45" s="5">
        <f>IF(R45&gt;1,"1","2")</f>
        <v/>
      </c>
      <c r="Z45" s="5">
        <f>IF(S45&gt;1,"1","2")</f>
        <v/>
      </c>
      <c r="AA45" s="5">
        <f>IF(T45&gt;1,"1","2")</f>
        <v/>
      </c>
      <c r="AB45" s="5">
        <f>IF(U45&gt;1,"1","2")</f>
        <v/>
      </c>
      <c r="AC45" s="5">
        <f>IF(V45&gt;1,"1","2")</f>
        <v/>
      </c>
      <c r="AD45" s="5">
        <f>IF(W45&gt;1,"1","2")</f>
        <v/>
      </c>
      <c r="AE45" s="5">
        <f>IF(X45&gt;1,"1","2")</f>
        <v/>
      </c>
      <c r="AF45" t="n">
        <v>-5.149125</v>
      </c>
      <c r="AG45" t="n">
        <v>119.424401</v>
      </c>
    </row>
    <row r="46" ht="14.4" customHeight="1">
      <c r="A46" s="14" t="n">
        <v>43</v>
      </c>
      <c r="B46" s="15" t="inlineStr">
        <is>
          <t>Ars</t>
        </is>
      </c>
      <c r="C46" s="10" t="n">
        <v>10</v>
      </c>
      <c r="D46" s="10" t="n">
        <v>20</v>
      </c>
      <c r="E46" s="17" t="n">
        <v>365</v>
      </c>
      <c r="F46" s="22" t="n">
        <v>0.0002</v>
      </c>
      <c r="G46" s="10" t="n">
        <v>900</v>
      </c>
      <c r="H46" s="12" t="n">
        <v>0.0003</v>
      </c>
      <c r="I46" s="18" t="n">
        <v>10950</v>
      </c>
      <c r="J46" s="20" t="n">
        <v>6</v>
      </c>
      <c r="K46" s="19">
        <f>(F46*G46*E46*J46)/(D46*I46)</f>
        <v/>
      </c>
      <c r="L46" s="2">
        <f>(F46*G46*E46*5)/(D46*I46)</f>
        <v/>
      </c>
      <c r="M46" s="2">
        <f>(F46*G46*E46*10)/(D46*I46)</f>
        <v/>
      </c>
      <c r="N46" s="2">
        <f>(F46*G46*E46*15)/(D46*I46)</f>
        <v/>
      </c>
      <c r="O46" s="2">
        <f>(F46*G46*E46*20)/(D46*I46)</f>
        <v/>
      </c>
      <c r="P46" s="2">
        <f>(F46*G46*E46*25)/(D46*I46)</f>
        <v/>
      </c>
      <c r="Q46" s="2">
        <f>(F46*G46*E46*30)/(D46*I46)</f>
        <v/>
      </c>
      <c r="R46" s="2">
        <f>K46/H46</f>
        <v/>
      </c>
      <c r="S46" s="2">
        <f>L46/H46</f>
        <v/>
      </c>
      <c r="T46" s="2">
        <f>M46/H46</f>
        <v/>
      </c>
      <c r="U46" s="2">
        <f>N46/H46</f>
        <v/>
      </c>
      <c r="V46" s="2">
        <f>O46/H46</f>
        <v/>
      </c>
      <c r="W46" s="2">
        <f>P46/H46</f>
        <v/>
      </c>
      <c r="X46" s="2">
        <f>Q46/H46</f>
        <v/>
      </c>
      <c r="Y46" s="5">
        <f>IF(R46&gt;1,"1","2")</f>
        <v/>
      </c>
      <c r="Z46" s="5">
        <f>IF(S46&gt;1,"1","2")</f>
        <v/>
      </c>
      <c r="AA46" s="5">
        <f>IF(T46&gt;1,"1","2")</f>
        <v/>
      </c>
      <c r="AB46" s="5">
        <f>IF(U46&gt;1,"1","2")</f>
        <v/>
      </c>
      <c r="AC46" s="5">
        <f>IF(V46&gt;1,"1","2")</f>
        <v/>
      </c>
      <c r="AD46" s="5">
        <f>IF(W46&gt;1,"1","2")</f>
        <v/>
      </c>
      <c r="AE46" s="5">
        <f>IF(X46&gt;1,"1","2")</f>
        <v/>
      </c>
      <c r="AF46" t="n">
        <v>-5.124469</v>
      </c>
      <c r="AG46" t="n">
        <v>119.42</v>
      </c>
    </row>
    <row r="47" ht="14.4" customHeight="1">
      <c r="A47" s="14" t="n">
        <v>44</v>
      </c>
      <c r="B47" s="15" t="inlineStr">
        <is>
          <t>Ani</t>
        </is>
      </c>
      <c r="C47" s="10" t="n">
        <v>10</v>
      </c>
      <c r="D47" s="10" t="n">
        <v>25</v>
      </c>
      <c r="E47" s="17" t="n">
        <v>365</v>
      </c>
      <c r="F47" s="22" t="n">
        <v>0.0002</v>
      </c>
      <c r="G47" s="10" t="n">
        <v>1500</v>
      </c>
      <c r="H47" s="12" t="n">
        <v>0.0003</v>
      </c>
      <c r="I47" s="18" t="n">
        <v>10950</v>
      </c>
      <c r="J47" s="20" t="n">
        <v>6</v>
      </c>
      <c r="K47" s="19">
        <f>(F47*G47*E47*J47)/(D47*I47)</f>
        <v/>
      </c>
      <c r="L47" s="2">
        <f>(F47*G47*E47*5)/(D47*I47)</f>
        <v/>
      </c>
      <c r="M47" s="2">
        <f>(F47*G47*E47*10)/(D47*I47)</f>
        <v/>
      </c>
      <c r="N47" s="2">
        <f>(F47*G47*E47*15)/(D47*I47)</f>
        <v/>
      </c>
      <c r="O47" s="2">
        <f>(F47*G47*E47*20)/(D47*I47)</f>
        <v/>
      </c>
      <c r="P47" s="2">
        <f>(F47*G47*E47*25)/(D47*I47)</f>
        <v/>
      </c>
      <c r="Q47" s="2">
        <f>(F47*G47*E47*30)/(D47*I47)</f>
        <v/>
      </c>
      <c r="R47" s="2">
        <f>K47/H47</f>
        <v/>
      </c>
      <c r="S47" s="2">
        <f>L47/H47</f>
        <v/>
      </c>
      <c r="T47" s="2">
        <f>M47/H47</f>
        <v/>
      </c>
      <c r="U47" s="2">
        <f>N47/H47</f>
        <v/>
      </c>
      <c r="V47" s="2">
        <f>O47/H47</f>
        <v/>
      </c>
      <c r="W47" s="2">
        <f>P47/H47</f>
        <v/>
      </c>
      <c r="X47" s="2">
        <f>Q47/H47</f>
        <v/>
      </c>
      <c r="Y47" s="5">
        <f>IF(R47&gt;1,"1","2")</f>
        <v/>
      </c>
      <c r="Z47" s="5">
        <f>IF(S47&gt;1,"1","2")</f>
        <v/>
      </c>
      <c r="AA47" s="5">
        <f>IF(T47&gt;1,"1","2")</f>
        <v/>
      </c>
      <c r="AB47" s="5">
        <f>IF(U47&gt;1,"1","2")</f>
        <v/>
      </c>
      <c r="AC47" s="5">
        <f>IF(V47&gt;1,"1","2")</f>
        <v/>
      </c>
      <c r="AD47" s="5">
        <f>IF(W47&gt;1,"1","2")</f>
        <v/>
      </c>
      <c r="AE47" s="5">
        <f>IF(X47&gt;1,"1","2")</f>
        <v/>
      </c>
      <c r="AF47" t="n">
        <v>-5.145926</v>
      </c>
      <c r="AG47" t="n">
        <v>119.421509</v>
      </c>
    </row>
    <row r="48" ht="14.4" customHeight="1">
      <c r="A48" s="14" t="n">
        <v>45</v>
      </c>
      <c r="B48" s="15" t="inlineStr">
        <is>
          <t>Aff</t>
        </is>
      </c>
      <c r="C48" s="10" t="n">
        <v>10</v>
      </c>
      <c r="D48" s="10" t="n">
        <v>49</v>
      </c>
      <c r="E48" s="17" t="n">
        <v>365</v>
      </c>
      <c r="F48" s="22" t="n">
        <v>0.0002</v>
      </c>
      <c r="G48" s="10" t="n">
        <v>2100</v>
      </c>
      <c r="H48" s="12" t="n">
        <v>0.0003</v>
      </c>
      <c r="I48" s="18" t="n">
        <v>10950</v>
      </c>
      <c r="J48" s="20" t="n">
        <v>2</v>
      </c>
      <c r="K48" s="19">
        <f>(F48*G48*E48*J48)/(D48*I48)</f>
        <v/>
      </c>
      <c r="L48" s="2">
        <f>(F48*G48*E48*5)/(D48*I48)</f>
        <v/>
      </c>
      <c r="M48" s="2">
        <f>(F48*G48*E48*10)/(D48*I48)</f>
        <v/>
      </c>
      <c r="N48" s="2">
        <f>(F48*G48*E48*15)/(D48*I48)</f>
        <v/>
      </c>
      <c r="O48" s="2">
        <f>(F48*G48*E48*20)/(D48*I48)</f>
        <v/>
      </c>
      <c r="P48" s="2">
        <f>(F48*G48*E48*25)/(D48*I48)</f>
        <v/>
      </c>
      <c r="Q48" s="2">
        <f>(F48*G48*E48*30)/(D48*I48)</f>
        <v/>
      </c>
      <c r="R48" s="2">
        <f>K48/H48</f>
        <v/>
      </c>
      <c r="S48" s="2">
        <f>L48/H48</f>
        <v/>
      </c>
      <c r="T48" s="2">
        <f>M48/H48</f>
        <v/>
      </c>
      <c r="U48" s="2">
        <f>N48/H48</f>
        <v/>
      </c>
      <c r="V48" s="2">
        <f>O48/H48</f>
        <v/>
      </c>
      <c r="W48" s="2">
        <f>P48/H48</f>
        <v/>
      </c>
      <c r="X48" s="2">
        <f>Q48/H48</f>
        <v/>
      </c>
      <c r="Y48" s="5">
        <f>IF(R48&gt;1,"1","2")</f>
        <v/>
      </c>
      <c r="Z48" s="5">
        <f>IF(S48&gt;1,"1","2")</f>
        <v/>
      </c>
      <c r="AA48" s="5">
        <f>IF(T48&gt;1,"1","2")</f>
        <v/>
      </c>
      <c r="AB48" s="5">
        <f>IF(U48&gt;1,"1","2")</f>
        <v/>
      </c>
      <c r="AC48" s="5">
        <f>IF(V48&gt;1,"1","2")</f>
        <v/>
      </c>
      <c r="AD48" s="5">
        <f>IF(W48&gt;1,"1","2")</f>
        <v/>
      </c>
      <c r="AE48" s="5">
        <f>IF(X48&gt;1,"1","2")</f>
        <v/>
      </c>
      <c r="AF48" t="n">
        <v>-5.138074</v>
      </c>
      <c r="AG48" t="n">
        <v>119.406595</v>
      </c>
    </row>
    <row r="49" ht="14.4" customHeight="1">
      <c r="A49" s="14" t="n">
        <v>46</v>
      </c>
      <c r="B49" s="15" t="inlineStr">
        <is>
          <t>IWg</t>
        </is>
      </c>
      <c r="C49" s="10" t="n">
        <v>10</v>
      </c>
      <c r="D49" s="10" t="n">
        <v>25</v>
      </c>
      <c r="E49" s="17" t="n">
        <v>365</v>
      </c>
      <c r="F49" s="22" t="n">
        <v>0.0002</v>
      </c>
      <c r="G49" s="10" t="n">
        <v>900</v>
      </c>
      <c r="H49" s="12" t="n">
        <v>0.0003</v>
      </c>
      <c r="I49" s="18" t="n">
        <v>10950</v>
      </c>
      <c r="J49" s="20" t="n">
        <v>10</v>
      </c>
      <c r="K49" s="19">
        <f>(F49*G49*E49*J49)/(D49*I49)</f>
        <v/>
      </c>
      <c r="L49" s="2">
        <f>(F49*G49*E49*5)/(D49*I49)</f>
        <v/>
      </c>
      <c r="M49" s="2">
        <f>(F49*G49*E49*10)/(D49*I49)</f>
        <v/>
      </c>
      <c r="N49" s="2">
        <f>(F49*G49*E49*15)/(D49*I49)</f>
        <v/>
      </c>
      <c r="O49" s="2">
        <f>(F49*G49*E49*20)/(D49*I49)</f>
        <v/>
      </c>
      <c r="P49" s="2">
        <f>(F49*G49*E49*25)/(D49*I49)</f>
        <v/>
      </c>
      <c r="Q49" s="2">
        <f>(F49*G49*E49*30)/(D49*I49)</f>
        <v/>
      </c>
      <c r="R49" s="2">
        <f>K49/H49</f>
        <v/>
      </c>
      <c r="S49" s="2">
        <f>L49/H49</f>
        <v/>
      </c>
      <c r="T49" s="2">
        <f>M49/H49</f>
        <v/>
      </c>
      <c r="U49" s="2">
        <f>N49/H49</f>
        <v/>
      </c>
      <c r="V49" s="2">
        <f>O49/H49</f>
        <v/>
      </c>
      <c r="W49" s="2">
        <f>P49/H49</f>
        <v/>
      </c>
      <c r="X49" s="2">
        <f>Q49/H49</f>
        <v/>
      </c>
      <c r="Y49" s="5">
        <f>IF(R49&gt;1,"1","2")</f>
        <v/>
      </c>
      <c r="Z49" s="5">
        <f>IF(S49&gt;1,"1","2")</f>
        <v/>
      </c>
      <c r="AA49" s="5">
        <f>IF(T49&gt;1,"1","2")</f>
        <v/>
      </c>
      <c r="AB49" s="5">
        <f>IF(U49&gt;1,"1","2")</f>
        <v/>
      </c>
      <c r="AC49" s="5">
        <f>IF(V49&gt;1,"1","2")</f>
        <v/>
      </c>
      <c r="AD49" s="5">
        <f>IF(W49&gt;1,"1","2")</f>
        <v/>
      </c>
      <c r="AE49" s="5">
        <f>IF(X49&gt;1,"1","2")</f>
        <v/>
      </c>
      <c r="AF49" t="n">
        <v>-5.157325</v>
      </c>
      <c r="AG49" t="n">
        <v>119.420662</v>
      </c>
    </row>
    <row r="50" ht="14.4" customHeight="1">
      <c r="A50" s="14" t="n">
        <v>47</v>
      </c>
      <c r="B50" s="15" t="inlineStr">
        <is>
          <t>Nkf</t>
        </is>
      </c>
      <c r="C50" s="10" t="n">
        <v>10</v>
      </c>
      <c r="D50" s="10" t="n">
        <v>27</v>
      </c>
      <c r="E50" s="17" t="n">
        <v>365</v>
      </c>
      <c r="F50" s="22" t="n">
        <v>0.0002</v>
      </c>
      <c r="G50" s="10" t="n">
        <v>900</v>
      </c>
      <c r="H50" s="12" t="n">
        <v>0.0003</v>
      </c>
      <c r="I50" s="18" t="n">
        <v>10950</v>
      </c>
      <c r="J50" s="20" t="n">
        <v>10</v>
      </c>
      <c r="K50" s="19">
        <f>(F50*G50*E50*J50)/(D50*I50)</f>
        <v/>
      </c>
      <c r="L50" s="2">
        <f>(F50*G50*E50*5)/(D50*I50)</f>
        <v/>
      </c>
      <c r="M50" s="2">
        <f>(F50*G50*E50*10)/(D50*I50)</f>
        <v/>
      </c>
      <c r="N50" s="2">
        <f>(F50*G50*E50*15)/(D50*I50)</f>
        <v/>
      </c>
      <c r="O50" s="2">
        <f>(F50*G50*E50*20)/(D50*I50)</f>
        <v/>
      </c>
      <c r="P50" s="2">
        <f>(F50*G50*E50*25)/(D50*I50)</f>
        <v/>
      </c>
      <c r="Q50" s="2">
        <f>(F50*G50*E50*30)/(D50*I50)</f>
        <v/>
      </c>
      <c r="R50" s="2">
        <f>K50/H50</f>
        <v/>
      </c>
      <c r="S50" s="2">
        <f>L50/H50</f>
        <v/>
      </c>
      <c r="T50" s="2">
        <f>M50/H50</f>
        <v/>
      </c>
      <c r="U50" s="2">
        <f>N50/H50</f>
        <v/>
      </c>
      <c r="V50" s="2">
        <f>O50/H50</f>
        <v/>
      </c>
      <c r="W50" s="2">
        <f>P50/H50</f>
        <v/>
      </c>
      <c r="X50" s="2">
        <f>Q50/H50</f>
        <v/>
      </c>
      <c r="Y50" s="5">
        <f>IF(R50&gt;1,"1","2")</f>
        <v/>
      </c>
      <c r="Z50" s="5">
        <f>IF(S50&gt;1,"1","2")</f>
        <v/>
      </c>
      <c r="AA50" s="5">
        <f>IF(T50&gt;1,"1","2")</f>
        <v/>
      </c>
      <c r="AB50" s="5">
        <f>IF(U50&gt;1,"1","2")</f>
        <v/>
      </c>
      <c r="AC50" s="5">
        <f>IF(V50&gt;1,"1","2")</f>
        <v/>
      </c>
      <c r="AD50" s="5">
        <f>IF(W50&gt;1,"1","2")</f>
        <v/>
      </c>
      <c r="AE50" s="5">
        <f>IF(X50&gt;1,"1","2")</f>
        <v/>
      </c>
      <c r="AF50" t="n">
        <v>-5.140099</v>
      </c>
      <c r="AG50" t="n">
        <v>119.413309</v>
      </c>
    </row>
    <row r="51" ht="14.4" customHeight="1">
      <c r="A51" s="14" t="n">
        <v>48</v>
      </c>
      <c r="B51" s="15" t="inlineStr">
        <is>
          <t>Kad</t>
        </is>
      </c>
      <c r="C51" s="10" t="n">
        <v>10</v>
      </c>
      <c r="D51" s="10" t="n">
        <v>33</v>
      </c>
      <c r="E51" s="17" t="n">
        <v>365</v>
      </c>
      <c r="F51" s="22" t="n">
        <v>0.0002</v>
      </c>
      <c r="G51" s="10" t="n">
        <v>900</v>
      </c>
      <c r="H51" s="12" t="n">
        <v>0.0003</v>
      </c>
      <c r="I51" s="18" t="n">
        <v>10950</v>
      </c>
      <c r="J51" s="20" t="n">
        <v>6</v>
      </c>
      <c r="K51" s="19">
        <f>(F51*G51*E51*J51)/(D51*I51)</f>
        <v/>
      </c>
      <c r="L51" s="2">
        <f>(F51*G51*E51*5)/(D51*I51)</f>
        <v/>
      </c>
      <c r="M51" s="2">
        <f>(F51*G51*E51*10)/(D51*I51)</f>
        <v/>
      </c>
      <c r="N51" s="2">
        <f>(F51*G51*E51*15)/(D51*I51)</f>
        <v/>
      </c>
      <c r="O51" s="2">
        <f>(F51*G51*E51*20)/(D51*I51)</f>
        <v/>
      </c>
      <c r="P51" s="2">
        <f>(F51*G51*E51*25)/(D51*I51)</f>
        <v/>
      </c>
      <c r="Q51" s="2">
        <f>(F51*G51*E51*30)/(D51*I51)</f>
        <v/>
      </c>
      <c r="R51" s="2">
        <f>K51/H51</f>
        <v/>
      </c>
      <c r="S51" s="2">
        <f>L51/H51</f>
        <v/>
      </c>
      <c r="T51" s="2">
        <f>M51/H51</f>
        <v/>
      </c>
      <c r="U51" s="2">
        <f>N51/H51</f>
        <v/>
      </c>
      <c r="V51" s="2">
        <f>O51/H51</f>
        <v/>
      </c>
      <c r="W51" s="2">
        <f>P51/H51</f>
        <v/>
      </c>
      <c r="X51" s="2">
        <f>Q51/H51</f>
        <v/>
      </c>
      <c r="Y51" s="5">
        <f>IF(R51&gt;1,"1","2")</f>
        <v/>
      </c>
      <c r="Z51" s="5">
        <f>IF(S51&gt;1,"1","2")</f>
        <v/>
      </c>
      <c r="AA51" s="5">
        <f>IF(T51&gt;1,"1","2")</f>
        <v/>
      </c>
      <c r="AB51" s="5">
        <f>IF(U51&gt;1,"1","2")</f>
        <v/>
      </c>
      <c r="AC51" s="5">
        <f>IF(V51&gt;1,"1","2")</f>
        <v/>
      </c>
      <c r="AD51" s="5">
        <f>IF(W51&gt;1,"1","2")</f>
        <v/>
      </c>
      <c r="AE51" s="5">
        <f>IF(X51&gt;1,"1","2")</f>
        <v/>
      </c>
      <c r="AF51" t="n">
        <v>-5.150259</v>
      </c>
      <c r="AG51" t="n">
        <v>119.42511</v>
      </c>
    </row>
    <row r="52" ht="14.4" customHeight="1">
      <c r="A52" s="14" t="n">
        <v>49</v>
      </c>
      <c r="B52" s="15" t="inlineStr">
        <is>
          <t>Kel</t>
        </is>
      </c>
      <c r="C52" s="10" t="n">
        <v>10</v>
      </c>
      <c r="D52" s="10" t="n">
        <v>29</v>
      </c>
      <c r="E52" s="17" t="n">
        <v>365</v>
      </c>
      <c r="F52" s="22" t="n">
        <v>0.0002</v>
      </c>
      <c r="G52" s="10" t="n">
        <v>1500</v>
      </c>
      <c r="H52" s="12" t="n">
        <v>0.0003</v>
      </c>
      <c r="I52" s="18" t="n">
        <v>10950</v>
      </c>
      <c r="J52" s="20" t="n">
        <v>8</v>
      </c>
      <c r="K52" s="19">
        <f>(F52*G52*E52*J52)/(D52*I52)</f>
        <v/>
      </c>
      <c r="L52" s="2">
        <f>(F52*G52*E52*5)/(D52*I52)</f>
        <v/>
      </c>
      <c r="M52" s="2">
        <f>(F52*G52*E52*10)/(D52*I52)</f>
        <v/>
      </c>
      <c r="N52" s="2">
        <f>(F52*G52*E52*15)/(D52*I52)</f>
        <v/>
      </c>
      <c r="O52" s="2">
        <f>(F52*G52*E52*20)/(D52*I52)</f>
        <v/>
      </c>
      <c r="P52" s="2">
        <f>(F52*G52*E52*25)/(D52*I52)</f>
        <v/>
      </c>
      <c r="Q52" s="2">
        <f>(F52*G52*E52*30)/(D52*I52)</f>
        <v/>
      </c>
      <c r="R52" s="2">
        <f>K52/H52</f>
        <v/>
      </c>
      <c r="S52" s="2">
        <f>L52/H52</f>
        <v/>
      </c>
      <c r="T52" s="2">
        <f>M52/H52</f>
        <v/>
      </c>
      <c r="U52" s="2">
        <f>N52/H52</f>
        <v/>
      </c>
      <c r="V52" s="2">
        <f>O52/H52</f>
        <v/>
      </c>
      <c r="W52" s="2">
        <f>P52/H52</f>
        <v/>
      </c>
      <c r="X52" s="2">
        <f>Q52/H52</f>
        <v/>
      </c>
      <c r="Y52" s="5">
        <f>IF(R52&gt;1,"1","2")</f>
        <v/>
      </c>
      <c r="Z52" s="5">
        <f>IF(S52&gt;1,"1","2")</f>
        <v/>
      </c>
      <c r="AA52" s="5">
        <f>IF(T52&gt;1,"1","2")</f>
        <v/>
      </c>
      <c r="AB52" s="5">
        <f>IF(U52&gt;1,"1","2")</f>
        <v/>
      </c>
      <c r="AC52" s="5">
        <f>IF(V52&gt;1,"1","2")</f>
        <v/>
      </c>
      <c r="AD52" s="5">
        <f>IF(W52&gt;1,"1","2")</f>
        <v/>
      </c>
      <c r="AE52" s="5">
        <f>IF(X52&gt;1,"1","2")</f>
        <v/>
      </c>
      <c r="AF52" t="n">
        <v>-5.120866</v>
      </c>
      <c r="AG52" t="n">
        <v>119.402726</v>
      </c>
    </row>
    <row r="53" ht="14.4" customHeight="1">
      <c r="A53" s="14" t="n">
        <v>50</v>
      </c>
      <c r="B53" s="15" t="inlineStr">
        <is>
          <t>Waa</t>
        </is>
      </c>
      <c r="C53" s="10" t="n">
        <v>10</v>
      </c>
      <c r="D53" s="10" t="n">
        <v>39</v>
      </c>
      <c r="E53" s="17" t="n">
        <v>365</v>
      </c>
      <c r="F53" s="22" t="n">
        <v>0.0002</v>
      </c>
      <c r="G53" s="10" t="n">
        <v>900</v>
      </c>
      <c r="H53" s="12" t="n">
        <v>0.0003</v>
      </c>
      <c r="I53" s="18" t="n">
        <v>10950</v>
      </c>
      <c r="J53" s="20" t="n">
        <v>8</v>
      </c>
      <c r="K53" s="19">
        <f>(F53*G53*E53*J53)/(D53*I53)</f>
        <v/>
      </c>
      <c r="L53" s="2">
        <f>(F53*G53*E53*5)/(D53*I53)</f>
        <v/>
      </c>
      <c r="M53" s="2">
        <f>(F53*G53*E53*10)/(D53*I53)</f>
        <v/>
      </c>
      <c r="N53" s="2">
        <f>(F53*G53*E53*15)/(D53*I53)</f>
        <v/>
      </c>
      <c r="O53" s="2">
        <f>(F53*G53*E53*20)/(D53*I53)</f>
        <v/>
      </c>
      <c r="P53" s="2">
        <f>(F53*G53*E53*25)/(D53*I53)</f>
        <v/>
      </c>
      <c r="Q53" s="2">
        <f>(F53*G53*E53*30)/(D53*I53)</f>
        <v/>
      </c>
      <c r="R53" s="2">
        <f>K53/H53</f>
        <v/>
      </c>
      <c r="S53" s="2">
        <f>L53/H53</f>
        <v/>
      </c>
      <c r="T53" s="2">
        <f>M53/H53</f>
        <v/>
      </c>
      <c r="U53" s="2">
        <f>N53/H53</f>
        <v/>
      </c>
      <c r="V53" s="2">
        <f>O53/H53</f>
        <v/>
      </c>
      <c r="W53" s="2">
        <f>P53/H53</f>
        <v/>
      </c>
      <c r="X53" s="2">
        <f>Q53/H53</f>
        <v/>
      </c>
      <c r="Y53" s="5">
        <f>IF(R53&gt;1,"1","2")</f>
        <v/>
      </c>
      <c r="Z53" s="5">
        <f>IF(S53&gt;1,"1","2")</f>
        <v/>
      </c>
      <c r="AA53" s="5">
        <f>IF(T53&gt;1,"1","2")</f>
        <v/>
      </c>
      <c r="AB53" s="5">
        <f>IF(U53&gt;1,"1","2")</f>
        <v/>
      </c>
      <c r="AC53" s="5">
        <f>IF(V53&gt;1,"1","2")</f>
        <v/>
      </c>
      <c r="AD53" s="5">
        <f>IF(W53&gt;1,"1","2")</f>
        <v/>
      </c>
      <c r="AE53" s="5">
        <f>IF(X53&gt;1,"1","2")</f>
        <v/>
      </c>
      <c r="AF53" t="n">
        <v>-5.135314</v>
      </c>
      <c r="AG53" t="n">
        <v>119.444507</v>
      </c>
    </row>
    <row r="54" ht="14.4" customHeight="1">
      <c r="A54" s="14" t="n">
        <v>51</v>
      </c>
      <c r="B54" s="15" t="inlineStr">
        <is>
          <t>Mai</t>
        </is>
      </c>
      <c r="C54" s="10" t="n">
        <v>10</v>
      </c>
      <c r="D54" s="10" t="n">
        <v>25</v>
      </c>
      <c r="E54" s="17" t="n">
        <v>365</v>
      </c>
      <c r="F54" s="22" t="n">
        <v>0.0002</v>
      </c>
      <c r="G54" s="10" t="n">
        <v>900</v>
      </c>
      <c r="H54" s="12" t="n">
        <v>0.0003</v>
      </c>
      <c r="I54" s="18" t="n">
        <v>10950</v>
      </c>
      <c r="J54" s="20" t="n">
        <v>10</v>
      </c>
      <c r="K54" s="19">
        <f>(F54*G54*E54*J54)/(D54*I54)</f>
        <v/>
      </c>
      <c r="L54" s="2">
        <f>(F54*G54*E54*5)/(D54*I54)</f>
        <v/>
      </c>
      <c r="M54" s="2">
        <f>(F54*G54*E54*10)/(D54*I54)</f>
        <v/>
      </c>
      <c r="N54" s="2">
        <f>(F54*G54*E54*15)/(D54*I54)</f>
        <v/>
      </c>
      <c r="O54" s="2">
        <f>(F54*G54*E54*20)/(D54*I54)</f>
        <v/>
      </c>
      <c r="P54" s="2">
        <f>(F54*G54*E54*25)/(D54*I54)</f>
        <v/>
      </c>
      <c r="Q54" s="2">
        <f>(F54*G54*E54*30)/(D54*I54)</f>
        <v/>
      </c>
      <c r="R54" s="2">
        <f>K54/H54</f>
        <v/>
      </c>
      <c r="S54" s="2">
        <f>L54/H54</f>
        <v/>
      </c>
      <c r="T54" s="2">
        <f>M54/H54</f>
        <v/>
      </c>
      <c r="U54" s="2">
        <f>N54/H54</f>
        <v/>
      </c>
      <c r="V54" s="2">
        <f>O54/H54</f>
        <v/>
      </c>
      <c r="W54" s="2">
        <f>P54/H54</f>
        <v/>
      </c>
      <c r="X54" s="2">
        <f>Q54/H54</f>
        <v/>
      </c>
      <c r="Y54" s="5">
        <f>IF(R54&gt;1,"1","2")</f>
        <v/>
      </c>
      <c r="Z54" s="5">
        <f>IF(S54&gt;1,"1","2")</f>
        <v/>
      </c>
      <c r="AA54" s="5">
        <f>IF(T54&gt;1,"1","2")</f>
        <v/>
      </c>
      <c r="AB54" s="5">
        <f>IF(U54&gt;1,"1","2")</f>
        <v/>
      </c>
      <c r="AC54" s="5">
        <f>IF(V54&gt;1,"1","2")</f>
        <v/>
      </c>
      <c r="AD54" s="5">
        <f>IF(W54&gt;1,"1","2")</f>
        <v/>
      </c>
      <c r="AE54" s="5">
        <f>IF(X54&gt;1,"1","2")</f>
        <v/>
      </c>
      <c r="AF54" t="n">
        <v>-5.123454</v>
      </c>
      <c r="AG54" t="n">
        <v>119.406874</v>
      </c>
    </row>
    <row r="55" ht="14.4" customHeight="1">
      <c r="A55" s="14" t="n">
        <v>52</v>
      </c>
      <c r="B55" s="15" t="inlineStr">
        <is>
          <t>Mkl</t>
        </is>
      </c>
      <c r="C55" s="10" t="n">
        <v>10</v>
      </c>
      <c r="D55" s="10" t="n">
        <v>25</v>
      </c>
      <c r="E55" s="17" t="n">
        <v>365</v>
      </c>
      <c r="F55" s="22" t="n">
        <v>0.0002</v>
      </c>
      <c r="G55" s="10" t="n">
        <v>900</v>
      </c>
      <c r="H55" s="12" t="n">
        <v>0.0003</v>
      </c>
      <c r="I55" s="18" t="n">
        <v>10950</v>
      </c>
      <c r="J55" s="20" t="n">
        <v>10</v>
      </c>
      <c r="K55" s="19">
        <f>(F55*G55*E55*J55)/(D55*I55)</f>
        <v/>
      </c>
      <c r="L55" s="2">
        <f>(F55*G55*E55*5)/(D55*I55)</f>
        <v/>
      </c>
      <c r="M55" s="2">
        <f>(F55*G55*E55*10)/(D55*I55)</f>
        <v/>
      </c>
      <c r="N55" s="2">
        <f>(F55*G55*E55*15)/(D55*I55)</f>
        <v/>
      </c>
      <c r="O55" s="2">
        <f>(F55*G55*E55*20)/(D55*I55)</f>
        <v/>
      </c>
      <c r="P55" s="2">
        <f>(F55*G55*E55*25)/(D55*I55)</f>
        <v/>
      </c>
      <c r="Q55" s="2">
        <f>(F55*G55*E55*30)/(D55*I55)</f>
        <v/>
      </c>
      <c r="R55" s="2">
        <f>K55/H55</f>
        <v/>
      </c>
      <c r="S55" s="2">
        <f>L55/H55</f>
        <v/>
      </c>
      <c r="T55" s="2">
        <f>M55/H55</f>
        <v/>
      </c>
      <c r="U55" s="2">
        <f>N55/H55</f>
        <v/>
      </c>
      <c r="V55" s="2">
        <f>O55/H55</f>
        <v/>
      </c>
      <c r="W55" s="2">
        <f>P55/H55</f>
        <v/>
      </c>
      <c r="X55" s="2">
        <f>Q55/H55</f>
        <v/>
      </c>
      <c r="Y55" s="5">
        <f>IF(R55&gt;1,"1","2")</f>
        <v/>
      </c>
      <c r="Z55" s="5">
        <f>IF(S55&gt;1,"1","2")</f>
        <v/>
      </c>
      <c r="AA55" s="5">
        <f>IF(T55&gt;1,"1","2")</f>
        <v/>
      </c>
      <c r="AB55" s="5">
        <f>IF(U55&gt;1,"1","2")</f>
        <v/>
      </c>
      <c r="AC55" s="5">
        <f>IF(V55&gt;1,"1","2")</f>
        <v/>
      </c>
      <c r="AD55" s="5">
        <f>IF(W55&gt;1,"1","2")</f>
        <v/>
      </c>
      <c r="AE55" s="5">
        <f>IF(X55&gt;1,"1","2")</f>
        <v/>
      </c>
      <c r="AF55" t="n">
        <v>-5.156386</v>
      </c>
      <c r="AG55" t="n">
        <v>119.447532</v>
      </c>
    </row>
    <row r="56" ht="14.4" customHeight="1">
      <c r="A56" s="14" t="n">
        <v>53</v>
      </c>
      <c r="B56" s="15" t="inlineStr">
        <is>
          <t>Ewi</t>
        </is>
      </c>
      <c r="C56" s="10" t="n">
        <v>10</v>
      </c>
      <c r="D56" s="10" t="n">
        <v>33</v>
      </c>
      <c r="E56" s="17" t="n">
        <v>365</v>
      </c>
      <c r="F56" s="22" t="n">
        <v>0.0002</v>
      </c>
      <c r="G56" s="10" t="n">
        <v>900</v>
      </c>
      <c r="H56" s="12" t="n">
        <v>0.0003</v>
      </c>
      <c r="I56" s="18" t="n">
        <v>10950</v>
      </c>
      <c r="J56" s="20" t="n">
        <v>10</v>
      </c>
      <c r="K56" s="19">
        <f>(F56*G56*E56*J56)/(D56*I56)</f>
        <v/>
      </c>
      <c r="L56" s="2">
        <f>(F56*G56*E56*5)/(D56*I56)</f>
        <v/>
      </c>
      <c r="M56" s="2">
        <f>(F56*G56*E56*10)/(D56*I56)</f>
        <v/>
      </c>
      <c r="N56" s="2">
        <f>(F56*G56*E56*15)/(D56*I56)</f>
        <v/>
      </c>
      <c r="O56" s="2">
        <f>(F56*G56*E56*20)/(D56*I56)</f>
        <v/>
      </c>
      <c r="P56" s="2">
        <f>(F56*G56*E56*25)/(D56*I56)</f>
        <v/>
      </c>
      <c r="Q56" s="2">
        <f>(F56*G56*E56*30)/(D56*I56)</f>
        <v/>
      </c>
      <c r="R56" s="2">
        <f>K56/H56</f>
        <v/>
      </c>
      <c r="S56" s="2">
        <f>L56/H56</f>
        <v/>
      </c>
      <c r="T56" s="2">
        <f>M56/H56</f>
        <v/>
      </c>
      <c r="U56" s="2">
        <f>N56/H56</f>
        <v/>
      </c>
      <c r="V56" s="2">
        <f>O56/H56</f>
        <v/>
      </c>
      <c r="W56" s="2">
        <f>P56/H56</f>
        <v/>
      </c>
      <c r="X56" s="2">
        <f>Q56/H56</f>
        <v/>
      </c>
      <c r="Y56" s="5">
        <f>IF(R56&gt;1,"1","2")</f>
        <v/>
      </c>
      <c r="Z56" s="5">
        <f>IF(S56&gt;1,"1","2")</f>
        <v/>
      </c>
      <c r="AA56" s="5">
        <f>IF(T56&gt;1,"1","2")</f>
        <v/>
      </c>
      <c r="AB56" s="5">
        <f>IF(U56&gt;1,"1","2")</f>
        <v/>
      </c>
      <c r="AC56" s="5">
        <f>IF(V56&gt;1,"1","2")</f>
        <v/>
      </c>
      <c r="AD56" s="5">
        <f>IF(W56&gt;1,"1","2")</f>
        <v/>
      </c>
      <c r="AE56" s="5">
        <f>IF(X56&gt;1,"1","2")</f>
        <v/>
      </c>
      <c r="AF56" t="n">
        <v>-5.121363</v>
      </c>
      <c r="AG56" t="n">
        <v>119.427988</v>
      </c>
    </row>
    <row r="57" ht="14.4" customHeight="1">
      <c r="A57" s="14" t="n">
        <v>54</v>
      </c>
      <c r="B57" s="15" t="inlineStr">
        <is>
          <t>Ruh</t>
        </is>
      </c>
      <c r="C57" s="10" t="n">
        <v>10</v>
      </c>
      <c r="D57" s="10" t="n">
        <v>25</v>
      </c>
      <c r="E57" s="17" t="n">
        <v>365</v>
      </c>
      <c r="F57" s="22" t="n">
        <v>0.0002</v>
      </c>
      <c r="G57" s="10" t="n">
        <v>900</v>
      </c>
      <c r="H57" s="12" t="n">
        <v>0.0003</v>
      </c>
      <c r="I57" s="18" t="n">
        <v>10950</v>
      </c>
      <c r="J57" s="20" t="n">
        <v>10</v>
      </c>
      <c r="K57" s="19">
        <f>(F57*G57*E57*J57)/(D57*I57)</f>
        <v/>
      </c>
      <c r="L57" s="2">
        <f>(F57*G57*E57*5)/(D57*I57)</f>
        <v/>
      </c>
      <c r="M57" s="2">
        <f>(F57*G57*E57*10)/(D57*I57)</f>
        <v/>
      </c>
      <c r="N57" s="2">
        <f>(F57*G57*E57*15)/(D57*I57)</f>
        <v/>
      </c>
      <c r="O57" s="2">
        <f>(F57*G57*E57*20)/(D57*I57)</f>
        <v/>
      </c>
      <c r="P57" s="2">
        <f>(F57*G57*E57*25)/(D57*I57)</f>
        <v/>
      </c>
      <c r="Q57" s="2">
        <f>(F57*G57*E57*30)/(D57*I57)</f>
        <v/>
      </c>
      <c r="R57" s="2">
        <f>K57/H57</f>
        <v/>
      </c>
      <c r="S57" s="2">
        <f>L57/H57</f>
        <v/>
      </c>
      <c r="T57" s="2">
        <f>M57/H57</f>
        <v/>
      </c>
      <c r="U57" s="2">
        <f>N57/H57</f>
        <v/>
      </c>
      <c r="V57" s="2">
        <f>O57/H57</f>
        <v/>
      </c>
      <c r="W57" s="2">
        <f>P57/H57</f>
        <v/>
      </c>
      <c r="X57" s="2">
        <f>Q57/H57</f>
        <v/>
      </c>
      <c r="Y57" s="5">
        <f>IF(R57&gt;1,"1","2")</f>
        <v/>
      </c>
      <c r="Z57" s="5">
        <f>IF(S57&gt;1,"1","2")</f>
        <v/>
      </c>
      <c r="AA57" s="5">
        <f>IF(T57&gt;1,"1","2")</f>
        <v/>
      </c>
      <c r="AB57" s="5">
        <f>IF(U57&gt;1,"1","2")</f>
        <v/>
      </c>
      <c r="AC57" s="5">
        <f>IF(V57&gt;1,"1","2")</f>
        <v/>
      </c>
      <c r="AD57" s="5">
        <f>IF(W57&gt;1,"1","2")</f>
        <v/>
      </c>
      <c r="AE57" s="5">
        <f>IF(X57&gt;1,"1","2")</f>
        <v/>
      </c>
      <c r="AF57" t="n">
        <v>-5.158297</v>
      </c>
      <c r="AG57" t="n">
        <v>119.429484</v>
      </c>
    </row>
    <row r="58" ht="14.4" customHeight="1">
      <c r="A58" s="14" t="n">
        <v>55</v>
      </c>
      <c r="B58" s="15" t="inlineStr">
        <is>
          <t>Ani</t>
        </is>
      </c>
      <c r="C58" s="10" t="n">
        <v>10</v>
      </c>
      <c r="D58" s="10" t="n">
        <v>25</v>
      </c>
      <c r="E58" s="17" t="n">
        <v>365</v>
      </c>
      <c r="F58" s="22" t="n">
        <v>0.0002</v>
      </c>
      <c r="G58" s="10" t="n">
        <v>1500</v>
      </c>
      <c r="H58" s="12" t="n">
        <v>0.0003</v>
      </c>
      <c r="I58" s="18" t="n">
        <v>10950</v>
      </c>
      <c r="J58" s="20" t="n">
        <v>6</v>
      </c>
      <c r="K58" s="19">
        <f>(F58*G58*E58*J58)/(D58*I58)</f>
        <v/>
      </c>
      <c r="L58" s="2">
        <f>(F58*G58*E58*5)/(D58*I58)</f>
        <v/>
      </c>
      <c r="M58" s="2">
        <f>(F58*G58*E58*10)/(D58*I58)</f>
        <v/>
      </c>
      <c r="N58" s="2">
        <f>(F58*G58*E58*15)/(D58*I58)</f>
        <v/>
      </c>
      <c r="O58" s="2">
        <f>(F58*G58*E58*20)/(D58*I58)</f>
        <v/>
      </c>
      <c r="P58" s="2">
        <f>(F58*G58*E58*25)/(D58*I58)</f>
        <v/>
      </c>
      <c r="Q58" s="2">
        <f>(F58*G58*E58*30)/(D58*I58)</f>
        <v/>
      </c>
      <c r="R58" s="2">
        <f>K58/H58</f>
        <v/>
      </c>
      <c r="S58" s="2">
        <f>L58/H58</f>
        <v/>
      </c>
      <c r="T58" s="2">
        <f>M58/H58</f>
        <v/>
      </c>
      <c r="U58" s="2">
        <f>N58/H58</f>
        <v/>
      </c>
      <c r="V58" s="2">
        <f>O58/H58</f>
        <v/>
      </c>
      <c r="W58" s="2">
        <f>P58/H58</f>
        <v/>
      </c>
      <c r="X58" s="2">
        <f>Q58/H58</f>
        <v/>
      </c>
      <c r="Y58" s="5">
        <f>IF(R58&gt;1,"1","2")</f>
        <v/>
      </c>
      <c r="Z58" s="5">
        <f>IF(S58&gt;1,"1","2")</f>
        <v/>
      </c>
      <c r="AA58" s="5">
        <f>IF(T58&gt;1,"1","2")</f>
        <v/>
      </c>
      <c r="AB58" s="5">
        <f>IF(U58&gt;1,"1","2")</f>
        <v/>
      </c>
      <c r="AC58" s="5">
        <f>IF(V58&gt;1,"1","2")</f>
        <v/>
      </c>
      <c r="AD58" s="5">
        <f>IF(W58&gt;1,"1","2")</f>
        <v/>
      </c>
      <c r="AE58" s="5">
        <f>IF(X58&gt;1,"1","2")</f>
        <v/>
      </c>
      <c r="AF58" t="n">
        <v>-5.13677</v>
      </c>
      <c r="AG58" t="n">
        <v>119.410286</v>
      </c>
    </row>
    <row r="59" ht="14.4" customHeight="1">
      <c r="A59" s="14" t="n">
        <v>56</v>
      </c>
      <c r="B59" s="15" t="inlineStr">
        <is>
          <t>Afd</t>
        </is>
      </c>
      <c r="C59" s="10" t="n">
        <v>10</v>
      </c>
      <c r="D59" s="10" t="n">
        <v>49</v>
      </c>
      <c r="E59" s="17" t="n">
        <v>365</v>
      </c>
      <c r="F59" s="22" t="n">
        <v>0.0002</v>
      </c>
      <c r="G59" s="10" t="n">
        <v>2100</v>
      </c>
      <c r="H59" s="12" t="n">
        <v>0.0003</v>
      </c>
      <c r="I59" s="18" t="n">
        <v>10950</v>
      </c>
      <c r="J59" s="20" t="n">
        <v>2</v>
      </c>
      <c r="K59" s="19">
        <f>(F59*G59*E59*J59)/(D59*I59)</f>
        <v/>
      </c>
      <c r="L59" s="2">
        <f>(F59*G59*E59*5)/(D59*I59)</f>
        <v/>
      </c>
      <c r="M59" s="2">
        <f>(F59*G59*E59*10)/(D59*I59)</f>
        <v/>
      </c>
      <c r="N59" s="2">
        <f>(F59*G59*E59*15)/(D59*I59)</f>
        <v/>
      </c>
      <c r="O59" s="2">
        <f>(F59*G59*E59*20)/(D59*I59)</f>
        <v/>
      </c>
      <c r="P59" s="2">
        <f>(F59*G59*E59*25)/(D59*I59)</f>
        <v/>
      </c>
      <c r="Q59" s="2">
        <f>(F59*G59*E59*30)/(D59*I59)</f>
        <v/>
      </c>
      <c r="R59" s="2">
        <f>K59/H59</f>
        <v/>
      </c>
      <c r="S59" s="2">
        <f>L59/H59</f>
        <v/>
      </c>
      <c r="T59" s="2">
        <f>M59/H59</f>
        <v/>
      </c>
      <c r="U59" s="2">
        <f>N59/H59</f>
        <v/>
      </c>
      <c r="V59" s="2">
        <f>O59/H59</f>
        <v/>
      </c>
      <c r="W59" s="2">
        <f>P59/H59</f>
        <v/>
      </c>
      <c r="X59" s="2">
        <f>Q59/H59</f>
        <v/>
      </c>
      <c r="Y59" s="5">
        <f>IF(R59&gt;1,"1","2")</f>
        <v/>
      </c>
      <c r="Z59" s="5">
        <f>IF(S59&gt;1,"1","2")</f>
        <v/>
      </c>
      <c r="AA59" s="5">
        <f>IF(T59&gt;1,"1","2")</f>
        <v/>
      </c>
      <c r="AB59" s="5">
        <f>IF(U59&gt;1,"1","2")</f>
        <v/>
      </c>
      <c r="AC59" s="5">
        <f>IF(V59&gt;1,"1","2")</f>
        <v/>
      </c>
      <c r="AD59" s="5">
        <f>IF(W59&gt;1,"1","2")</f>
        <v/>
      </c>
      <c r="AE59" s="5">
        <f>IF(X59&gt;1,"1","2")</f>
        <v/>
      </c>
      <c r="AF59" t="n">
        <v>-5.151033</v>
      </c>
      <c r="AG59" t="n">
        <v>119.446632</v>
      </c>
    </row>
    <row r="60" ht="14.4" customHeight="1">
      <c r="A60" s="14" t="n">
        <v>57</v>
      </c>
      <c r="B60" s="15" t="inlineStr">
        <is>
          <t>Iwg</t>
        </is>
      </c>
      <c r="C60" s="10" t="n">
        <v>10</v>
      </c>
      <c r="D60" s="10" t="n">
        <v>25</v>
      </c>
      <c r="E60" s="17" t="n">
        <v>365</v>
      </c>
      <c r="F60" s="22" t="n">
        <v>0.0002</v>
      </c>
      <c r="G60" s="10" t="n">
        <v>900</v>
      </c>
      <c r="H60" s="12" t="n">
        <v>0.0003</v>
      </c>
      <c r="I60" s="18" t="n">
        <v>10950</v>
      </c>
      <c r="J60" s="20" t="n">
        <v>10</v>
      </c>
      <c r="K60" s="19">
        <f>(F60*G60*E60*J60)/(D60*I60)</f>
        <v/>
      </c>
      <c r="L60" s="2">
        <f>(F60*G60*E60*5)/(D60*I60)</f>
        <v/>
      </c>
      <c r="M60" s="2">
        <f>(F60*G60*E60*10)/(D60*I60)</f>
        <v/>
      </c>
      <c r="N60" s="2">
        <f>(F60*G60*E60*15)/(D60*I60)</f>
        <v/>
      </c>
      <c r="O60" s="2">
        <f>(F60*G60*E60*20)/(D60*I60)</f>
        <v/>
      </c>
      <c r="P60" s="2">
        <f>(F60*G60*E60*25)/(D60*I60)</f>
        <v/>
      </c>
      <c r="Q60" s="2">
        <f>(F60*G60*E60*30)/(D60*I60)</f>
        <v/>
      </c>
      <c r="R60" s="2">
        <f>K60/H60</f>
        <v/>
      </c>
      <c r="S60" s="2">
        <f>L60/H60</f>
        <v/>
      </c>
      <c r="T60" s="2">
        <f>M60/H60</f>
        <v/>
      </c>
      <c r="U60" s="2">
        <f>N60/H60</f>
        <v/>
      </c>
      <c r="V60" s="2">
        <f>O60/H60</f>
        <v/>
      </c>
      <c r="W60" s="2">
        <f>P60/H60</f>
        <v/>
      </c>
      <c r="X60" s="2">
        <f>Q60/H60</f>
        <v/>
      </c>
      <c r="Y60" s="5">
        <f>IF(R60&gt;1,"1","2")</f>
        <v/>
      </c>
      <c r="Z60" s="5">
        <f>IF(S60&gt;1,"1","2")</f>
        <v/>
      </c>
      <c r="AA60" s="5">
        <f>IF(T60&gt;1,"1","2")</f>
        <v/>
      </c>
      <c r="AB60" s="5">
        <f>IF(U60&gt;1,"1","2")</f>
        <v/>
      </c>
      <c r="AC60" s="5">
        <f>IF(V60&gt;1,"1","2")</f>
        <v/>
      </c>
      <c r="AD60" s="5">
        <f>IF(W60&gt;1,"1","2")</f>
        <v/>
      </c>
      <c r="AE60" s="5">
        <f>IF(X60&gt;1,"1","2")</f>
        <v/>
      </c>
      <c r="AF60" t="n">
        <v>-5.147688</v>
      </c>
      <c r="AG60" t="n">
        <v>119.428898</v>
      </c>
    </row>
    <row r="61" ht="14.4" customHeight="1">
      <c r="A61" s="14" t="n">
        <v>58</v>
      </c>
      <c r="B61" s="15" t="inlineStr">
        <is>
          <t>Feb</t>
        </is>
      </c>
      <c r="C61" s="10" t="n">
        <v>10</v>
      </c>
      <c r="D61" s="10" t="n">
        <v>27</v>
      </c>
      <c r="E61" s="17" t="n">
        <v>365</v>
      </c>
      <c r="F61" s="22" t="n">
        <v>0.0002</v>
      </c>
      <c r="G61" s="10" t="n">
        <v>900</v>
      </c>
      <c r="H61" s="12" t="n">
        <v>0.0003</v>
      </c>
      <c r="I61" s="18" t="n">
        <v>10950</v>
      </c>
      <c r="J61" s="20" t="n">
        <v>10</v>
      </c>
      <c r="K61" s="19">
        <f>(F61*G61*E61*J61)/(D61*I61)</f>
        <v/>
      </c>
      <c r="L61" s="2">
        <f>(F61*G61*E61*5)/(D61*I61)</f>
        <v/>
      </c>
      <c r="M61" s="2">
        <f>(F61*G61*E61*10)/(D61*I61)</f>
        <v/>
      </c>
      <c r="N61" s="2">
        <f>(F61*G61*E61*15)/(D61*I61)</f>
        <v/>
      </c>
      <c r="O61" s="2">
        <f>(F61*G61*E61*20)/(D61*I61)</f>
        <v/>
      </c>
      <c r="P61" s="2">
        <f>(F61*G61*E61*25)/(D61*I61)</f>
        <v/>
      </c>
      <c r="Q61" s="2">
        <f>(F61*G61*E61*30)/(D61*I61)</f>
        <v/>
      </c>
      <c r="R61" s="2">
        <f>K61/H61</f>
        <v/>
      </c>
      <c r="S61" s="2">
        <f>L61/H61</f>
        <v/>
      </c>
      <c r="T61" s="2">
        <f>M61/H61</f>
        <v/>
      </c>
      <c r="U61" s="2">
        <f>N61/H61</f>
        <v/>
      </c>
      <c r="V61" s="2">
        <f>O61/H61</f>
        <v/>
      </c>
      <c r="W61" s="2">
        <f>P61/H61</f>
        <v/>
      </c>
      <c r="X61" s="2">
        <f>Q61/H61</f>
        <v/>
      </c>
      <c r="Y61" s="5">
        <f>IF(R61&gt;1,"1","2")</f>
        <v/>
      </c>
      <c r="Z61" s="5">
        <f>IF(S61&gt;1,"1","2")</f>
        <v/>
      </c>
      <c r="AA61" s="5">
        <f>IF(T61&gt;1,"1","2")</f>
        <v/>
      </c>
      <c r="AB61" s="5">
        <f>IF(U61&gt;1,"1","2")</f>
        <v/>
      </c>
      <c r="AC61" s="5">
        <f>IF(V61&gt;1,"1","2")</f>
        <v/>
      </c>
      <c r="AD61" s="5">
        <f>IF(W61&gt;1,"1","2")</f>
        <v/>
      </c>
      <c r="AE61" s="5">
        <f>IF(X61&gt;1,"1","2")</f>
        <v/>
      </c>
      <c r="AF61" t="n">
        <v>-5.140221</v>
      </c>
      <c r="AG61" t="n">
        <v>119.427835</v>
      </c>
    </row>
    <row r="62" ht="14.4" customHeight="1">
      <c r="A62" s="14" t="n">
        <v>59</v>
      </c>
      <c r="B62" s="15" t="inlineStr">
        <is>
          <t>Ula</t>
        </is>
      </c>
      <c r="C62" s="10" t="n">
        <v>10</v>
      </c>
      <c r="D62" s="10" t="n">
        <v>25</v>
      </c>
      <c r="E62" s="17" t="n">
        <v>365</v>
      </c>
      <c r="F62" s="22" t="n">
        <v>0.0002</v>
      </c>
      <c r="G62" s="10" t="n">
        <v>900</v>
      </c>
      <c r="H62" s="12" t="n">
        <v>0.0003</v>
      </c>
      <c r="I62" s="18" t="n">
        <v>10950</v>
      </c>
      <c r="J62" s="20" t="n">
        <v>10</v>
      </c>
      <c r="K62" s="19">
        <f>(F62*G62*E62*J62)/(D62*I62)</f>
        <v/>
      </c>
      <c r="L62" s="2">
        <f>(F62*G62*E62*5)/(D62*I62)</f>
        <v/>
      </c>
      <c r="M62" s="2">
        <f>(F62*G62*E62*10)/(D62*I62)</f>
        <v/>
      </c>
      <c r="N62" s="2">
        <f>(F62*G62*E62*15)/(D62*I62)</f>
        <v/>
      </c>
      <c r="O62" s="2">
        <f>(F62*G62*E62*20)/(D62*I62)</f>
        <v/>
      </c>
      <c r="P62" s="2">
        <f>(F62*G62*E62*25)/(D62*I62)</f>
        <v/>
      </c>
      <c r="Q62" s="2">
        <f>(F62*G62*E62*30)/(D62*I62)</f>
        <v/>
      </c>
      <c r="R62" s="2">
        <f>K62/H62</f>
        <v/>
      </c>
      <c r="S62" s="2">
        <f>L62/H62</f>
        <v/>
      </c>
      <c r="T62" s="2">
        <f>M62/H62</f>
        <v/>
      </c>
      <c r="U62" s="2">
        <f>N62/H62</f>
        <v/>
      </c>
      <c r="V62" s="2">
        <f>O62/H62</f>
        <v/>
      </c>
      <c r="W62" s="2">
        <f>P62/H62</f>
        <v/>
      </c>
      <c r="X62" s="2">
        <f>Q62/H62</f>
        <v/>
      </c>
      <c r="Y62" s="5">
        <f>IF(R62&gt;1,"1","2")</f>
        <v/>
      </c>
      <c r="Z62" s="5">
        <f>IF(S62&gt;1,"1","2")</f>
        <v/>
      </c>
      <c r="AA62" s="5">
        <f>IF(T62&gt;1,"1","2")</f>
        <v/>
      </c>
      <c r="AB62" s="5">
        <f>IF(U62&gt;1,"1","2")</f>
        <v/>
      </c>
      <c r="AC62" s="5">
        <f>IF(V62&gt;1,"1","2")</f>
        <v/>
      </c>
      <c r="AD62" s="5">
        <f>IF(W62&gt;1,"1","2")</f>
        <v/>
      </c>
      <c r="AE62" s="5">
        <f>IF(X62&gt;1,"1","2")</f>
        <v/>
      </c>
      <c r="AF62" t="n">
        <v>-5.12288</v>
      </c>
      <c r="AG62" t="n">
        <v>119.408651</v>
      </c>
    </row>
    <row r="63" ht="14.4" customHeight="1">
      <c r="A63" s="14" t="n">
        <v>60</v>
      </c>
      <c r="B63" s="15" t="inlineStr">
        <is>
          <t>Msa</t>
        </is>
      </c>
      <c r="C63" s="10" t="n">
        <v>10</v>
      </c>
      <c r="D63" s="10" t="n">
        <v>25</v>
      </c>
      <c r="E63" s="17" t="n">
        <v>365</v>
      </c>
      <c r="F63" s="22" t="n">
        <v>0.0002</v>
      </c>
      <c r="G63" s="10" t="n">
        <v>900</v>
      </c>
      <c r="H63" s="12" t="n">
        <v>0.0003</v>
      </c>
      <c r="I63" s="18" t="n">
        <v>10950</v>
      </c>
      <c r="J63" s="20" t="n">
        <v>10</v>
      </c>
      <c r="K63" s="19">
        <f>(F63*G63*E63*J63)/(D63*I63)</f>
        <v/>
      </c>
      <c r="L63" s="2">
        <f>(F63*G63*E63*5)/(D63*I63)</f>
        <v/>
      </c>
      <c r="M63" s="2">
        <f>(F63*G63*E63*10)/(D63*I63)</f>
        <v/>
      </c>
      <c r="N63" s="2">
        <f>(F63*G63*E63*15)/(D63*I63)</f>
        <v/>
      </c>
      <c r="O63" s="2">
        <f>(F63*G63*E63*20)/(D63*I63)</f>
        <v/>
      </c>
      <c r="P63" s="2">
        <f>(F63*G63*E63*25)/(D63*I63)</f>
        <v/>
      </c>
      <c r="Q63" s="2">
        <f>(F63*G63*E63*30)/(D63*I63)</f>
        <v/>
      </c>
      <c r="R63" s="2">
        <f>K63/H63</f>
        <v/>
      </c>
      <c r="S63" s="2">
        <f>L63/H63</f>
        <v/>
      </c>
      <c r="T63" s="2">
        <f>M63/H63</f>
        <v/>
      </c>
      <c r="U63" s="2">
        <f>N63/H63</f>
        <v/>
      </c>
      <c r="V63" s="2">
        <f>O63/H63</f>
        <v/>
      </c>
      <c r="W63" s="2">
        <f>P63/H63</f>
        <v/>
      </c>
      <c r="X63" s="2">
        <f>Q63/H63</f>
        <v/>
      </c>
      <c r="Y63" s="5">
        <f>IF(R63&gt;1,"1","2")</f>
        <v/>
      </c>
      <c r="Z63" s="5">
        <f>IF(S63&gt;1,"1","2")</f>
        <v/>
      </c>
      <c r="AA63" s="5">
        <f>IF(T63&gt;1,"1","2")</f>
        <v/>
      </c>
      <c r="AB63" s="5">
        <f>IF(U63&gt;1,"1","2")</f>
        <v/>
      </c>
      <c r="AC63" s="5">
        <f>IF(V63&gt;1,"1","2")</f>
        <v/>
      </c>
      <c r="AD63" s="5">
        <f>IF(W63&gt;1,"1","2")</f>
        <v/>
      </c>
      <c r="AE63" s="5">
        <f>IF(X63&gt;1,"1","2")</f>
        <v/>
      </c>
      <c r="AF63" t="n">
        <v>-5.142194</v>
      </c>
      <c r="AG63" t="n">
        <v>119.414704</v>
      </c>
    </row>
    <row r="64" ht="14.4" customHeight="1">
      <c r="A64" s="14" t="n">
        <v>61</v>
      </c>
      <c r="B64" s="15" t="inlineStr">
        <is>
          <t>Lan</t>
        </is>
      </c>
      <c r="C64" s="10" t="n">
        <v>10</v>
      </c>
      <c r="D64" s="10" t="n">
        <v>30</v>
      </c>
      <c r="E64" s="17" t="n">
        <v>365</v>
      </c>
      <c r="F64" s="22" t="n">
        <v>0.0002</v>
      </c>
      <c r="G64" s="10" t="n">
        <v>900</v>
      </c>
      <c r="H64" s="12" t="n">
        <v>0.0003</v>
      </c>
      <c r="I64" s="18" t="n">
        <v>10950</v>
      </c>
      <c r="J64" s="20" t="n">
        <v>10</v>
      </c>
      <c r="K64" s="19">
        <f>(F64*G64*E64*J64)/(D64*I64)</f>
        <v/>
      </c>
      <c r="L64" s="2">
        <f>(F64*G64*E64*5)/(D64*I64)</f>
        <v/>
      </c>
      <c r="M64" s="2">
        <f>(F64*G64*E64*10)/(D64*I64)</f>
        <v/>
      </c>
      <c r="N64" s="2">
        <f>(F64*G64*E64*15)/(D64*I64)</f>
        <v/>
      </c>
      <c r="O64" s="2">
        <f>(F64*G64*E64*20)/(D64*I64)</f>
        <v/>
      </c>
      <c r="P64" s="2">
        <f>(F64*G64*E64*25)/(D64*I64)</f>
        <v/>
      </c>
      <c r="Q64" s="2">
        <f>(F64*G64*E64*30)/(D64*I64)</f>
        <v/>
      </c>
      <c r="R64" s="2">
        <f>K64/H64</f>
        <v/>
      </c>
      <c r="S64" s="2">
        <f>L64/H64</f>
        <v/>
      </c>
      <c r="T64" s="2">
        <f>M64/H64</f>
        <v/>
      </c>
      <c r="U64" s="2">
        <f>N64/H64</f>
        <v/>
      </c>
      <c r="V64" s="2">
        <f>O64/H64</f>
        <v/>
      </c>
      <c r="W64" s="2">
        <f>P64/H64</f>
        <v/>
      </c>
      <c r="X64" s="2">
        <f>Q64/H64</f>
        <v/>
      </c>
      <c r="Y64" s="5">
        <f>IF(R64&gt;1,"1","2")</f>
        <v/>
      </c>
      <c r="Z64" s="5">
        <f>IF(S64&gt;1,"1","2")</f>
        <v/>
      </c>
      <c r="AA64" s="5">
        <f>IF(T64&gt;1,"1","2")</f>
        <v/>
      </c>
      <c r="AB64" s="5">
        <f>IF(U64&gt;1,"1","2")</f>
        <v/>
      </c>
      <c r="AC64" s="5">
        <f>IF(V64&gt;1,"1","2")</f>
        <v/>
      </c>
      <c r="AD64" s="5">
        <f>IF(W64&gt;1,"1","2")</f>
        <v/>
      </c>
      <c r="AE64" s="5">
        <f>IF(X64&gt;1,"1","2")</f>
        <v/>
      </c>
      <c r="AF64" t="n">
        <v>-5.140954</v>
      </c>
      <c r="AG64" t="n">
        <v>119.431511</v>
      </c>
    </row>
    <row r="65" ht="14.4" customHeight="1">
      <c r="A65" s="14" t="n">
        <v>62</v>
      </c>
      <c r="B65" s="15" t="inlineStr">
        <is>
          <t>Fai</t>
        </is>
      </c>
      <c r="C65" s="10" t="n">
        <v>10</v>
      </c>
      <c r="D65" s="10" t="n">
        <v>25</v>
      </c>
      <c r="E65" s="17" t="n">
        <v>365</v>
      </c>
      <c r="F65" s="22" t="n">
        <v>0.0002</v>
      </c>
      <c r="G65" s="10" t="n">
        <v>900</v>
      </c>
      <c r="H65" s="12" t="n">
        <v>0.0003</v>
      </c>
      <c r="I65" s="18" t="n">
        <v>10950</v>
      </c>
      <c r="J65" s="20" t="n">
        <v>10</v>
      </c>
      <c r="K65" s="19">
        <f>(F65*G65*E65*J65)/(D65*I65)</f>
        <v/>
      </c>
      <c r="L65" s="2">
        <f>(F65*G65*E65*5)/(D65*I65)</f>
        <v/>
      </c>
      <c r="M65" s="2">
        <f>(F65*G65*E65*10)/(D65*I65)</f>
        <v/>
      </c>
      <c r="N65" s="2">
        <f>(F65*G65*E65*15)/(D65*I65)</f>
        <v/>
      </c>
      <c r="O65" s="2">
        <f>(F65*G65*E65*20)/(D65*I65)</f>
        <v/>
      </c>
      <c r="P65" s="2">
        <f>(F65*G65*E65*25)/(D65*I65)</f>
        <v/>
      </c>
      <c r="Q65" s="2">
        <f>(F65*G65*E65*30)/(D65*I65)</f>
        <v/>
      </c>
      <c r="R65" s="2">
        <f>K65/H65</f>
        <v/>
      </c>
      <c r="S65" s="2">
        <f>L65/H65</f>
        <v/>
      </c>
      <c r="T65" s="2">
        <f>M65/H65</f>
        <v/>
      </c>
      <c r="U65" s="2">
        <f>N65/H65</f>
        <v/>
      </c>
      <c r="V65" s="2">
        <f>O65/H65</f>
        <v/>
      </c>
      <c r="W65" s="2">
        <f>P65/H65</f>
        <v/>
      </c>
      <c r="X65" s="2">
        <f>Q65/H65</f>
        <v/>
      </c>
      <c r="Y65" s="5">
        <f>IF(R65&gt;1,"1","2")</f>
        <v/>
      </c>
      <c r="Z65" s="5">
        <f>IF(S65&gt;1,"1","2")</f>
        <v/>
      </c>
      <c r="AA65" s="5">
        <f>IF(T65&gt;1,"1","2")</f>
        <v/>
      </c>
      <c r="AB65" s="5">
        <f>IF(U65&gt;1,"1","2")</f>
        <v/>
      </c>
      <c r="AC65" s="5">
        <f>IF(V65&gt;1,"1","2")</f>
        <v/>
      </c>
      <c r="AD65" s="5">
        <f>IF(W65&gt;1,"1","2")</f>
        <v/>
      </c>
      <c r="AE65" s="5">
        <f>IF(X65&gt;1,"1","2")</f>
        <v/>
      </c>
      <c r="AF65" t="n">
        <v>-5.14341</v>
      </c>
      <c r="AG65" t="n">
        <v>119.414385</v>
      </c>
    </row>
    <row r="66" ht="14.4" customHeight="1">
      <c r="A66" s="14" t="n">
        <v>63</v>
      </c>
      <c r="B66" s="15" t="inlineStr">
        <is>
          <t>Arm</t>
        </is>
      </c>
      <c r="C66" s="10" t="n">
        <v>10</v>
      </c>
      <c r="D66" s="10" t="n">
        <v>25</v>
      </c>
      <c r="E66" s="17" t="n">
        <v>365</v>
      </c>
      <c r="F66" s="22" t="n">
        <v>0.0002</v>
      </c>
      <c r="G66" s="10" t="n">
        <v>900</v>
      </c>
      <c r="H66" s="12" t="n">
        <v>0.0003</v>
      </c>
      <c r="I66" s="18" t="n">
        <v>10950</v>
      </c>
      <c r="J66" s="20" t="n">
        <v>10</v>
      </c>
      <c r="K66" s="19">
        <f>(F66*G66*E66*J66)/(D66*I66)</f>
        <v/>
      </c>
      <c r="L66" s="2">
        <f>(F66*G66*E66*5)/(D66*I66)</f>
        <v/>
      </c>
      <c r="M66" s="2">
        <f>(F66*G66*E66*10)/(D66*I66)</f>
        <v/>
      </c>
      <c r="N66" s="2">
        <f>(F66*G66*E66*15)/(D66*I66)</f>
        <v/>
      </c>
      <c r="O66" s="2">
        <f>(F66*G66*E66*20)/(D66*I66)</f>
        <v/>
      </c>
      <c r="P66" s="2">
        <f>(F66*G66*E66*25)/(D66*I66)</f>
        <v/>
      </c>
      <c r="Q66" s="2">
        <f>(F66*G66*E66*30)/(D66*I66)</f>
        <v/>
      </c>
      <c r="R66" s="2">
        <f>K66/H66</f>
        <v/>
      </c>
      <c r="S66" s="2">
        <f>L66/H66</f>
        <v/>
      </c>
      <c r="T66" s="2">
        <f>M66/H66</f>
        <v/>
      </c>
      <c r="U66" s="2">
        <f>N66/H66</f>
        <v/>
      </c>
      <c r="V66" s="2">
        <f>O66/H66</f>
        <v/>
      </c>
      <c r="W66" s="2">
        <f>P66/H66</f>
        <v/>
      </c>
      <c r="X66" s="2">
        <f>Q66/H66</f>
        <v/>
      </c>
      <c r="Y66" s="5">
        <f>IF(R66&gt;1,"1","2")</f>
        <v/>
      </c>
      <c r="Z66" s="5">
        <f>IF(S66&gt;1,"1","2")</f>
        <v/>
      </c>
      <c r="AA66" s="5">
        <f>IF(T66&gt;1,"1","2")</f>
        <v/>
      </c>
      <c r="AB66" s="5">
        <f>IF(U66&gt;1,"1","2")</f>
        <v/>
      </c>
      <c r="AC66" s="5">
        <f>IF(V66&gt;1,"1","2")</f>
        <v/>
      </c>
      <c r="AD66" s="5">
        <f>IF(W66&gt;1,"1","2")</f>
        <v/>
      </c>
      <c r="AE66" s="5">
        <f>IF(X66&gt;1,"1","2")</f>
        <v/>
      </c>
      <c r="AF66" t="n">
        <v>-5.157168</v>
      </c>
      <c r="AG66" t="n">
        <v>119.421729</v>
      </c>
    </row>
    <row r="67" ht="14.4" customHeight="1">
      <c r="A67" s="14" t="n">
        <v>64</v>
      </c>
      <c r="B67" s="15" t="inlineStr">
        <is>
          <t>Dah</t>
        </is>
      </c>
      <c r="C67" s="10" t="n">
        <v>10</v>
      </c>
      <c r="D67" s="10" t="n">
        <v>30</v>
      </c>
      <c r="E67" s="17" t="n">
        <v>365</v>
      </c>
      <c r="F67" s="22" t="n">
        <v>0.0002</v>
      </c>
      <c r="G67" s="10" t="n">
        <v>900</v>
      </c>
      <c r="H67" s="12" t="n">
        <v>0.0003</v>
      </c>
      <c r="I67" s="18" t="n">
        <v>10950</v>
      </c>
      <c r="J67" s="20" t="n">
        <v>10</v>
      </c>
      <c r="K67" s="19">
        <f>(F67*G67*E67*J67)/(D67*I67)</f>
        <v/>
      </c>
      <c r="L67" s="2">
        <f>(F67*G67*E67*5)/(D67*I67)</f>
        <v/>
      </c>
      <c r="M67" s="2">
        <f>(F67*G67*E67*10)/(D67*I67)</f>
        <v/>
      </c>
      <c r="N67" s="2">
        <f>(F67*G67*E67*15)/(D67*I67)</f>
        <v/>
      </c>
      <c r="O67" s="2">
        <f>(F67*G67*E67*20)/(D67*I67)</f>
        <v/>
      </c>
      <c r="P67" s="2">
        <f>(F67*G67*E67*25)/(D67*I67)</f>
        <v/>
      </c>
      <c r="Q67" s="2">
        <f>(F67*G67*E67*30)/(D67*I67)</f>
        <v/>
      </c>
      <c r="R67" s="2">
        <f>K67/H67</f>
        <v/>
      </c>
      <c r="S67" s="2">
        <f>L67/H67</f>
        <v/>
      </c>
      <c r="T67" s="2">
        <f>M67/H67</f>
        <v/>
      </c>
      <c r="U67" s="2">
        <f>N67/H67</f>
        <v/>
      </c>
      <c r="V67" s="2">
        <f>O67/H67</f>
        <v/>
      </c>
      <c r="W67" s="2">
        <f>P67/H67</f>
        <v/>
      </c>
      <c r="X67" s="2">
        <f>Q67/H67</f>
        <v/>
      </c>
      <c r="Y67" s="5">
        <f>IF(R67&gt;1,"1","2")</f>
        <v/>
      </c>
      <c r="Z67" s="5">
        <f>IF(S67&gt;1,"1","2")</f>
        <v/>
      </c>
      <c r="AA67" s="5">
        <f>IF(T67&gt;1,"1","2")</f>
        <v/>
      </c>
      <c r="AB67" s="5">
        <f>IF(U67&gt;1,"1","2")</f>
        <v/>
      </c>
      <c r="AC67" s="5">
        <f>IF(V67&gt;1,"1","2")</f>
        <v/>
      </c>
      <c r="AD67" s="5">
        <f>IF(W67&gt;1,"1","2")</f>
        <v/>
      </c>
      <c r="AE67" s="5">
        <f>IF(X67&gt;1,"1","2")</f>
        <v/>
      </c>
      <c r="AF67" t="n">
        <v>-5.157008</v>
      </c>
      <c r="AG67" t="n">
        <v>119.4383</v>
      </c>
    </row>
    <row r="68" ht="14.4" customHeight="1">
      <c r="A68" s="14" t="n">
        <v>65</v>
      </c>
      <c r="B68" s="15" t="inlineStr">
        <is>
          <t>Rpa</t>
        </is>
      </c>
      <c r="C68" s="10" t="n">
        <v>11</v>
      </c>
      <c r="D68" s="10" t="n">
        <v>33</v>
      </c>
      <c r="E68" s="17" t="n">
        <v>365</v>
      </c>
      <c r="F68" s="22" t="n">
        <v>0.0002</v>
      </c>
      <c r="G68" s="10" t="n">
        <v>900</v>
      </c>
      <c r="H68" s="12" t="n">
        <v>0.0003</v>
      </c>
      <c r="I68" s="18" t="n">
        <v>10950</v>
      </c>
      <c r="J68" s="20" t="n">
        <v>11</v>
      </c>
      <c r="K68" s="19">
        <f>(F68*G68*E68*J68)/(D68*I68)</f>
        <v/>
      </c>
      <c r="L68" s="2">
        <f>(F68*G68*E68*5)/(D68*I68)</f>
        <v/>
      </c>
      <c r="M68" s="2">
        <f>(F68*G68*E68*10)/(D68*I68)</f>
        <v/>
      </c>
      <c r="N68" s="2">
        <f>(F68*G68*E68*15)/(D68*I68)</f>
        <v/>
      </c>
      <c r="O68" s="2">
        <f>(F68*G68*E68*20)/(D68*I68)</f>
        <v/>
      </c>
      <c r="P68" s="2">
        <f>(F68*G68*E68*25)/(D68*I68)</f>
        <v/>
      </c>
      <c r="Q68" s="2">
        <f>(F68*G68*E68*30)/(D68*I68)</f>
        <v/>
      </c>
      <c r="R68" s="2">
        <f>K68/H68</f>
        <v/>
      </c>
      <c r="S68" s="2">
        <f>L68/H68</f>
        <v/>
      </c>
      <c r="T68" s="2">
        <f>M68/H68</f>
        <v/>
      </c>
      <c r="U68" s="2">
        <f>N68/H68</f>
        <v/>
      </c>
      <c r="V68" s="2">
        <f>O68/H68</f>
        <v/>
      </c>
      <c r="W68" s="2">
        <f>P68/H68</f>
        <v/>
      </c>
      <c r="X68" s="2">
        <f>Q68/H68</f>
        <v/>
      </c>
      <c r="Y68" s="5">
        <f>IF(R68&gt;1,"1","2")</f>
        <v/>
      </c>
      <c r="Z68" s="5">
        <f>IF(S68&gt;1,"1","2")</f>
        <v/>
      </c>
      <c r="AA68" s="5">
        <f>IF(T68&gt;1,"1","2")</f>
        <v/>
      </c>
      <c r="AB68" s="5">
        <f>IF(U68&gt;1,"1","2")</f>
        <v/>
      </c>
      <c r="AC68" s="5">
        <f>IF(V68&gt;1,"1","2")</f>
        <v/>
      </c>
      <c r="AD68" s="5">
        <f>IF(W68&gt;1,"1","2")</f>
        <v/>
      </c>
      <c r="AE68" s="5">
        <f>IF(X68&gt;1,"1","2")</f>
        <v/>
      </c>
      <c r="AF68" t="n">
        <v>-5.130333</v>
      </c>
      <c r="AG68" t="n">
        <v>119.44704</v>
      </c>
    </row>
    <row r="69" ht="14.4" customHeight="1">
      <c r="A69" s="14" t="n">
        <v>66</v>
      </c>
      <c r="B69" s="15" t="inlineStr">
        <is>
          <t>Aik</t>
        </is>
      </c>
      <c r="C69" s="10" t="n">
        <v>11</v>
      </c>
      <c r="D69" s="10" t="n">
        <v>23</v>
      </c>
      <c r="E69" s="17" t="n">
        <v>365</v>
      </c>
      <c r="F69" s="22" t="n">
        <v>0.0002</v>
      </c>
      <c r="G69" s="10" t="n">
        <v>900</v>
      </c>
      <c r="H69" s="12" t="n">
        <v>0.0003</v>
      </c>
      <c r="I69" s="18" t="n">
        <v>10950</v>
      </c>
      <c r="J69" s="20" t="n">
        <v>11</v>
      </c>
      <c r="K69" s="19">
        <f>(F69*G69*E69*J69)/(D69*I69)</f>
        <v/>
      </c>
      <c r="L69" s="2">
        <f>(F69*G69*E69*5)/(D69*I69)</f>
        <v/>
      </c>
      <c r="M69" s="2">
        <f>(F69*G69*E69*10)/(D69*I69)</f>
        <v/>
      </c>
      <c r="N69" s="2">
        <f>(F69*G69*E69*15)/(D69*I69)</f>
        <v/>
      </c>
      <c r="O69" s="2">
        <f>(F69*G69*E69*20)/(D69*I69)</f>
        <v/>
      </c>
      <c r="P69" s="2">
        <f>(F69*G69*E69*25)/(D69*I69)</f>
        <v/>
      </c>
      <c r="Q69" s="2">
        <f>(F69*G69*E69*30)/(D69*I69)</f>
        <v/>
      </c>
      <c r="R69" s="2">
        <f>K69/H69</f>
        <v/>
      </c>
      <c r="S69" s="2">
        <f>L69/H69</f>
        <v/>
      </c>
      <c r="T69" s="2">
        <f>M69/H69</f>
        <v/>
      </c>
      <c r="U69" s="2">
        <f>N69/H69</f>
        <v/>
      </c>
      <c r="V69" s="2">
        <f>O69/H69</f>
        <v/>
      </c>
      <c r="W69" s="2">
        <f>P69/H69</f>
        <v/>
      </c>
      <c r="X69" s="2">
        <f>Q69/H69</f>
        <v/>
      </c>
      <c r="Y69" s="5">
        <f>IF(R69&gt;1,"1","2")</f>
        <v/>
      </c>
      <c r="Z69" s="5">
        <f>IF(S69&gt;1,"1","2")</f>
        <v/>
      </c>
      <c r="AA69" s="5">
        <f>IF(T69&gt;1,"1","2")</f>
        <v/>
      </c>
      <c r="AB69" s="5">
        <f>IF(U69&gt;1,"1","2")</f>
        <v/>
      </c>
      <c r="AC69" s="5">
        <f>IF(V69&gt;1,"1","2")</f>
        <v/>
      </c>
      <c r="AD69" s="5">
        <f>IF(W69&gt;1,"1","2")</f>
        <v/>
      </c>
      <c r="AE69" s="5">
        <f>IF(X69&gt;1,"1","2")</f>
        <v/>
      </c>
      <c r="AF69" t="n">
        <v>-5.13263</v>
      </c>
      <c r="AG69" t="n">
        <v>119.404792</v>
      </c>
    </row>
    <row r="70" ht="14.4" customHeight="1">
      <c r="A70" s="14" t="n">
        <v>67</v>
      </c>
      <c r="B70" s="15" t="inlineStr">
        <is>
          <t>Fa</t>
        </is>
      </c>
      <c r="C70" s="10" t="n">
        <v>11</v>
      </c>
      <c r="D70" s="10" t="n">
        <v>34</v>
      </c>
      <c r="E70" s="17" t="n">
        <v>365</v>
      </c>
      <c r="F70" s="22" t="n">
        <v>0.0002</v>
      </c>
      <c r="G70" s="10" t="n">
        <v>1200</v>
      </c>
      <c r="H70" s="12" t="n">
        <v>0.0003</v>
      </c>
      <c r="I70" s="18" t="n">
        <v>10950</v>
      </c>
      <c r="J70" s="20" t="n">
        <v>11</v>
      </c>
      <c r="K70" s="19">
        <f>(F70*G70*E70*J70)/(D70*I70)</f>
        <v/>
      </c>
      <c r="L70" s="2">
        <f>(F70*G70*E70*5)/(D70*I70)</f>
        <v/>
      </c>
      <c r="M70" s="2">
        <f>(F70*G70*E70*10)/(D70*I70)</f>
        <v/>
      </c>
      <c r="N70" s="2">
        <f>(F70*G70*E70*15)/(D70*I70)</f>
        <v/>
      </c>
      <c r="O70" s="2">
        <f>(F70*G70*E70*20)/(D70*I70)</f>
        <v/>
      </c>
      <c r="P70" s="2">
        <f>(F70*G70*E70*25)/(D70*I70)</f>
        <v/>
      </c>
      <c r="Q70" s="2">
        <f>(F70*G70*E70*30)/(D70*I70)</f>
        <v/>
      </c>
      <c r="R70" s="2">
        <f>K70/H70</f>
        <v/>
      </c>
      <c r="S70" s="2">
        <f>L70/H70</f>
        <v/>
      </c>
      <c r="T70" s="2">
        <f>M70/H70</f>
        <v/>
      </c>
      <c r="U70" s="2">
        <f>N70/H70</f>
        <v/>
      </c>
      <c r="V70" s="2">
        <f>O70/H70</f>
        <v/>
      </c>
      <c r="W70" s="2">
        <f>P70/H70</f>
        <v/>
      </c>
      <c r="X70" s="2">
        <f>Q70/H70</f>
        <v/>
      </c>
      <c r="Y70" s="5">
        <f>IF(R70&gt;1,"1","2")</f>
        <v/>
      </c>
      <c r="Z70" s="5">
        <f>IF(S70&gt;1,"1","2")</f>
        <v/>
      </c>
      <c r="AA70" s="5">
        <f>IF(T70&gt;1,"1","2")</f>
        <v/>
      </c>
      <c r="AB70" s="5">
        <f>IF(U70&gt;1,"1","2")</f>
        <v/>
      </c>
      <c r="AC70" s="5">
        <f>IF(V70&gt;1,"1","2")</f>
        <v/>
      </c>
      <c r="AD70" s="5">
        <f>IF(W70&gt;1,"1","2")</f>
        <v/>
      </c>
      <c r="AE70" s="5">
        <f>IF(X70&gt;1,"1","2")</f>
        <v/>
      </c>
      <c r="AF70" t="n">
        <v>-5.123609</v>
      </c>
      <c r="AG70" t="n">
        <v>119.414704</v>
      </c>
    </row>
    <row r="71" ht="14.4" customHeight="1">
      <c r="A71" s="14" t="n">
        <v>68</v>
      </c>
      <c r="B71" s="15" t="inlineStr">
        <is>
          <t>Pan</t>
        </is>
      </c>
      <c r="C71" s="10" t="n">
        <v>11</v>
      </c>
      <c r="D71" s="10" t="n">
        <v>32</v>
      </c>
      <c r="E71" s="17" t="n">
        <v>365</v>
      </c>
      <c r="F71" s="22" t="n">
        <v>0.0002</v>
      </c>
      <c r="G71" s="10" t="n">
        <v>900</v>
      </c>
      <c r="H71" s="12" t="n">
        <v>0.0003</v>
      </c>
      <c r="I71" s="18" t="n">
        <v>10950</v>
      </c>
      <c r="J71" s="20" t="n">
        <v>11</v>
      </c>
      <c r="K71" s="19">
        <f>(F71*G71*E71*J71)/(D71*I71)</f>
        <v/>
      </c>
      <c r="L71" s="2">
        <f>(F71*G71*E71*5)/(D71*I71)</f>
        <v/>
      </c>
      <c r="M71" s="2">
        <f>(F71*G71*E71*10)/(D71*I71)</f>
        <v/>
      </c>
      <c r="N71" s="2">
        <f>(F71*G71*E71*15)/(D71*I71)</f>
        <v/>
      </c>
      <c r="O71" s="2">
        <f>(F71*G71*E71*20)/(D71*I71)</f>
        <v/>
      </c>
      <c r="P71" s="2">
        <f>(F71*G71*E71*25)/(D71*I71)</f>
        <v/>
      </c>
      <c r="Q71" s="2">
        <f>(F71*G71*E71*30)/(D71*I71)</f>
        <v/>
      </c>
      <c r="R71" s="2">
        <f>K71/H71</f>
        <v/>
      </c>
      <c r="S71" s="2">
        <f>L71/H71</f>
        <v/>
      </c>
      <c r="T71" s="2">
        <f>M71/H71</f>
        <v/>
      </c>
      <c r="U71" s="2">
        <f>N71/H71</f>
        <v/>
      </c>
      <c r="V71" s="2">
        <f>O71/H71</f>
        <v/>
      </c>
      <c r="W71" s="2">
        <f>P71/H71</f>
        <v/>
      </c>
      <c r="X71" s="2">
        <f>Q71/H71</f>
        <v/>
      </c>
      <c r="Y71" s="5">
        <f>IF(R71&gt;1,"1","2")</f>
        <v/>
      </c>
      <c r="Z71" s="5">
        <f>IF(S71&gt;1,"1","2")</f>
        <v/>
      </c>
      <c r="AA71" s="5">
        <f>IF(T71&gt;1,"1","2")</f>
        <v/>
      </c>
      <c r="AB71" s="5">
        <f>IF(U71&gt;1,"1","2")</f>
        <v/>
      </c>
      <c r="AC71" s="5">
        <f>IF(V71&gt;1,"1","2")</f>
        <v/>
      </c>
      <c r="AD71" s="5">
        <f>IF(W71&gt;1,"1","2")</f>
        <v/>
      </c>
      <c r="AE71" s="5">
        <f>IF(X71&gt;1,"1","2")</f>
        <v/>
      </c>
      <c r="AF71" t="n">
        <v>-5.14705</v>
      </c>
      <c r="AG71" t="n">
        <v>119.431001</v>
      </c>
    </row>
    <row r="72" ht="14.4" customHeight="1">
      <c r="A72" s="14" t="n">
        <v>69</v>
      </c>
      <c r="B72" s="15" t="inlineStr">
        <is>
          <t>Idbp</t>
        </is>
      </c>
      <c r="C72" s="10" t="n">
        <v>11</v>
      </c>
      <c r="D72" s="10" t="n">
        <v>29</v>
      </c>
      <c r="E72" s="17" t="n">
        <v>365</v>
      </c>
      <c r="F72" s="22" t="n">
        <v>0.0002</v>
      </c>
      <c r="G72" s="10" t="n">
        <v>1200</v>
      </c>
      <c r="H72" s="12" t="n">
        <v>0.0003</v>
      </c>
      <c r="I72" s="18" t="n">
        <v>10950</v>
      </c>
      <c r="J72" s="20" t="n">
        <v>11</v>
      </c>
      <c r="K72" s="19">
        <f>(F72*G72*E72*J72)/(D72*I72)</f>
        <v/>
      </c>
      <c r="L72" s="2">
        <f>(F72*G72*E72*5)/(D72*I72)</f>
        <v/>
      </c>
      <c r="M72" s="2">
        <f>(F72*G72*E72*10)/(D72*I72)</f>
        <v/>
      </c>
      <c r="N72" s="2">
        <f>(F72*G72*E72*15)/(D72*I72)</f>
        <v/>
      </c>
      <c r="O72" s="2">
        <f>(F72*G72*E72*20)/(D72*I72)</f>
        <v/>
      </c>
      <c r="P72" s="2">
        <f>(F72*G72*E72*25)/(D72*I72)</f>
        <v/>
      </c>
      <c r="Q72" s="2">
        <f>(F72*G72*E72*30)/(D72*I72)</f>
        <v/>
      </c>
      <c r="R72" s="2">
        <f>K72/H72</f>
        <v/>
      </c>
      <c r="S72" s="2">
        <f>L72/H72</f>
        <v/>
      </c>
      <c r="T72" s="2">
        <f>M72/H72</f>
        <v/>
      </c>
      <c r="U72" s="2">
        <f>N72/H72</f>
        <v/>
      </c>
      <c r="V72" s="2">
        <f>O72/H72</f>
        <v/>
      </c>
      <c r="W72" s="2">
        <f>P72/H72</f>
        <v/>
      </c>
      <c r="X72" s="2">
        <f>Q72/H72</f>
        <v/>
      </c>
      <c r="Y72" s="5">
        <f>IF(R72&gt;1,"1","2")</f>
        <v/>
      </c>
      <c r="Z72" s="5">
        <f>IF(S72&gt;1,"1","2")</f>
        <v/>
      </c>
      <c r="AA72" s="5">
        <f>IF(T72&gt;1,"1","2")</f>
        <v/>
      </c>
      <c r="AB72" s="5">
        <f>IF(U72&gt;1,"1","2")</f>
        <v/>
      </c>
      <c r="AC72" s="5">
        <f>IF(V72&gt;1,"1","2")</f>
        <v/>
      </c>
      <c r="AD72" s="5">
        <f>IF(W72&gt;1,"1","2")</f>
        <v/>
      </c>
      <c r="AE72" s="5">
        <f>IF(X72&gt;1,"1","2")</f>
        <v/>
      </c>
      <c r="AF72" t="n">
        <v>-5.157063</v>
      </c>
      <c r="AG72" t="n">
        <v>119.429718</v>
      </c>
    </row>
    <row r="73" ht="14.4" customHeight="1">
      <c r="A73" s="14" t="n">
        <v>70</v>
      </c>
      <c r="B73" s="15" t="inlineStr">
        <is>
          <t>Raf</t>
        </is>
      </c>
      <c r="C73" s="10" t="n">
        <v>11</v>
      </c>
      <c r="D73" s="10" t="n">
        <v>29</v>
      </c>
      <c r="E73" s="17" t="n">
        <v>365</v>
      </c>
      <c r="F73" s="22" t="n">
        <v>0.0002</v>
      </c>
      <c r="G73" s="10" t="n">
        <v>1200</v>
      </c>
      <c r="H73" s="12" t="n">
        <v>0.0003</v>
      </c>
      <c r="I73" s="18" t="n">
        <v>10950</v>
      </c>
      <c r="J73" s="20" t="n">
        <v>11</v>
      </c>
      <c r="K73" s="19">
        <f>(F73*G73*E73*J73)/(D73*I73)</f>
        <v/>
      </c>
      <c r="L73" s="2">
        <f>(F73*G73*E73*5)/(D73*I73)</f>
        <v/>
      </c>
      <c r="M73" s="2">
        <f>(F73*G73*E73*10)/(D73*I73)</f>
        <v/>
      </c>
      <c r="N73" s="2">
        <f>(F73*G73*E73*15)/(D73*I73)</f>
        <v/>
      </c>
      <c r="O73" s="2">
        <f>(F73*G73*E73*20)/(D73*I73)</f>
        <v/>
      </c>
      <c r="P73" s="2">
        <f>(F73*G73*E73*25)/(D73*I73)</f>
        <v/>
      </c>
      <c r="Q73" s="2">
        <f>(F73*G73*E73*30)/(D73*I73)</f>
        <v/>
      </c>
      <c r="R73" s="2">
        <f>K73/H73</f>
        <v/>
      </c>
      <c r="S73" s="2">
        <f>L73/H73</f>
        <v/>
      </c>
      <c r="T73" s="2">
        <f>M73/H73</f>
        <v/>
      </c>
      <c r="U73" s="2">
        <f>N73/H73</f>
        <v/>
      </c>
      <c r="V73" s="2">
        <f>O73/H73</f>
        <v/>
      </c>
      <c r="W73" s="2">
        <f>P73/H73</f>
        <v/>
      </c>
      <c r="X73" s="2">
        <f>Q73/H73</f>
        <v/>
      </c>
      <c r="Y73" s="5">
        <f>IF(R73&gt;1,"1","2")</f>
        <v/>
      </c>
      <c r="Z73" s="5">
        <f>IF(S73&gt;1,"1","2")</f>
        <v/>
      </c>
      <c r="AA73" s="5">
        <f>IF(T73&gt;1,"1","2")</f>
        <v/>
      </c>
      <c r="AB73" s="5">
        <f>IF(U73&gt;1,"1","2")</f>
        <v/>
      </c>
      <c r="AC73" s="5">
        <f>IF(V73&gt;1,"1","2")</f>
        <v/>
      </c>
      <c r="AD73" s="5">
        <f>IF(W73&gt;1,"1","2")</f>
        <v/>
      </c>
      <c r="AE73" s="5">
        <f>IF(X73&gt;1,"1","2")</f>
        <v/>
      </c>
      <c r="AF73" t="n">
        <v>-5.148807</v>
      </c>
      <c r="AG73" t="n">
        <v>119.425107</v>
      </c>
    </row>
    <row r="74" ht="14.4" customHeight="1">
      <c r="A74" s="14" t="n">
        <v>71</v>
      </c>
      <c r="B74" s="15" t="inlineStr">
        <is>
          <t>Igp</t>
        </is>
      </c>
      <c r="C74" s="10" t="n">
        <v>11</v>
      </c>
      <c r="D74" s="10" t="n">
        <v>20</v>
      </c>
      <c r="E74" s="17" t="n">
        <v>365</v>
      </c>
      <c r="F74" s="22" t="n">
        <v>0.0002</v>
      </c>
      <c r="G74" s="10" t="n">
        <v>900</v>
      </c>
      <c r="H74" s="12" t="n">
        <v>0.0003</v>
      </c>
      <c r="I74" s="18" t="n">
        <v>10950</v>
      </c>
      <c r="J74" s="20" t="n">
        <v>1</v>
      </c>
      <c r="K74" s="19">
        <f>(F74*G74*E74*J74)/(D74*I74)</f>
        <v/>
      </c>
      <c r="L74" s="2">
        <f>(F74*G74*E74*5)/(D74*I74)</f>
        <v/>
      </c>
      <c r="M74" s="2">
        <f>(F74*G74*E74*10)/(D74*I74)</f>
        <v/>
      </c>
      <c r="N74" s="2">
        <f>(F74*G74*E74*15)/(D74*I74)</f>
        <v/>
      </c>
      <c r="O74" s="2">
        <f>(F74*G74*E74*20)/(D74*I74)</f>
        <v/>
      </c>
      <c r="P74" s="2">
        <f>(F74*G74*E74*25)/(D74*I74)</f>
        <v/>
      </c>
      <c r="Q74" s="2">
        <f>(F74*G74*E74*30)/(D74*I74)</f>
        <v/>
      </c>
      <c r="R74" s="2">
        <f>K74/H74</f>
        <v/>
      </c>
      <c r="S74" s="2">
        <f>L74/H74</f>
        <v/>
      </c>
      <c r="T74" s="2">
        <f>M74/H74</f>
        <v/>
      </c>
      <c r="U74" s="2">
        <f>N74/H74</f>
        <v/>
      </c>
      <c r="V74" s="2">
        <f>O74/H74</f>
        <v/>
      </c>
      <c r="W74" s="2">
        <f>P74/H74</f>
        <v/>
      </c>
      <c r="X74" s="2">
        <f>Q74/H74</f>
        <v/>
      </c>
      <c r="Y74" s="5">
        <f>IF(R74&gt;1,"1","2")</f>
        <v/>
      </c>
      <c r="Z74" s="5">
        <f>IF(S74&gt;1,"1","2")</f>
        <v/>
      </c>
      <c r="AA74" s="5">
        <f>IF(T74&gt;1,"1","2")</f>
        <v/>
      </c>
      <c r="AB74" s="5">
        <f>IF(U74&gt;1,"1","2")</f>
        <v/>
      </c>
      <c r="AC74" s="5">
        <f>IF(V74&gt;1,"1","2")</f>
        <v/>
      </c>
      <c r="AD74" s="5">
        <f>IF(W74&gt;1,"1","2")</f>
        <v/>
      </c>
      <c r="AE74" s="5">
        <f>IF(X74&gt;1,"1","2")</f>
        <v/>
      </c>
      <c r="AF74" t="n">
        <v>-5.125611</v>
      </c>
      <c r="AG74" t="n">
        <v>119.425764</v>
      </c>
    </row>
    <row r="75" ht="14.4" customHeight="1">
      <c r="A75" s="14" t="n">
        <v>72</v>
      </c>
      <c r="B75" s="15" t="inlineStr">
        <is>
          <t>Kbi</t>
        </is>
      </c>
      <c r="C75" s="10" t="n">
        <v>11</v>
      </c>
      <c r="D75" s="10" t="n">
        <v>26</v>
      </c>
      <c r="E75" s="17" t="n">
        <v>365</v>
      </c>
      <c r="F75" s="22" t="n">
        <v>0.0002</v>
      </c>
      <c r="G75" s="10" t="n">
        <v>900</v>
      </c>
      <c r="H75" s="12" t="n">
        <v>0.0003</v>
      </c>
      <c r="I75" s="18" t="n">
        <v>10950</v>
      </c>
      <c r="J75" s="20" t="n">
        <v>1</v>
      </c>
      <c r="K75" s="19">
        <f>(F75*G75*E75*J75)/(D75*I75)</f>
        <v/>
      </c>
      <c r="L75" s="2">
        <f>(F75*G75*E75*5)/(D75*I75)</f>
        <v/>
      </c>
      <c r="M75" s="2">
        <f>(F75*G75*E75*10)/(D75*I75)</f>
        <v/>
      </c>
      <c r="N75" s="2">
        <f>(F75*G75*E75*15)/(D75*I75)</f>
        <v/>
      </c>
      <c r="O75" s="2">
        <f>(F75*G75*E75*20)/(D75*I75)</f>
        <v/>
      </c>
      <c r="P75" s="2">
        <f>(F75*G75*E75*25)/(D75*I75)</f>
        <v/>
      </c>
      <c r="Q75" s="2">
        <f>(F75*G75*E75*30)/(D75*I75)</f>
        <v/>
      </c>
      <c r="R75" s="2">
        <f>K75/H75</f>
        <v/>
      </c>
      <c r="S75" s="2">
        <f>L75/H75</f>
        <v/>
      </c>
      <c r="T75" s="2">
        <f>M75/H75</f>
        <v/>
      </c>
      <c r="U75" s="2">
        <f>N75/H75</f>
        <v/>
      </c>
      <c r="V75" s="2">
        <f>O75/H75</f>
        <v/>
      </c>
      <c r="W75" s="2">
        <f>P75/H75</f>
        <v/>
      </c>
      <c r="X75" s="2">
        <f>Q75/H75</f>
        <v/>
      </c>
      <c r="Y75" s="5">
        <f>IF(R75&gt;1,"1","2")</f>
        <v/>
      </c>
      <c r="Z75" s="5">
        <f>IF(S75&gt;1,"1","2")</f>
        <v/>
      </c>
      <c r="AA75" s="5">
        <f>IF(T75&gt;1,"1","2")</f>
        <v/>
      </c>
      <c r="AB75" s="5">
        <f>IF(U75&gt;1,"1","2")</f>
        <v/>
      </c>
      <c r="AC75" s="5">
        <f>IF(V75&gt;1,"1","2")</f>
        <v/>
      </c>
      <c r="AD75" s="5">
        <f>IF(W75&gt;1,"1","2")</f>
        <v/>
      </c>
      <c r="AE75" s="5">
        <f>IF(X75&gt;1,"1","2")</f>
        <v/>
      </c>
      <c r="AF75" t="n">
        <v>-5.141966</v>
      </c>
      <c r="AG75" t="n">
        <v>119.421831</v>
      </c>
    </row>
    <row r="76" ht="14.4" customHeight="1">
      <c r="A76" s="14" t="n">
        <v>73</v>
      </c>
      <c r="B76" s="15" t="inlineStr">
        <is>
          <t>Iwp</t>
        </is>
      </c>
      <c r="C76" s="10" t="n">
        <v>11</v>
      </c>
      <c r="D76" s="10" t="n">
        <v>31</v>
      </c>
      <c r="E76" s="17" t="n">
        <v>365</v>
      </c>
      <c r="F76" s="22" t="n">
        <v>0.0002</v>
      </c>
      <c r="G76" s="10" t="n">
        <v>1200</v>
      </c>
      <c r="H76" s="12" t="n">
        <v>0.0003</v>
      </c>
      <c r="I76" s="18" t="n">
        <v>10950</v>
      </c>
      <c r="J76" s="20" t="n">
        <v>11</v>
      </c>
      <c r="K76" s="19">
        <f>(F76*G76*E76*J76)/(D76*I76)</f>
        <v/>
      </c>
      <c r="L76" s="2">
        <f>(F76*G76*E76*5)/(D76*I76)</f>
        <v/>
      </c>
      <c r="M76" s="2">
        <f>(F76*G76*E76*10)/(D76*I76)</f>
        <v/>
      </c>
      <c r="N76" s="2">
        <f>(F76*G76*E76*15)/(D76*I76)</f>
        <v/>
      </c>
      <c r="O76" s="2">
        <f>(F76*G76*E76*20)/(D76*I76)</f>
        <v/>
      </c>
      <c r="P76" s="2">
        <f>(F76*G76*E76*25)/(D76*I76)</f>
        <v/>
      </c>
      <c r="Q76" s="2">
        <f>(F76*G76*E76*30)/(D76*I76)</f>
        <v/>
      </c>
      <c r="R76" s="2">
        <f>K76/H76</f>
        <v/>
      </c>
      <c r="S76" s="2">
        <f>L76/H76</f>
        <v/>
      </c>
      <c r="T76" s="2">
        <f>M76/H76</f>
        <v/>
      </c>
      <c r="U76" s="2">
        <f>N76/H76</f>
        <v/>
      </c>
      <c r="V76" s="2">
        <f>O76/H76</f>
        <v/>
      </c>
      <c r="W76" s="2">
        <f>P76/H76</f>
        <v/>
      </c>
      <c r="X76" s="2">
        <f>Q76/H76</f>
        <v/>
      </c>
      <c r="Y76" s="5">
        <f>IF(R76&gt;1,"1","2")</f>
        <v/>
      </c>
      <c r="Z76" s="5">
        <f>IF(S76&gt;1,"1","2")</f>
        <v/>
      </c>
      <c r="AA76" s="5">
        <f>IF(T76&gt;1,"1","2")</f>
        <v/>
      </c>
      <c r="AB76" s="5">
        <f>IF(U76&gt;1,"1","2")</f>
        <v/>
      </c>
      <c r="AC76" s="5">
        <f>IF(V76&gt;1,"1","2")</f>
        <v/>
      </c>
      <c r="AD76" s="5">
        <f>IF(W76&gt;1,"1","2")</f>
        <v/>
      </c>
      <c r="AE76" s="5">
        <f>IF(X76&gt;1,"1","2")</f>
        <v/>
      </c>
      <c r="AF76" t="n">
        <v>-5.145178</v>
      </c>
      <c r="AG76" t="n">
        <v>119.447509</v>
      </c>
    </row>
    <row r="77" ht="14.4" customHeight="1">
      <c r="A77" s="14" t="n">
        <v>74</v>
      </c>
      <c r="B77" s="15" t="inlineStr">
        <is>
          <t>Suk</t>
        </is>
      </c>
      <c r="C77" s="10" t="n">
        <v>11</v>
      </c>
      <c r="D77" s="10" t="n">
        <v>28</v>
      </c>
      <c r="E77" s="17" t="n">
        <v>365</v>
      </c>
      <c r="F77" s="22" t="n">
        <v>0.0002</v>
      </c>
      <c r="G77" s="10" t="n">
        <v>1200</v>
      </c>
      <c r="H77" s="12" t="n">
        <v>0.0003</v>
      </c>
      <c r="I77" s="18" t="n">
        <v>10950</v>
      </c>
      <c r="J77" s="20" t="n">
        <v>11</v>
      </c>
      <c r="K77" s="19">
        <f>(F77*G77*E77*J77)/(D77*I77)</f>
        <v/>
      </c>
      <c r="L77" s="2">
        <f>(F77*G77*E77*5)/(D77*I77)</f>
        <v/>
      </c>
      <c r="M77" s="2">
        <f>(F77*G77*E77*10)/(D77*I77)</f>
        <v/>
      </c>
      <c r="N77" s="2">
        <f>(F77*G77*E77*15)/(D77*I77)</f>
        <v/>
      </c>
      <c r="O77" s="2">
        <f>(F77*G77*E77*20)/(D77*I77)</f>
        <v/>
      </c>
      <c r="P77" s="2">
        <f>(F77*G77*E77*25)/(D77*I77)</f>
        <v/>
      </c>
      <c r="Q77" s="2">
        <f>(F77*G77*E77*30)/(D77*I77)</f>
        <v/>
      </c>
      <c r="R77" s="2">
        <f>K77/H77</f>
        <v/>
      </c>
      <c r="S77" s="2">
        <f>L77/H77</f>
        <v/>
      </c>
      <c r="T77" s="2">
        <f>M77/H77</f>
        <v/>
      </c>
      <c r="U77" s="2">
        <f>N77/H77</f>
        <v/>
      </c>
      <c r="V77" s="2">
        <f>O77/H77</f>
        <v/>
      </c>
      <c r="W77" s="2">
        <f>P77/H77</f>
        <v/>
      </c>
      <c r="X77" s="2">
        <f>Q77/H77</f>
        <v/>
      </c>
      <c r="Y77" s="5">
        <f>IF(R77&gt;1,"1","2")</f>
        <v/>
      </c>
      <c r="Z77" s="5">
        <f>IF(S77&gt;1,"1","2")</f>
        <v/>
      </c>
      <c r="AA77" s="5">
        <f>IF(T77&gt;1,"1","2")</f>
        <v/>
      </c>
      <c r="AB77" s="5">
        <f>IF(U77&gt;1,"1","2")</f>
        <v/>
      </c>
      <c r="AC77" s="5">
        <f>IF(V77&gt;1,"1","2")</f>
        <v/>
      </c>
      <c r="AD77" s="5">
        <f>IF(W77&gt;1,"1","2")</f>
        <v/>
      </c>
      <c r="AE77" s="5">
        <f>IF(X77&gt;1,"1","2")</f>
        <v/>
      </c>
      <c r="AF77" t="n">
        <v>-5.128035</v>
      </c>
      <c r="AG77" t="n">
        <v>119.416295</v>
      </c>
    </row>
    <row r="78" ht="14.4" customHeight="1">
      <c r="A78" s="14" t="n">
        <v>75</v>
      </c>
      <c r="B78" s="15" t="inlineStr">
        <is>
          <t>Tyr</t>
        </is>
      </c>
      <c r="C78" s="10" t="n">
        <v>11</v>
      </c>
      <c r="D78" s="10" t="n">
        <v>35</v>
      </c>
      <c r="E78" s="17" t="n">
        <v>365</v>
      </c>
      <c r="F78" s="22" t="n">
        <v>0.0002</v>
      </c>
      <c r="G78" s="10" t="n">
        <v>900</v>
      </c>
      <c r="H78" s="12" t="n">
        <v>0.0003</v>
      </c>
      <c r="I78" s="18" t="n">
        <v>10950</v>
      </c>
      <c r="J78" s="20" t="n">
        <v>6</v>
      </c>
      <c r="K78" s="19">
        <f>(F78*G78*E78*J78)/(D78*I78)</f>
        <v/>
      </c>
      <c r="L78" s="2">
        <f>(F78*G78*E78*5)/(D78*I78)</f>
        <v/>
      </c>
      <c r="M78" s="2">
        <f>(F78*G78*E78*10)/(D78*I78)</f>
        <v/>
      </c>
      <c r="N78" s="2">
        <f>(F78*G78*E78*15)/(D78*I78)</f>
        <v/>
      </c>
      <c r="O78" s="2">
        <f>(F78*G78*E78*20)/(D78*I78)</f>
        <v/>
      </c>
      <c r="P78" s="2">
        <f>(F78*G78*E78*25)/(D78*I78)</f>
        <v/>
      </c>
      <c r="Q78" s="2">
        <f>(F78*G78*E78*30)/(D78*I78)</f>
        <v/>
      </c>
      <c r="R78" s="2">
        <f>K78/H78</f>
        <v/>
      </c>
      <c r="S78" s="2">
        <f>L78/H78</f>
        <v/>
      </c>
      <c r="T78" s="2">
        <f>M78/H78</f>
        <v/>
      </c>
      <c r="U78" s="2">
        <f>N78/H78</f>
        <v/>
      </c>
      <c r="V78" s="2">
        <f>O78/H78</f>
        <v/>
      </c>
      <c r="W78" s="2">
        <f>P78/H78</f>
        <v/>
      </c>
      <c r="X78" s="2">
        <f>Q78/H78</f>
        <v/>
      </c>
      <c r="Y78" s="5">
        <f>IF(R78&gt;1,"1","2")</f>
        <v/>
      </c>
      <c r="Z78" s="5">
        <f>IF(S78&gt;1,"1","2")</f>
        <v/>
      </c>
      <c r="AA78" s="5">
        <f>IF(T78&gt;1,"1","2")</f>
        <v/>
      </c>
      <c r="AB78" s="5">
        <f>IF(U78&gt;1,"1","2")</f>
        <v/>
      </c>
      <c r="AC78" s="5">
        <f>IF(V78&gt;1,"1","2")</f>
        <v/>
      </c>
      <c r="AD78" s="5">
        <f>IF(W78&gt;1,"1","2")</f>
        <v/>
      </c>
      <c r="AE78" s="5">
        <f>IF(X78&gt;1,"1","2")</f>
        <v/>
      </c>
      <c r="AF78" t="n">
        <v>-5.127421</v>
      </c>
      <c r="AG78" t="n">
        <v>119.404801</v>
      </c>
    </row>
    <row r="79" ht="14.4" customHeight="1">
      <c r="A79" s="14" t="n">
        <v>76</v>
      </c>
      <c r="B79" s="15" t="inlineStr">
        <is>
          <t>Iwd</t>
        </is>
      </c>
      <c r="C79" s="10" t="n">
        <v>11</v>
      </c>
      <c r="D79" s="10" t="n">
        <v>31</v>
      </c>
      <c r="E79" s="17" t="n">
        <v>365</v>
      </c>
      <c r="F79" s="22" t="n">
        <v>0.0002</v>
      </c>
      <c r="G79" s="10" t="n">
        <v>1200</v>
      </c>
      <c r="H79" s="12" t="n">
        <v>0.0003</v>
      </c>
      <c r="I79" s="18" t="n">
        <v>10950</v>
      </c>
      <c r="J79" s="20" t="n">
        <v>11</v>
      </c>
      <c r="K79" s="19">
        <f>(F79*G79*E79*J79)/(D79*I79)</f>
        <v/>
      </c>
      <c r="L79" s="2">
        <f>(F79*G79*E79*5)/(D79*I79)</f>
        <v/>
      </c>
      <c r="M79" s="2">
        <f>(F79*G79*E79*10)/(D79*I79)</f>
        <v/>
      </c>
      <c r="N79" s="2">
        <f>(F79*G79*E79*15)/(D79*I79)</f>
        <v/>
      </c>
      <c r="O79" s="2">
        <f>(F79*G79*E79*20)/(D79*I79)</f>
        <v/>
      </c>
      <c r="P79" s="2">
        <f>(F79*G79*E79*25)/(D79*I79)</f>
        <v/>
      </c>
      <c r="Q79" s="2">
        <f>(F79*G79*E79*30)/(D79*I79)</f>
        <v/>
      </c>
      <c r="R79" s="2">
        <f>K79/H79</f>
        <v/>
      </c>
      <c r="S79" s="2">
        <f>L79/H79</f>
        <v/>
      </c>
      <c r="T79" s="2">
        <f>M79/H79</f>
        <v/>
      </c>
      <c r="U79" s="2">
        <f>N79/H79</f>
        <v/>
      </c>
      <c r="V79" s="2">
        <f>O79/H79</f>
        <v/>
      </c>
      <c r="W79" s="2">
        <f>P79/H79</f>
        <v/>
      </c>
      <c r="X79" s="2">
        <f>Q79/H79</f>
        <v/>
      </c>
      <c r="Y79" s="5">
        <f>IF(R79&gt;1,"1","2")</f>
        <v/>
      </c>
      <c r="Z79" s="5">
        <f>IF(S79&gt;1,"1","2")</f>
        <v/>
      </c>
      <c r="AA79" s="5">
        <f>IF(T79&gt;1,"1","2")</f>
        <v/>
      </c>
      <c r="AB79" s="5">
        <f>IF(U79&gt;1,"1","2")</f>
        <v/>
      </c>
      <c r="AC79" s="5">
        <f>IF(V79&gt;1,"1","2")</f>
        <v/>
      </c>
      <c r="AD79" s="5">
        <f>IF(W79&gt;1,"1","2")</f>
        <v/>
      </c>
      <c r="AE79" s="5">
        <f>IF(X79&gt;1,"1","2")</f>
        <v/>
      </c>
      <c r="AF79" t="n">
        <v>-5.154187</v>
      </c>
      <c r="AG79" t="n">
        <v>119.417476</v>
      </c>
    </row>
    <row r="80" ht="14.4" customHeight="1">
      <c r="A80" s="14" t="n">
        <v>77</v>
      </c>
      <c r="B80" s="15" t="inlineStr">
        <is>
          <t>Gbt</t>
        </is>
      </c>
      <c r="C80" s="10" t="n">
        <v>11</v>
      </c>
      <c r="D80" s="10" t="n">
        <v>20</v>
      </c>
      <c r="E80" s="17" t="n">
        <v>365</v>
      </c>
      <c r="F80" s="22" t="n">
        <v>0.0002</v>
      </c>
      <c r="G80" s="10" t="n">
        <v>900</v>
      </c>
      <c r="H80" s="12" t="n">
        <v>0.0003</v>
      </c>
      <c r="I80" s="18" t="n">
        <v>10950</v>
      </c>
      <c r="J80" s="20" t="n">
        <v>1</v>
      </c>
      <c r="K80" s="19">
        <f>(F80*G80*E80*J80)/(D80*I80)</f>
        <v/>
      </c>
      <c r="L80" s="2">
        <f>(F80*G80*E80*5)/(D80*I80)</f>
        <v/>
      </c>
      <c r="M80" s="2">
        <f>(F80*G80*E80*10)/(D80*I80)</f>
        <v/>
      </c>
      <c r="N80" s="2">
        <f>(F80*G80*E80*15)/(D80*I80)</f>
        <v/>
      </c>
      <c r="O80" s="2">
        <f>(F80*G80*E80*20)/(D80*I80)</f>
        <v/>
      </c>
      <c r="P80" s="2">
        <f>(F80*G80*E80*25)/(D80*I80)</f>
        <v/>
      </c>
      <c r="Q80" s="2">
        <f>(F80*G80*E80*30)/(D80*I80)</f>
        <v/>
      </c>
      <c r="R80" s="2">
        <f>K80/H80</f>
        <v/>
      </c>
      <c r="S80" s="2">
        <f>L80/H80</f>
        <v/>
      </c>
      <c r="T80" s="2">
        <f>M80/H80</f>
        <v/>
      </c>
      <c r="U80" s="2">
        <f>N80/H80</f>
        <v/>
      </c>
      <c r="V80" s="2">
        <f>O80/H80</f>
        <v/>
      </c>
      <c r="W80" s="2">
        <f>P80/H80</f>
        <v/>
      </c>
      <c r="X80" s="2">
        <f>Q80/H80</f>
        <v/>
      </c>
      <c r="Y80" s="5">
        <f>IF(R80&gt;1,"1","2")</f>
        <v/>
      </c>
      <c r="Z80" s="5">
        <f>IF(S80&gt;1,"1","2")</f>
        <v/>
      </c>
      <c r="AA80" s="5">
        <f>IF(T80&gt;1,"1","2")</f>
        <v/>
      </c>
      <c r="AB80" s="5">
        <f>IF(U80&gt;1,"1","2")</f>
        <v/>
      </c>
      <c r="AC80" s="5">
        <f>IF(V80&gt;1,"1","2")</f>
        <v/>
      </c>
      <c r="AD80" s="5">
        <f>IF(W80&gt;1,"1","2")</f>
        <v/>
      </c>
      <c r="AE80" s="5">
        <f>IF(X80&gt;1,"1","2")</f>
        <v/>
      </c>
      <c r="AF80" t="n">
        <v>-5.14914</v>
      </c>
      <c r="AG80" t="n">
        <v>119.427095</v>
      </c>
    </row>
    <row r="81" ht="14.4" customHeight="1">
      <c r="A81" s="14" t="n">
        <v>78</v>
      </c>
      <c r="B81" s="15" t="inlineStr">
        <is>
          <t>Put</t>
        </is>
      </c>
      <c r="C81" s="10" t="n">
        <v>11</v>
      </c>
      <c r="D81" s="10" t="n">
        <v>33</v>
      </c>
      <c r="E81" s="17" t="n">
        <v>365</v>
      </c>
      <c r="F81" s="22" t="n">
        <v>0.0002</v>
      </c>
      <c r="G81" s="10" t="n">
        <v>900</v>
      </c>
      <c r="H81" s="12" t="n">
        <v>0.0003</v>
      </c>
      <c r="I81" s="18" t="n">
        <v>10950</v>
      </c>
      <c r="J81" s="20" t="n">
        <v>11</v>
      </c>
      <c r="K81" s="19">
        <f>(F81*G81*E81*J81)/(D81*I81)</f>
        <v/>
      </c>
      <c r="L81" s="2">
        <f>(F81*G81*E81*5)/(D81*I81)</f>
        <v/>
      </c>
      <c r="M81" s="2">
        <f>(F81*G81*E81*10)/(D81*I81)</f>
        <v/>
      </c>
      <c r="N81" s="2">
        <f>(F81*G81*E81*15)/(D81*I81)</f>
        <v/>
      </c>
      <c r="O81" s="2">
        <f>(F81*G81*E81*20)/(D81*I81)</f>
        <v/>
      </c>
      <c r="P81" s="2">
        <f>(F81*G81*E81*25)/(D81*I81)</f>
        <v/>
      </c>
      <c r="Q81" s="2">
        <f>(F81*G81*E81*30)/(D81*I81)</f>
        <v/>
      </c>
      <c r="R81" s="2">
        <f>K81/H81</f>
        <v/>
      </c>
      <c r="S81" s="2">
        <f>L81/H81</f>
        <v/>
      </c>
      <c r="T81" s="2">
        <f>M81/H81</f>
        <v/>
      </c>
      <c r="U81" s="2">
        <f>N81/H81</f>
        <v/>
      </c>
      <c r="V81" s="2">
        <f>O81/H81</f>
        <v/>
      </c>
      <c r="W81" s="2">
        <f>P81/H81</f>
        <v/>
      </c>
      <c r="X81" s="2">
        <f>Q81/H81</f>
        <v/>
      </c>
      <c r="Y81" s="5">
        <f>IF(R81&gt;1,"1","2")</f>
        <v/>
      </c>
      <c r="Z81" s="5">
        <f>IF(S81&gt;1,"1","2")</f>
        <v/>
      </c>
      <c r="AA81" s="5">
        <f>IF(T81&gt;1,"1","2")</f>
        <v/>
      </c>
      <c r="AB81" s="5">
        <f>IF(U81&gt;1,"1","2")</f>
        <v/>
      </c>
      <c r="AC81" s="5">
        <f>IF(V81&gt;1,"1","2")</f>
        <v/>
      </c>
      <c r="AD81" s="5">
        <f>IF(W81&gt;1,"1","2")</f>
        <v/>
      </c>
      <c r="AE81" s="5">
        <f>IF(X81&gt;1,"1","2")</f>
        <v/>
      </c>
      <c r="AF81" t="n">
        <v>-5.139762</v>
      </c>
      <c r="AG81" t="n">
        <v>119.422664</v>
      </c>
    </row>
    <row r="82" ht="14.4" customHeight="1">
      <c r="A82" s="14" t="n">
        <v>79</v>
      </c>
      <c r="B82" s="15" t="inlineStr">
        <is>
          <t>Bak</t>
        </is>
      </c>
      <c r="C82" s="10" t="n">
        <v>11</v>
      </c>
      <c r="D82" s="10" t="n">
        <v>32</v>
      </c>
      <c r="E82" s="17" t="n">
        <v>365</v>
      </c>
      <c r="F82" s="22" t="n">
        <v>0.0002</v>
      </c>
      <c r="G82" s="10" t="n">
        <v>900</v>
      </c>
      <c r="H82" s="12" t="n">
        <v>0.0003</v>
      </c>
      <c r="I82" s="18" t="n">
        <v>10950</v>
      </c>
      <c r="J82" s="20" t="n">
        <v>11</v>
      </c>
      <c r="K82" s="19">
        <f>(F82*G82*E82*J82)/(D82*I82)</f>
        <v/>
      </c>
      <c r="L82" s="2">
        <f>(F82*G82*E82*5)/(D82*I82)</f>
        <v/>
      </c>
      <c r="M82" s="2">
        <f>(F82*G82*E82*10)/(D82*I82)</f>
        <v/>
      </c>
      <c r="N82" s="2">
        <f>(F82*G82*E82*15)/(D82*I82)</f>
        <v/>
      </c>
      <c r="O82" s="2">
        <f>(F82*G82*E82*20)/(D82*I82)</f>
        <v/>
      </c>
      <c r="P82" s="2">
        <f>(F82*G82*E82*25)/(D82*I82)</f>
        <v/>
      </c>
      <c r="Q82" s="2">
        <f>(F82*G82*E82*30)/(D82*I82)</f>
        <v/>
      </c>
      <c r="R82" s="2">
        <f>K82/H82</f>
        <v/>
      </c>
      <c r="S82" s="2">
        <f>L82/H82</f>
        <v/>
      </c>
      <c r="T82" s="2">
        <f>M82/H82</f>
        <v/>
      </c>
      <c r="U82" s="2">
        <f>N82/H82</f>
        <v/>
      </c>
      <c r="V82" s="2">
        <f>O82/H82</f>
        <v/>
      </c>
      <c r="W82" s="2">
        <f>P82/H82</f>
        <v/>
      </c>
      <c r="X82" s="2">
        <f>Q82/H82</f>
        <v/>
      </c>
      <c r="Y82" s="5">
        <f>IF(R82&gt;1,"1","2")</f>
        <v/>
      </c>
      <c r="Z82" s="5">
        <f>IF(S82&gt;1,"1","2")</f>
        <v/>
      </c>
      <c r="AA82" s="5">
        <f>IF(T82&gt;1,"1","2")</f>
        <v/>
      </c>
      <c r="AB82" s="5">
        <f>IF(U82&gt;1,"1","2")</f>
        <v/>
      </c>
      <c r="AC82" s="5">
        <f>IF(V82&gt;1,"1","2")</f>
        <v/>
      </c>
      <c r="AD82" s="5">
        <f>IF(W82&gt;1,"1","2")</f>
        <v/>
      </c>
      <c r="AE82" s="5">
        <f>IF(X82&gt;1,"1","2")</f>
        <v/>
      </c>
      <c r="AF82" t="n">
        <v>-5.154211</v>
      </c>
      <c r="AG82" t="n">
        <v>119.424495</v>
      </c>
    </row>
    <row r="83" ht="14.4" customHeight="1">
      <c r="A83" s="14" t="n">
        <v>80</v>
      </c>
      <c r="B83" s="15" t="inlineStr">
        <is>
          <t>Aik</t>
        </is>
      </c>
      <c r="C83" s="10" t="n">
        <v>11</v>
      </c>
      <c r="D83" s="10" t="n">
        <v>23</v>
      </c>
      <c r="E83" s="17" t="n">
        <v>365</v>
      </c>
      <c r="F83" s="22" t="n">
        <v>0.0002</v>
      </c>
      <c r="G83" s="10" t="n">
        <v>900</v>
      </c>
      <c r="H83" s="12" t="n">
        <v>0.0003</v>
      </c>
      <c r="I83" s="18" t="n">
        <v>10950</v>
      </c>
      <c r="J83" s="20" t="n">
        <v>11</v>
      </c>
      <c r="K83" s="19">
        <f>(F83*G83*E83*J83)/(D83*I83)</f>
        <v/>
      </c>
      <c r="L83" s="2">
        <f>(F83*G83*E83*5)/(D83*I83)</f>
        <v/>
      </c>
      <c r="M83" s="2">
        <f>(F83*G83*E83*10)/(D83*I83)</f>
        <v/>
      </c>
      <c r="N83" s="2">
        <f>(F83*G83*E83*15)/(D83*I83)</f>
        <v/>
      </c>
      <c r="O83" s="2">
        <f>(F83*G83*E83*20)/(D83*I83)</f>
        <v/>
      </c>
      <c r="P83" s="2">
        <f>(F83*G83*E83*25)/(D83*I83)</f>
        <v/>
      </c>
      <c r="Q83" s="2">
        <f>(F83*G83*E83*30)/(D83*I83)</f>
        <v/>
      </c>
      <c r="R83" s="2">
        <f>K83/H83</f>
        <v/>
      </c>
      <c r="S83" s="2">
        <f>L83/H83</f>
        <v/>
      </c>
      <c r="T83" s="2">
        <f>M83/H83</f>
        <v/>
      </c>
      <c r="U83" s="2">
        <f>N83/H83</f>
        <v/>
      </c>
      <c r="V83" s="2">
        <f>O83/H83</f>
        <v/>
      </c>
      <c r="W83" s="2">
        <f>P83/H83</f>
        <v/>
      </c>
      <c r="X83" s="2">
        <f>Q83/H83</f>
        <v/>
      </c>
      <c r="Y83" s="5">
        <f>IF(R83&gt;1,"1","2")</f>
        <v/>
      </c>
      <c r="Z83" s="5">
        <f>IF(S83&gt;1,"1","2")</f>
        <v/>
      </c>
      <c r="AA83" s="5">
        <f>IF(T83&gt;1,"1","2")</f>
        <v/>
      </c>
      <c r="AB83" s="5">
        <f>IF(U83&gt;1,"1","2")</f>
        <v/>
      </c>
      <c r="AC83" s="5">
        <f>IF(V83&gt;1,"1","2")</f>
        <v/>
      </c>
      <c r="AD83" s="5">
        <f>IF(W83&gt;1,"1","2")</f>
        <v/>
      </c>
      <c r="AE83" s="5">
        <f>IF(X83&gt;1,"1","2")</f>
        <v/>
      </c>
      <c r="AF83" t="n">
        <v>-5.140154</v>
      </c>
      <c r="AG83" t="n">
        <v>119.442838</v>
      </c>
    </row>
    <row r="84" ht="14.4" customHeight="1">
      <c r="A84" s="14" t="n">
        <v>81</v>
      </c>
      <c r="B84" s="15" t="inlineStr">
        <is>
          <t>Aul</t>
        </is>
      </c>
      <c r="C84" s="10" t="n">
        <v>11</v>
      </c>
      <c r="D84" s="10" t="n">
        <v>34</v>
      </c>
      <c r="E84" s="17" t="n">
        <v>365</v>
      </c>
      <c r="F84" s="22" t="n">
        <v>0.0002</v>
      </c>
      <c r="G84" s="10" t="n">
        <v>1200</v>
      </c>
      <c r="H84" s="12" t="n">
        <v>0.0003</v>
      </c>
      <c r="I84" s="18" t="n">
        <v>10950</v>
      </c>
      <c r="J84" s="20" t="n">
        <v>11</v>
      </c>
      <c r="K84" s="19">
        <f>(F84*G84*E84*J84)/(D84*I84)</f>
        <v/>
      </c>
      <c r="L84" s="2">
        <f>(F84*G84*E84*5)/(D84*I84)</f>
        <v/>
      </c>
      <c r="M84" s="2">
        <f>(F84*G84*E84*10)/(D84*I84)</f>
        <v/>
      </c>
      <c r="N84" s="2">
        <f>(F84*G84*E84*15)/(D84*I84)</f>
        <v/>
      </c>
      <c r="O84" s="2">
        <f>(F84*G84*E84*20)/(D84*I84)</f>
        <v/>
      </c>
      <c r="P84" s="2">
        <f>(F84*G84*E84*25)/(D84*I84)</f>
        <v/>
      </c>
      <c r="Q84" s="2">
        <f>(F84*G84*E84*30)/(D84*I84)</f>
        <v/>
      </c>
      <c r="R84" s="2">
        <f>K84/H84</f>
        <v/>
      </c>
      <c r="S84" s="2">
        <f>L84/H84</f>
        <v/>
      </c>
      <c r="T84" s="2">
        <f>M84/H84</f>
        <v/>
      </c>
      <c r="U84" s="2">
        <f>N84/H84</f>
        <v/>
      </c>
      <c r="V84" s="2">
        <f>O84/H84</f>
        <v/>
      </c>
      <c r="W84" s="2">
        <f>P84/H84</f>
        <v/>
      </c>
      <c r="X84" s="2">
        <f>Q84/H84</f>
        <v/>
      </c>
      <c r="Y84" s="5">
        <f>IF(R84&gt;1,"1","2")</f>
        <v/>
      </c>
      <c r="Z84" s="5">
        <f>IF(S84&gt;1,"1","2")</f>
        <v/>
      </c>
      <c r="AA84" s="5">
        <f>IF(T84&gt;1,"1","2")</f>
        <v/>
      </c>
      <c r="AB84" s="5">
        <f>IF(U84&gt;1,"1","2")</f>
        <v/>
      </c>
      <c r="AC84" s="5">
        <f>IF(V84&gt;1,"1","2")</f>
        <v/>
      </c>
      <c r="AD84" s="5">
        <f>IF(W84&gt;1,"1","2")</f>
        <v/>
      </c>
      <c r="AE84" s="5">
        <f>IF(X84&gt;1,"1","2")</f>
        <v/>
      </c>
      <c r="AF84" t="n">
        <v>-5.130739</v>
      </c>
      <c r="AG84" t="n">
        <v>119.445703</v>
      </c>
    </row>
    <row r="85" ht="14.4" customHeight="1">
      <c r="A85" s="14" t="n">
        <v>82</v>
      </c>
      <c r="B85" s="15" t="inlineStr">
        <is>
          <t>Ari</t>
        </is>
      </c>
      <c r="C85" s="10" t="n">
        <v>11</v>
      </c>
      <c r="D85" s="10" t="n">
        <v>32</v>
      </c>
      <c r="E85" s="17" t="n">
        <v>365</v>
      </c>
      <c r="F85" s="22" t="n">
        <v>0.0002</v>
      </c>
      <c r="G85" s="10" t="n">
        <v>900</v>
      </c>
      <c r="H85" s="12" t="n">
        <v>0.0003</v>
      </c>
      <c r="I85" s="18" t="n">
        <v>10950</v>
      </c>
      <c r="J85" s="20" t="n">
        <v>11</v>
      </c>
      <c r="K85" s="19">
        <f>(F85*G85*E85*J85)/(D85*I85)</f>
        <v/>
      </c>
      <c r="L85" s="2">
        <f>(F85*G85*E85*5)/(D85*I85)</f>
        <v/>
      </c>
      <c r="M85" s="2">
        <f>(F85*G85*E85*10)/(D85*I85)</f>
        <v/>
      </c>
      <c r="N85" s="2">
        <f>(F85*G85*E85*15)/(D85*I85)</f>
        <v/>
      </c>
      <c r="O85" s="2">
        <f>(F85*G85*E85*20)/(D85*I85)</f>
        <v/>
      </c>
      <c r="P85" s="2">
        <f>(F85*G85*E85*25)/(D85*I85)</f>
        <v/>
      </c>
      <c r="Q85" s="2">
        <f>(F85*G85*E85*30)/(D85*I85)</f>
        <v/>
      </c>
      <c r="R85" s="2">
        <f>K85/H85</f>
        <v/>
      </c>
      <c r="S85" s="2">
        <f>L85/H85</f>
        <v/>
      </c>
      <c r="T85" s="2">
        <f>M85/H85</f>
        <v/>
      </c>
      <c r="U85" s="2">
        <f>N85/H85</f>
        <v/>
      </c>
      <c r="V85" s="2">
        <f>O85/H85</f>
        <v/>
      </c>
      <c r="W85" s="2">
        <f>P85/H85</f>
        <v/>
      </c>
      <c r="X85" s="2">
        <f>Q85/H85</f>
        <v/>
      </c>
      <c r="Y85" s="5">
        <f>IF(R85&gt;1,"1","2")</f>
        <v/>
      </c>
      <c r="Z85" s="5">
        <f>IF(S85&gt;1,"1","2")</f>
        <v/>
      </c>
      <c r="AA85" s="5">
        <f>IF(T85&gt;1,"1","2")</f>
        <v/>
      </c>
      <c r="AB85" s="5">
        <f>IF(U85&gt;1,"1","2")</f>
        <v/>
      </c>
      <c r="AC85" s="5">
        <f>IF(V85&gt;1,"1","2")</f>
        <v/>
      </c>
      <c r="AD85" s="5">
        <f>IF(W85&gt;1,"1","2")</f>
        <v/>
      </c>
      <c r="AE85" s="5">
        <f>IF(X85&gt;1,"1","2")</f>
        <v/>
      </c>
      <c r="AF85" t="n">
        <v>-5.152016</v>
      </c>
      <c r="AG85" t="n">
        <v>119.430753</v>
      </c>
    </row>
    <row r="86" ht="14.4" customHeight="1">
      <c r="A86" s="14" t="n">
        <v>83</v>
      </c>
      <c r="B86" s="15" t="inlineStr">
        <is>
          <t>Tia</t>
        </is>
      </c>
      <c r="C86" s="10" t="n">
        <v>11</v>
      </c>
      <c r="D86" s="10" t="n">
        <v>35</v>
      </c>
      <c r="E86" s="17" t="n">
        <v>365</v>
      </c>
      <c r="F86" s="22" t="n">
        <v>0.0002</v>
      </c>
      <c r="G86" s="10" t="n">
        <v>900</v>
      </c>
      <c r="H86" s="12" t="n">
        <v>0.0003</v>
      </c>
      <c r="I86" s="18" t="n">
        <v>10950</v>
      </c>
      <c r="J86" s="20" t="n">
        <v>6</v>
      </c>
      <c r="K86" s="19">
        <f>(F86*G86*E86*J86)/(D86*I86)</f>
        <v/>
      </c>
      <c r="L86" s="2">
        <f>(F86*G86*E86*5)/(D86*I86)</f>
        <v/>
      </c>
      <c r="M86" s="2">
        <f>(F86*G86*E86*10)/(D86*I86)</f>
        <v/>
      </c>
      <c r="N86" s="2">
        <f>(F86*G86*E86*15)/(D86*I86)</f>
        <v/>
      </c>
      <c r="O86" s="2">
        <f>(F86*G86*E86*20)/(D86*I86)</f>
        <v/>
      </c>
      <c r="P86" s="2">
        <f>(F86*G86*E86*25)/(D86*I86)</f>
        <v/>
      </c>
      <c r="Q86" s="2">
        <f>(F86*G86*E86*30)/(D86*I86)</f>
        <v/>
      </c>
      <c r="R86" s="2">
        <f>K86/H86</f>
        <v/>
      </c>
      <c r="S86" s="2">
        <f>L86/H86</f>
        <v/>
      </c>
      <c r="T86" s="2">
        <f>M86/H86</f>
        <v/>
      </c>
      <c r="U86" s="2">
        <f>N86/H86</f>
        <v/>
      </c>
      <c r="V86" s="2">
        <f>O86/H86</f>
        <v/>
      </c>
      <c r="W86" s="2">
        <f>P86/H86</f>
        <v/>
      </c>
      <c r="X86" s="2">
        <f>Q86/H86</f>
        <v/>
      </c>
      <c r="Y86" s="5">
        <f>IF(R86&gt;1,"1","2")</f>
        <v/>
      </c>
      <c r="Z86" s="5">
        <f>IF(S86&gt;1,"1","2")</f>
        <v/>
      </c>
      <c r="AA86" s="5">
        <f>IF(T86&gt;1,"1","2")</f>
        <v/>
      </c>
      <c r="AB86" s="5">
        <f>IF(U86&gt;1,"1","2")</f>
        <v/>
      </c>
      <c r="AC86" s="5">
        <f>IF(V86&gt;1,"1","2")</f>
        <v/>
      </c>
      <c r="AD86" s="5">
        <f>IF(W86&gt;1,"1","2")</f>
        <v/>
      </c>
      <c r="AE86" s="5">
        <f>IF(X86&gt;1,"1","2")</f>
        <v/>
      </c>
      <c r="AF86" t="n">
        <v>-5.128339</v>
      </c>
      <c r="AG86" t="n">
        <v>119.401552</v>
      </c>
    </row>
    <row r="87" ht="14.4" customHeight="1">
      <c r="A87" s="14" t="n">
        <v>84</v>
      </c>
      <c r="B87" s="15" t="inlineStr">
        <is>
          <t>Aft</t>
        </is>
      </c>
      <c r="C87" s="10" t="n">
        <v>12</v>
      </c>
      <c r="D87" s="10" t="n">
        <v>28</v>
      </c>
      <c r="E87" s="17" t="n">
        <v>365</v>
      </c>
      <c r="F87" s="22" t="n">
        <v>0.0002</v>
      </c>
      <c r="G87" s="10" t="n">
        <v>900</v>
      </c>
      <c r="H87" s="12" t="n">
        <v>0.0003</v>
      </c>
      <c r="I87" s="18" t="n">
        <v>10950</v>
      </c>
      <c r="J87" s="20" t="n">
        <v>12</v>
      </c>
      <c r="K87" s="19">
        <f>(F87*G87*E87*J87)/(D87*I87)</f>
        <v/>
      </c>
      <c r="L87" s="2">
        <f>(F87*G87*E87*5)/(D87*I87)</f>
        <v/>
      </c>
      <c r="M87" s="2">
        <f>(F87*G87*E87*10)/(D87*I87)</f>
        <v/>
      </c>
      <c r="N87" s="2">
        <f>(F87*G87*E87*15)/(D87*I87)</f>
        <v/>
      </c>
      <c r="O87" s="2">
        <f>(F87*G87*E87*20)/(D87*I87)</f>
        <v/>
      </c>
      <c r="P87" s="2">
        <f>(F87*G87*E87*25)/(D87*I87)</f>
        <v/>
      </c>
      <c r="Q87" s="2">
        <f>(F87*G87*E87*30)/(D87*I87)</f>
        <v/>
      </c>
      <c r="R87" s="2">
        <f>K87/H87</f>
        <v/>
      </c>
      <c r="S87" s="2">
        <f>L87/H87</f>
        <v/>
      </c>
      <c r="T87" s="2">
        <f>M87/H87</f>
        <v/>
      </c>
      <c r="U87" s="2">
        <f>N87/H87</f>
        <v/>
      </c>
      <c r="V87" s="2">
        <f>O87/H87</f>
        <v/>
      </c>
      <c r="W87" s="2">
        <f>P87/H87</f>
        <v/>
      </c>
      <c r="X87" s="2">
        <f>Q87/H87</f>
        <v/>
      </c>
      <c r="Y87" s="5">
        <f>IF(R87&gt;1,"1","2")</f>
        <v/>
      </c>
      <c r="Z87" s="5">
        <f>IF(S87&gt;1,"1","2")</f>
        <v/>
      </c>
      <c r="AA87" s="5">
        <f>IF(T87&gt;1,"1","2")</f>
        <v/>
      </c>
      <c r="AB87" s="5">
        <f>IF(U87&gt;1,"1","2")</f>
        <v/>
      </c>
      <c r="AC87" s="5">
        <f>IF(V87&gt;1,"1","2")</f>
        <v/>
      </c>
      <c r="AD87" s="5">
        <f>IF(W87&gt;1,"1","2")</f>
        <v/>
      </c>
      <c r="AE87" s="5">
        <f>IF(X87&gt;1,"1","2")</f>
        <v/>
      </c>
      <c r="AF87" t="n">
        <v>-5.154162</v>
      </c>
      <c r="AG87" t="n">
        <v>119.409459</v>
      </c>
    </row>
    <row r="88" ht="14.4" customHeight="1">
      <c r="A88" s="14" t="n">
        <v>85</v>
      </c>
      <c r="B88" s="15" t="inlineStr">
        <is>
          <t>NM</t>
        </is>
      </c>
      <c r="C88" s="10" t="n">
        <v>12</v>
      </c>
      <c r="D88" s="10" t="n">
        <v>28</v>
      </c>
      <c r="E88" s="17" t="n">
        <v>365</v>
      </c>
      <c r="F88" s="22" t="n">
        <v>0.0002</v>
      </c>
      <c r="G88" s="10" t="n">
        <v>900</v>
      </c>
      <c r="H88" s="12" t="n">
        <v>0.0003</v>
      </c>
      <c r="I88" s="18" t="n">
        <v>10950</v>
      </c>
      <c r="J88" s="20" t="n">
        <v>12</v>
      </c>
      <c r="K88" s="19">
        <f>(F88*G88*E88*J88)/(D88*I88)</f>
        <v/>
      </c>
      <c r="L88" s="2">
        <f>(F88*G88*E88*5)/(D88*I88)</f>
        <v/>
      </c>
      <c r="M88" s="2">
        <f>(F88*G88*E88*10)/(D88*I88)</f>
        <v/>
      </c>
      <c r="N88" s="2">
        <f>(F88*G88*E88*15)/(D88*I88)</f>
        <v/>
      </c>
      <c r="O88" s="2">
        <f>(F88*G88*E88*20)/(D88*I88)</f>
        <v/>
      </c>
      <c r="P88" s="2">
        <f>(F88*G88*E88*25)/(D88*I88)</f>
        <v/>
      </c>
      <c r="Q88" s="2">
        <f>(F88*G88*E88*30)/(D88*I88)</f>
        <v/>
      </c>
      <c r="R88" s="2">
        <f>K88/H88</f>
        <v/>
      </c>
      <c r="S88" s="2">
        <f>L88/H88</f>
        <v/>
      </c>
      <c r="T88" s="2">
        <f>M88/H88</f>
        <v/>
      </c>
      <c r="U88" s="2">
        <f>N88/H88</f>
        <v/>
      </c>
      <c r="V88" s="2">
        <f>O88/H88</f>
        <v/>
      </c>
      <c r="W88" s="2">
        <f>P88/H88</f>
        <v/>
      </c>
      <c r="X88" s="2">
        <f>Q88/H88</f>
        <v/>
      </c>
      <c r="Y88" s="5">
        <f>IF(R88&gt;1,"1","2")</f>
        <v/>
      </c>
      <c r="Z88" s="5">
        <f>IF(S88&gt;1,"1","2")</f>
        <v/>
      </c>
      <c r="AA88" s="5">
        <f>IF(T88&gt;1,"1","2")</f>
        <v/>
      </c>
      <c r="AB88" s="5">
        <f>IF(U88&gt;1,"1","2")</f>
        <v/>
      </c>
      <c r="AC88" s="5">
        <f>IF(V88&gt;1,"1","2")</f>
        <v/>
      </c>
      <c r="AD88" s="5">
        <f>IF(W88&gt;1,"1","2")</f>
        <v/>
      </c>
      <c r="AE88" s="5">
        <f>IF(X88&gt;1,"1","2")</f>
        <v/>
      </c>
      <c r="AF88" t="n">
        <v>-5.1441</v>
      </c>
      <c r="AG88" t="n">
        <v>119.409476</v>
      </c>
    </row>
    <row r="89" ht="14.4" customHeight="1">
      <c r="A89" s="14" t="n">
        <v>86</v>
      </c>
      <c r="B89" s="15" t="inlineStr">
        <is>
          <t>Cna</t>
        </is>
      </c>
      <c r="C89" s="10" t="n">
        <v>12</v>
      </c>
      <c r="D89" s="10" t="n">
        <v>40</v>
      </c>
      <c r="E89" s="17" t="n">
        <v>365</v>
      </c>
      <c r="F89" s="22" t="n">
        <v>0.0002</v>
      </c>
      <c r="G89" s="10" t="n">
        <v>1800</v>
      </c>
      <c r="H89" s="12" t="n">
        <v>0.0003</v>
      </c>
      <c r="I89" s="18" t="n">
        <v>10950</v>
      </c>
      <c r="J89" s="20" t="n">
        <v>5</v>
      </c>
      <c r="K89" s="19">
        <f>(F89*G89*E89*J89)/(D89*I89)</f>
        <v/>
      </c>
      <c r="L89" s="2">
        <f>(F89*G89*E89*5)/(D89*I89)</f>
        <v/>
      </c>
      <c r="M89" s="2">
        <f>(F89*G89*E89*10)/(D89*I89)</f>
        <v/>
      </c>
      <c r="N89" s="2">
        <f>(F89*G89*E89*15)/(D89*I89)</f>
        <v/>
      </c>
      <c r="O89" s="2">
        <f>(F89*G89*E89*20)/(D89*I89)</f>
        <v/>
      </c>
      <c r="P89" s="2">
        <f>(F89*G89*E89*25)/(D89*I89)</f>
        <v/>
      </c>
      <c r="Q89" s="2">
        <f>(F89*G89*E89*30)/(D89*I89)</f>
        <v/>
      </c>
      <c r="R89" s="2">
        <f>K89/H89</f>
        <v/>
      </c>
      <c r="S89" s="2">
        <f>L89/H89</f>
        <v/>
      </c>
      <c r="T89" s="2">
        <f>M89/H89</f>
        <v/>
      </c>
      <c r="U89" s="2">
        <f>N89/H89</f>
        <v/>
      </c>
      <c r="V89" s="2">
        <f>O89/H89</f>
        <v/>
      </c>
      <c r="W89" s="2">
        <f>P89/H89</f>
        <v/>
      </c>
      <c r="X89" s="2">
        <f>Q89/H89</f>
        <v/>
      </c>
      <c r="Y89" s="5">
        <f>IF(R89&gt;1,"1","2")</f>
        <v/>
      </c>
      <c r="Z89" s="5">
        <f>IF(S89&gt;1,"1","2")</f>
        <v/>
      </c>
      <c r="AA89" s="5">
        <f>IF(T89&gt;1,"1","2")</f>
        <v/>
      </c>
      <c r="AB89" s="5">
        <f>IF(U89&gt;1,"1","2")</f>
        <v/>
      </c>
      <c r="AC89" s="5">
        <f>IF(V89&gt;1,"1","2")</f>
        <v/>
      </c>
      <c r="AD89" s="5">
        <f>IF(W89&gt;1,"1","2")</f>
        <v/>
      </c>
      <c r="AE89" s="5">
        <f>IF(X89&gt;1,"1","2")</f>
        <v/>
      </c>
      <c r="AF89" t="n">
        <v>-5.156756</v>
      </c>
      <c r="AG89" t="n">
        <v>119.43034</v>
      </c>
    </row>
    <row r="90" ht="14.4" customHeight="1">
      <c r="A90" s="14" t="n">
        <v>87</v>
      </c>
      <c r="B90" s="15" t="inlineStr">
        <is>
          <t>Srp</t>
        </is>
      </c>
      <c r="C90" s="10" t="n">
        <v>12</v>
      </c>
      <c r="D90" s="10" t="n">
        <v>23</v>
      </c>
      <c r="E90" s="17" t="n">
        <v>365</v>
      </c>
      <c r="F90" s="22" t="n">
        <v>0.0002</v>
      </c>
      <c r="G90" s="10" t="n">
        <v>900</v>
      </c>
      <c r="H90" s="12" t="n">
        <v>0.0003</v>
      </c>
      <c r="I90" s="18" t="n">
        <v>10950</v>
      </c>
      <c r="J90" s="20" t="n">
        <v>12</v>
      </c>
      <c r="K90" s="19">
        <f>(F90*G90*E90*J90)/(D90*I90)</f>
        <v/>
      </c>
      <c r="L90" s="2">
        <f>(F90*G90*E90*5)/(D90*I90)</f>
        <v/>
      </c>
      <c r="M90" s="2">
        <f>(F90*G90*E90*10)/(D90*I90)</f>
        <v/>
      </c>
      <c r="N90" s="2">
        <f>(F90*G90*E90*15)/(D90*I90)</f>
        <v/>
      </c>
      <c r="O90" s="2">
        <f>(F90*G90*E90*20)/(D90*I90)</f>
        <v/>
      </c>
      <c r="P90" s="2">
        <f>(F90*G90*E90*25)/(D90*I90)</f>
        <v/>
      </c>
      <c r="Q90" s="2">
        <f>(F90*G90*E90*30)/(D90*I90)</f>
        <v/>
      </c>
      <c r="R90" s="2">
        <f>K90/H90</f>
        <v/>
      </c>
      <c r="S90" s="2">
        <f>L90/H90</f>
        <v/>
      </c>
      <c r="T90" s="2">
        <f>M90/H90</f>
        <v/>
      </c>
      <c r="U90" s="2">
        <f>N90/H90</f>
        <v/>
      </c>
      <c r="V90" s="2">
        <f>O90/H90</f>
        <v/>
      </c>
      <c r="W90" s="2">
        <f>P90/H90</f>
        <v/>
      </c>
      <c r="X90" s="2">
        <f>Q90/H90</f>
        <v/>
      </c>
      <c r="Y90" s="5">
        <f>IF(R90&gt;1,"1","2")</f>
        <v/>
      </c>
      <c r="Z90" s="5">
        <f>IF(S90&gt;1,"1","2")</f>
        <v/>
      </c>
      <c r="AA90" s="5">
        <f>IF(T90&gt;1,"1","2")</f>
        <v/>
      </c>
      <c r="AB90" s="5">
        <f>IF(U90&gt;1,"1","2")</f>
        <v/>
      </c>
      <c r="AC90" s="5">
        <f>IF(V90&gt;1,"1","2")</f>
        <v/>
      </c>
      <c r="AD90" s="5">
        <f>IF(W90&gt;1,"1","2")</f>
        <v/>
      </c>
      <c r="AE90" s="5">
        <f>IF(X90&gt;1,"1","2")</f>
        <v/>
      </c>
      <c r="AF90" t="n">
        <v>-5.151853</v>
      </c>
      <c r="AG90" t="n">
        <v>119.404635</v>
      </c>
    </row>
    <row r="91" ht="14.4" customHeight="1">
      <c r="A91" s="14" t="n">
        <v>88</v>
      </c>
      <c r="B91" s="15" t="inlineStr">
        <is>
          <t>Srp</t>
        </is>
      </c>
      <c r="C91" s="10" t="n">
        <v>12</v>
      </c>
      <c r="D91" s="10" t="n">
        <v>23</v>
      </c>
      <c r="E91" s="17" t="n">
        <v>365</v>
      </c>
      <c r="F91" s="22" t="n">
        <v>0.0002</v>
      </c>
      <c r="G91" s="10" t="n">
        <v>900</v>
      </c>
      <c r="H91" s="12" t="n">
        <v>0.0003</v>
      </c>
      <c r="I91" s="18" t="n">
        <v>10950</v>
      </c>
      <c r="J91" s="20" t="n">
        <v>12</v>
      </c>
      <c r="K91" s="19">
        <f>(F91*G91*E91*J91)/(D91*I91)</f>
        <v/>
      </c>
      <c r="L91" s="2">
        <f>(F91*G91*E91*5)/(D91*I91)</f>
        <v/>
      </c>
      <c r="M91" s="2">
        <f>(F91*G91*E91*10)/(D91*I91)</f>
        <v/>
      </c>
      <c r="N91" s="2">
        <f>(F91*G91*E91*15)/(D91*I91)</f>
        <v/>
      </c>
      <c r="O91" s="2">
        <f>(F91*G91*E91*20)/(D91*I91)</f>
        <v/>
      </c>
      <c r="P91" s="2">
        <f>(F91*G91*E91*25)/(D91*I91)</f>
        <v/>
      </c>
      <c r="Q91" s="2">
        <f>(F91*G91*E91*30)/(D91*I91)</f>
        <v/>
      </c>
      <c r="R91" s="2">
        <f>K91/H91</f>
        <v/>
      </c>
      <c r="S91" s="2">
        <f>L91/H91</f>
        <v/>
      </c>
      <c r="T91" s="2">
        <f>M91/H91</f>
        <v/>
      </c>
      <c r="U91" s="2">
        <f>N91/H91</f>
        <v/>
      </c>
      <c r="V91" s="2">
        <f>O91/H91</f>
        <v/>
      </c>
      <c r="W91" s="2">
        <f>P91/H91</f>
        <v/>
      </c>
      <c r="X91" s="2">
        <f>Q91/H91</f>
        <v/>
      </c>
      <c r="Y91" s="5">
        <f>IF(R91&gt;1,"1","2")</f>
        <v/>
      </c>
      <c r="Z91" s="5">
        <f>IF(S91&gt;1,"1","2")</f>
        <v/>
      </c>
      <c r="AA91" s="5">
        <f>IF(T91&gt;1,"1","2")</f>
        <v/>
      </c>
      <c r="AB91" s="5">
        <f>IF(U91&gt;1,"1","2")</f>
        <v/>
      </c>
      <c r="AC91" s="5">
        <f>IF(V91&gt;1,"1","2")</f>
        <v/>
      </c>
      <c r="AD91" s="5">
        <f>IF(W91&gt;1,"1","2")</f>
        <v/>
      </c>
      <c r="AE91" s="5">
        <f>IF(X91&gt;1,"1","2")</f>
        <v/>
      </c>
      <c r="AF91" t="n">
        <v>-5.156659</v>
      </c>
      <c r="AG91" t="n">
        <v>119.408619</v>
      </c>
    </row>
    <row r="92" ht="14.4" customHeight="1">
      <c r="A92" s="14" t="n">
        <v>89</v>
      </c>
      <c r="B92" s="15" t="inlineStr">
        <is>
          <t>Mhp</t>
        </is>
      </c>
      <c r="C92" s="10" t="n">
        <v>12</v>
      </c>
      <c r="D92" s="10" t="n">
        <v>25</v>
      </c>
      <c r="E92" s="17" t="n">
        <v>365</v>
      </c>
      <c r="F92" s="22" t="n">
        <v>0.0002</v>
      </c>
      <c r="G92" s="10" t="n">
        <v>1200</v>
      </c>
      <c r="H92" s="12" t="n">
        <v>0.0003</v>
      </c>
      <c r="I92" s="18" t="n">
        <v>10950</v>
      </c>
      <c r="J92" s="20" t="n">
        <v>12</v>
      </c>
      <c r="K92" s="19">
        <f>(F92*G92*E92*J92)/(D92*I92)</f>
        <v/>
      </c>
      <c r="L92" s="2">
        <f>(F92*G92*E92*5)/(D92*I92)</f>
        <v/>
      </c>
      <c r="M92" s="2">
        <f>(F92*G92*E92*10)/(D92*I92)</f>
        <v/>
      </c>
      <c r="N92" s="2">
        <f>(F92*G92*E92*15)/(D92*I92)</f>
        <v/>
      </c>
      <c r="O92" s="2">
        <f>(F92*G92*E92*20)/(D92*I92)</f>
        <v/>
      </c>
      <c r="P92" s="2">
        <f>(F92*G92*E92*25)/(D92*I92)</f>
        <v/>
      </c>
      <c r="Q92" s="2">
        <f>(F92*G92*E92*30)/(D92*I92)</f>
        <v/>
      </c>
      <c r="R92" s="2">
        <f>K92/H92</f>
        <v/>
      </c>
      <c r="S92" s="2">
        <f>L92/H92</f>
        <v/>
      </c>
      <c r="T92" s="2">
        <f>M92/H92</f>
        <v/>
      </c>
      <c r="U92" s="2">
        <f>N92/H92</f>
        <v/>
      </c>
      <c r="V92" s="2">
        <f>O92/H92</f>
        <v/>
      </c>
      <c r="W92" s="2">
        <f>P92/H92</f>
        <v/>
      </c>
      <c r="X92" s="2">
        <f>Q92/H92</f>
        <v/>
      </c>
      <c r="Y92" s="5">
        <f>IF(R92&gt;1,"1","2")</f>
        <v/>
      </c>
      <c r="Z92" s="5">
        <f>IF(S92&gt;1,"1","2")</f>
        <v/>
      </c>
      <c r="AA92" s="5">
        <f>IF(T92&gt;1,"1","2")</f>
        <v/>
      </c>
      <c r="AB92" s="5">
        <f>IF(U92&gt;1,"1","2")</f>
        <v/>
      </c>
      <c r="AC92" s="5">
        <f>IF(V92&gt;1,"1","2")</f>
        <v/>
      </c>
      <c r="AD92" s="5">
        <f>IF(W92&gt;1,"1","2")</f>
        <v/>
      </c>
      <c r="AE92" s="5">
        <f>IF(X92&gt;1,"1","2")</f>
        <v/>
      </c>
      <c r="AF92" t="n">
        <v>-5.143158</v>
      </c>
      <c r="AG92" t="n">
        <v>119.428246</v>
      </c>
    </row>
    <row r="93" ht="14.4" customHeight="1">
      <c r="A93" s="14" t="n">
        <v>90</v>
      </c>
      <c r="B93" s="15" t="inlineStr">
        <is>
          <t>Ydh</t>
        </is>
      </c>
      <c r="C93" s="10" t="n">
        <v>12</v>
      </c>
      <c r="D93" s="10" t="n">
        <v>28</v>
      </c>
      <c r="E93" s="17" t="n">
        <v>365</v>
      </c>
      <c r="F93" s="22" t="n">
        <v>0.0002</v>
      </c>
      <c r="G93" s="10" t="n">
        <v>1800</v>
      </c>
      <c r="H93" s="12" t="n">
        <v>0.0003</v>
      </c>
      <c r="I93" s="18" t="n">
        <v>10950</v>
      </c>
      <c r="J93" s="20" t="n">
        <v>12</v>
      </c>
      <c r="K93" s="19">
        <f>(F93*G93*E93*J93)/(D93*I93)</f>
        <v/>
      </c>
      <c r="L93" s="2">
        <f>(F93*G93*E93*5)/(D93*I93)</f>
        <v/>
      </c>
      <c r="M93" s="2">
        <f>(F93*G93*E93*10)/(D93*I93)</f>
        <v/>
      </c>
      <c r="N93" s="2">
        <f>(F93*G93*E93*15)/(D93*I93)</f>
        <v/>
      </c>
      <c r="O93" s="2">
        <f>(F93*G93*E93*20)/(D93*I93)</f>
        <v/>
      </c>
      <c r="P93" s="2">
        <f>(F93*G93*E93*25)/(D93*I93)</f>
        <v/>
      </c>
      <c r="Q93" s="2">
        <f>(F93*G93*E93*30)/(D93*I93)</f>
        <v/>
      </c>
      <c r="R93" s="2">
        <f>K93/H93</f>
        <v/>
      </c>
      <c r="S93" s="2">
        <f>L93/H93</f>
        <v/>
      </c>
      <c r="T93" s="2">
        <f>M93/H93</f>
        <v/>
      </c>
      <c r="U93" s="2">
        <f>N93/H93</f>
        <v/>
      </c>
      <c r="V93" s="2">
        <f>O93/H93</f>
        <v/>
      </c>
      <c r="W93" s="2">
        <f>P93/H93</f>
        <v/>
      </c>
      <c r="X93" s="2">
        <f>Q93/H93</f>
        <v/>
      </c>
      <c r="Y93" s="5">
        <f>IF(R93&gt;1,"1","2")</f>
        <v/>
      </c>
      <c r="Z93" s="5">
        <f>IF(S93&gt;1,"1","2")</f>
        <v/>
      </c>
      <c r="AA93" s="5">
        <f>IF(T93&gt;1,"1","2")</f>
        <v/>
      </c>
      <c r="AB93" s="5">
        <f>IF(U93&gt;1,"1","2")</f>
        <v/>
      </c>
      <c r="AC93" s="5">
        <f>IF(V93&gt;1,"1","2")</f>
        <v/>
      </c>
      <c r="AD93" s="5">
        <f>IF(W93&gt;1,"1","2")</f>
        <v/>
      </c>
      <c r="AE93" s="5">
        <f>IF(X93&gt;1,"1","2")</f>
        <v/>
      </c>
      <c r="AF93" t="n">
        <v>-5.123506</v>
      </c>
      <c r="AG93" t="n">
        <v>119.424717</v>
      </c>
    </row>
    <row r="94" ht="14.4" customHeight="1">
      <c r="A94" s="14" t="n">
        <v>91</v>
      </c>
      <c r="B94" s="15" t="inlineStr">
        <is>
          <t>Nur</t>
        </is>
      </c>
      <c r="C94" s="10" t="n">
        <v>12</v>
      </c>
      <c r="D94" s="10" t="n">
        <v>28</v>
      </c>
      <c r="E94" s="17" t="n">
        <v>365</v>
      </c>
      <c r="F94" s="22" t="n">
        <v>0.0002</v>
      </c>
      <c r="G94" s="10" t="n">
        <v>900</v>
      </c>
      <c r="H94" s="12" t="n">
        <v>0.0003</v>
      </c>
      <c r="I94" s="18" t="n">
        <v>10950</v>
      </c>
      <c r="J94" s="20" t="n">
        <v>12</v>
      </c>
      <c r="K94" s="19">
        <f>(F94*G94*E94*J94)/(D94*I94)</f>
        <v/>
      </c>
      <c r="L94" s="2">
        <f>(F94*G94*E94*5)/(D94*I94)</f>
        <v/>
      </c>
      <c r="M94" s="2">
        <f>(F94*G94*E94*10)/(D94*I94)</f>
        <v/>
      </c>
      <c r="N94" s="2">
        <f>(F94*G94*E94*15)/(D94*I94)</f>
        <v/>
      </c>
      <c r="O94" s="2">
        <f>(F94*G94*E94*20)/(D94*I94)</f>
        <v/>
      </c>
      <c r="P94" s="2">
        <f>(F94*G94*E94*25)/(D94*I94)</f>
        <v/>
      </c>
      <c r="Q94" s="2">
        <f>(F94*G94*E94*30)/(D94*I94)</f>
        <v/>
      </c>
      <c r="R94" s="2">
        <f>K94/H94</f>
        <v/>
      </c>
      <c r="S94" s="2">
        <f>L94/H94</f>
        <v/>
      </c>
      <c r="T94" s="2">
        <f>M94/H94</f>
        <v/>
      </c>
      <c r="U94" s="2">
        <f>N94/H94</f>
        <v/>
      </c>
      <c r="V94" s="2">
        <f>O94/H94</f>
        <v/>
      </c>
      <c r="W94" s="2">
        <f>P94/H94</f>
        <v/>
      </c>
      <c r="X94" s="2">
        <f>Q94/H94</f>
        <v/>
      </c>
      <c r="Y94" s="5">
        <f>IF(R94&gt;1,"1","2")</f>
        <v/>
      </c>
      <c r="Z94" s="5">
        <f>IF(S94&gt;1,"1","2")</f>
        <v/>
      </c>
      <c r="AA94" s="5">
        <f>IF(T94&gt;1,"1","2")</f>
        <v/>
      </c>
      <c r="AB94" s="5">
        <f>IF(U94&gt;1,"1","2")</f>
        <v/>
      </c>
      <c r="AC94" s="5">
        <f>IF(V94&gt;1,"1","2")</f>
        <v/>
      </c>
      <c r="AD94" s="5">
        <f>IF(W94&gt;1,"1","2")</f>
        <v/>
      </c>
      <c r="AE94" s="5">
        <f>IF(X94&gt;1,"1","2")</f>
        <v/>
      </c>
      <c r="AF94" t="n">
        <v>-5.138128</v>
      </c>
      <c r="AG94" t="n">
        <v>119.406206</v>
      </c>
    </row>
    <row r="95" ht="14.4" customHeight="1">
      <c r="A95" s="14" t="n">
        <v>92</v>
      </c>
      <c r="B95" s="15" t="inlineStr">
        <is>
          <t>Cah</t>
        </is>
      </c>
      <c r="C95" s="10" t="n">
        <v>12</v>
      </c>
      <c r="D95" s="10" t="n">
        <v>40</v>
      </c>
      <c r="E95" s="17" t="n">
        <v>365</v>
      </c>
      <c r="F95" s="22" t="n">
        <v>0.0002</v>
      </c>
      <c r="G95" s="10" t="n">
        <v>1800</v>
      </c>
      <c r="H95" s="12" t="n">
        <v>0.0003</v>
      </c>
      <c r="I95" s="18" t="n">
        <v>10950</v>
      </c>
      <c r="J95" s="20" t="n">
        <v>5</v>
      </c>
      <c r="K95" s="19">
        <f>(F95*G95*E95*J95)/(D95*I95)</f>
        <v/>
      </c>
      <c r="L95" s="2">
        <f>(F95*G95*E95*5)/(D95*I95)</f>
        <v/>
      </c>
      <c r="M95" s="2">
        <f>(F95*G95*E95*10)/(D95*I95)</f>
        <v/>
      </c>
      <c r="N95" s="2">
        <f>(F95*G95*E95*15)/(D95*I95)</f>
        <v/>
      </c>
      <c r="O95" s="2">
        <f>(F95*G95*E95*20)/(D95*I95)</f>
        <v/>
      </c>
      <c r="P95" s="2">
        <f>(F95*G95*E95*25)/(D95*I95)</f>
        <v/>
      </c>
      <c r="Q95" s="2">
        <f>(F95*G95*E95*30)/(D95*I95)</f>
        <v/>
      </c>
      <c r="R95" s="2">
        <f>K95/H95</f>
        <v/>
      </c>
      <c r="S95" s="2">
        <f>L95/H95</f>
        <v/>
      </c>
      <c r="T95" s="2">
        <f>M95/H95</f>
        <v/>
      </c>
      <c r="U95" s="2">
        <f>N95/H95</f>
        <v/>
      </c>
      <c r="V95" s="2">
        <f>O95/H95</f>
        <v/>
      </c>
      <c r="W95" s="2">
        <f>P95/H95</f>
        <v/>
      </c>
      <c r="X95" s="2">
        <f>Q95/H95</f>
        <v/>
      </c>
      <c r="Y95" s="5">
        <f>IF(R95&gt;1,"1","2")</f>
        <v/>
      </c>
      <c r="Z95" s="5">
        <f>IF(S95&gt;1,"1","2")</f>
        <v/>
      </c>
      <c r="AA95" s="5">
        <f>IF(T95&gt;1,"1","2")</f>
        <v/>
      </c>
      <c r="AB95" s="5">
        <f>IF(U95&gt;1,"1","2")</f>
        <v/>
      </c>
      <c r="AC95" s="5">
        <f>IF(V95&gt;1,"1","2")</f>
        <v/>
      </c>
      <c r="AD95" s="5">
        <f>IF(W95&gt;1,"1","2")</f>
        <v/>
      </c>
      <c r="AE95" s="5">
        <f>IF(X95&gt;1,"1","2")</f>
        <v/>
      </c>
      <c r="AF95" t="n">
        <v>-5.129594</v>
      </c>
      <c r="AG95" t="n">
        <v>119.425691</v>
      </c>
    </row>
    <row r="96" ht="14.4" customHeight="1">
      <c r="A96" s="14" t="n">
        <v>93</v>
      </c>
      <c r="B96" s="15" t="inlineStr">
        <is>
          <t>Srl</t>
        </is>
      </c>
      <c r="C96" s="10" t="n">
        <v>12</v>
      </c>
      <c r="D96" s="10" t="n">
        <v>23</v>
      </c>
      <c r="E96" s="17" t="n">
        <v>365</v>
      </c>
      <c r="F96" s="22" t="n">
        <v>0.0002</v>
      </c>
      <c r="G96" s="10" t="n">
        <v>900</v>
      </c>
      <c r="H96" s="12" t="n">
        <v>0.0003</v>
      </c>
      <c r="I96" s="18" t="n">
        <v>10950</v>
      </c>
      <c r="J96" s="20" t="n">
        <v>12</v>
      </c>
      <c r="K96" s="19">
        <f>(F96*G96*E96*J96)/(D96*I96)</f>
        <v/>
      </c>
      <c r="L96" s="2">
        <f>(F96*G96*E96*5)/(D96*I96)</f>
        <v/>
      </c>
      <c r="M96" s="2">
        <f>(F96*G96*E96*10)/(D96*I96)</f>
        <v/>
      </c>
      <c r="N96" s="2">
        <f>(F96*G96*E96*15)/(D96*I96)</f>
        <v/>
      </c>
      <c r="O96" s="2">
        <f>(F96*G96*E96*20)/(D96*I96)</f>
        <v/>
      </c>
      <c r="P96" s="2">
        <f>(F96*G96*E96*25)/(D96*I96)</f>
        <v/>
      </c>
      <c r="Q96" s="2">
        <f>(F96*G96*E96*30)/(D96*I96)</f>
        <v/>
      </c>
      <c r="R96" s="2">
        <f>K96/H96</f>
        <v/>
      </c>
      <c r="S96" s="2">
        <f>L96/H96</f>
        <v/>
      </c>
      <c r="T96" s="2">
        <f>M96/H96</f>
        <v/>
      </c>
      <c r="U96" s="2">
        <f>N96/H96</f>
        <v/>
      </c>
      <c r="V96" s="2">
        <f>O96/H96</f>
        <v/>
      </c>
      <c r="W96" s="2">
        <f>P96/H96</f>
        <v/>
      </c>
      <c r="X96" s="2">
        <f>Q96/H96</f>
        <v/>
      </c>
      <c r="Y96" s="5">
        <f>IF(R96&gt;1,"1","2")</f>
        <v/>
      </c>
      <c r="Z96" s="5">
        <f>IF(S96&gt;1,"1","2")</f>
        <v/>
      </c>
      <c r="AA96" s="5">
        <f>IF(T96&gt;1,"1","2")</f>
        <v/>
      </c>
      <c r="AB96" s="5">
        <f>IF(U96&gt;1,"1","2")</f>
        <v/>
      </c>
      <c r="AC96" s="5">
        <f>IF(V96&gt;1,"1","2")</f>
        <v/>
      </c>
      <c r="AD96" s="5">
        <f>IF(W96&gt;1,"1","2")</f>
        <v/>
      </c>
      <c r="AE96" s="5">
        <f>IF(X96&gt;1,"1","2")</f>
        <v/>
      </c>
      <c r="AF96" t="n">
        <v>-5.145176</v>
      </c>
      <c r="AG96" t="n">
        <v>119.445381</v>
      </c>
    </row>
    <row r="97" ht="14.4" customHeight="1">
      <c r="A97" s="14" t="n">
        <v>94</v>
      </c>
      <c r="B97" s="15" t="inlineStr">
        <is>
          <t>Afn</t>
        </is>
      </c>
      <c r="C97" s="10" t="n">
        <v>12</v>
      </c>
      <c r="D97" s="10" t="n">
        <v>25</v>
      </c>
      <c r="E97" s="17" t="n">
        <v>365</v>
      </c>
      <c r="F97" s="22" t="n">
        <v>0.0002</v>
      </c>
      <c r="G97" s="10" t="n">
        <v>900</v>
      </c>
      <c r="H97" s="12" t="n">
        <v>0.0003</v>
      </c>
      <c r="I97" s="18" t="n">
        <v>10950</v>
      </c>
      <c r="J97" s="20" t="n">
        <v>12</v>
      </c>
      <c r="K97" s="19">
        <f>(F97*G97*E97*J97)/(D97*I97)</f>
        <v/>
      </c>
      <c r="L97" s="2">
        <f>(F97*G97*E97*5)/(D97*I97)</f>
        <v/>
      </c>
      <c r="M97" s="2">
        <f>(F97*G97*E97*10)/(D97*I97)</f>
        <v/>
      </c>
      <c r="N97" s="2">
        <f>(F97*G97*E97*15)/(D97*I97)</f>
        <v/>
      </c>
      <c r="O97" s="2">
        <f>(F97*G97*E97*20)/(D97*I97)</f>
        <v/>
      </c>
      <c r="P97" s="2">
        <f>(F97*G97*E97*25)/(D97*I97)</f>
        <v/>
      </c>
      <c r="Q97" s="2">
        <f>(F97*G97*E97*30)/(D97*I97)</f>
        <v/>
      </c>
      <c r="R97" s="2">
        <f>K97/H97</f>
        <v/>
      </c>
      <c r="S97" s="2">
        <f>L97/H97</f>
        <v/>
      </c>
      <c r="T97" s="2">
        <f>M97/H97</f>
        <v/>
      </c>
      <c r="U97" s="2">
        <f>N97/H97</f>
        <v/>
      </c>
      <c r="V97" s="2">
        <f>O97/H97</f>
        <v/>
      </c>
      <c r="W97" s="2">
        <f>P97/H97</f>
        <v/>
      </c>
      <c r="X97" s="2">
        <f>Q97/H97</f>
        <v/>
      </c>
      <c r="Y97" s="5">
        <f>IF(R97&gt;1,"1","2")</f>
        <v/>
      </c>
      <c r="Z97" s="5">
        <f>IF(S97&gt;1,"1","2")</f>
        <v/>
      </c>
      <c r="AA97" s="5">
        <f>IF(T97&gt;1,"1","2")</f>
        <v/>
      </c>
      <c r="AB97" s="5">
        <f>IF(U97&gt;1,"1","2")</f>
        <v/>
      </c>
      <c r="AC97" s="5">
        <f>IF(V97&gt;1,"1","2")</f>
        <v/>
      </c>
      <c r="AD97" s="5">
        <f>IF(W97&gt;1,"1","2")</f>
        <v/>
      </c>
      <c r="AE97" s="5">
        <f>IF(X97&gt;1,"1","2")</f>
        <v/>
      </c>
      <c r="AF97" t="n">
        <v>-5.152219</v>
      </c>
      <c r="AG97" t="n">
        <v>119.440304</v>
      </c>
    </row>
    <row r="98" ht="14.4" customHeight="1">
      <c r="A98" s="14" t="n">
        <v>95</v>
      </c>
      <c r="B98" s="15" t="inlineStr">
        <is>
          <t>Mad</t>
        </is>
      </c>
      <c r="C98" s="10" t="n">
        <v>12</v>
      </c>
      <c r="D98" s="10" t="n">
        <v>28</v>
      </c>
      <c r="E98" s="17" t="n">
        <v>365</v>
      </c>
      <c r="F98" s="22" t="n">
        <v>0.0002</v>
      </c>
      <c r="G98" s="10" t="n">
        <v>900</v>
      </c>
      <c r="H98" s="12" t="n">
        <v>0.0003</v>
      </c>
      <c r="I98" s="18" t="n">
        <v>10950</v>
      </c>
      <c r="J98" s="20" t="n">
        <v>12</v>
      </c>
      <c r="K98" s="19">
        <f>(F98*G98*E98*J98)/(D98*I98)</f>
        <v/>
      </c>
      <c r="L98" s="2">
        <f>(F98*G98*E98*5)/(D98*I98)</f>
        <v/>
      </c>
      <c r="M98" s="2">
        <f>(F98*G98*E98*10)/(D98*I98)</f>
        <v/>
      </c>
      <c r="N98" s="2">
        <f>(F98*G98*E98*15)/(D98*I98)</f>
        <v/>
      </c>
      <c r="O98" s="2">
        <f>(F98*G98*E98*20)/(D98*I98)</f>
        <v/>
      </c>
      <c r="P98" s="2">
        <f>(F98*G98*E98*25)/(D98*I98)</f>
        <v/>
      </c>
      <c r="Q98" s="2">
        <f>(F98*G98*E98*30)/(D98*I98)</f>
        <v/>
      </c>
      <c r="R98" s="2">
        <f>K98/H98</f>
        <v/>
      </c>
      <c r="S98" s="2">
        <f>L98/H98</f>
        <v/>
      </c>
      <c r="T98" s="2">
        <f>M98/H98</f>
        <v/>
      </c>
      <c r="U98" s="2">
        <f>N98/H98</f>
        <v/>
      </c>
      <c r="V98" s="2">
        <f>O98/H98</f>
        <v/>
      </c>
      <c r="W98" s="2">
        <f>P98/H98</f>
        <v/>
      </c>
      <c r="X98" s="2">
        <f>Q98/H98</f>
        <v/>
      </c>
      <c r="Y98" s="5">
        <f>IF(R98&gt;1,"1","2")</f>
        <v/>
      </c>
      <c r="Z98" s="5">
        <f>IF(S98&gt;1,"1","2")</f>
        <v/>
      </c>
      <c r="AA98" s="5">
        <f>IF(T98&gt;1,"1","2")</f>
        <v/>
      </c>
      <c r="AB98" s="5">
        <f>IF(U98&gt;1,"1","2")</f>
        <v/>
      </c>
      <c r="AC98" s="5">
        <f>IF(V98&gt;1,"1","2")</f>
        <v/>
      </c>
      <c r="AD98" s="5">
        <f>IF(W98&gt;1,"1","2")</f>
        <v/>
      </c>
      <c r="AE98" s="5">
        <f>IF(X98&gt;1,"1","2")</f>
        <v/>
      </c>
      <c r="AF98" t="n">
        <v>-5.145744</v>
      </c>
      <c r="AG98" t="n">
        <v>119.441558</v>
      </c>
    </row>
    <row r="99" ht="14.4" customHeight="1">
      <c r="A99" s="14" t="n">
        <v>96</v>
      </c>
      <c r="B99" s="15" t="inlineStr">
        <is>
          <t>Nas</t>
        </is>
      </c>
      <c r="C99" s="10" t="n">
        <v>12</v>
      </c>
      <c r="D99" s="10" t="n">
        <v>40</v>
      </c>
      <c r="E99" s="17" t="n">
        <v>365</v>
      </c>
      <c r="F99" s="22" t="n">
        <v>0.0002</v>
      </c>
      <c r="G99" s="10" t="n">
        <v>1800</v>
      </c>
      <c r="H99" s="12" t="n">
        <v>0.0003</v>
      </c>
      <c r="I99" s="18" t="n">
        <v>10950</v>
      </c>
      <c r="J99" s="20" t="n">
        <v>5</v>
      </c>
      <c r="K99" s="19">
        <f>(F99*G99*E99*J99)/(D99*I99)</f>
        <v/>
      </c>
      <c r="L99" s="2">
        <f>(F99*G99*E99*5)/(D99*I99)</f>
        <v/>
      </c>
      <c r="M99" s="2">
        <f>(F99*G99*E99*10)/(D99*I99)</f>
        <v/>
      </c>
      <c r="N99" s="2">
        <f>(F99*G99*E99*15)/(D99*I99)</f>
        <v/>
      </c>
      <c r="O99" s="2">
        <f>(F99*G99*E99*20)/(D99*I99)</f>
        <v/>
      </c>
      <c r="P99" s="2">
        <f>(F99*G99*E99*25)/(D99*I99)</f>
        <v/>
      </c>
      <c r="Q99" s="2">
        <f>(F99*G99*E99*30)/(D99*I99)</f>
        <v/>
      </c>
      <c r="R99" s="2">
        <f>K99/H99</f>
        <v/>
      </c>
      <c r="S99" s="2">
        <f>L99/H99</f>
        <v/>
      </c>
      <c r="T99" s="2">
        <f>M99/H99</f>
        <v/>
      </c>
      <c r="U99" s="2">
        <f>N99/H99</f>
        <v/>
      </c>
      <c r="V99" s="2">
        <f>O99/H99</f>
        <v/>
      </c>
      <c r="W99" s="2">
        <f>P99/H99</f>
        <v/>
      </c>
      <c r="X99" s="2">
        <f>Q99/H99</f>
        <v/>
      </c>
      <c r="Y99" s="5">
        <f>IF(R99&gt;1,"1","2")</f>
        <v/>
      </c>
      <c r="Z99" s="5">
        <f>IF(S99&gt;1,"1","2")</f>
        <v/>
      </c>
      <c r="AA99" s="5">
        <f>IF(T99&gt;1,"1","2")</f>
        <v/>
      </c>
      <c r="AB99" s="5">
        <f>IF(U99&gt;1,"1","2")</f>
        <v/>
      </c>
      <c r="AC99" s="5">
        <f>IF(V99&gt;1,"1","2")</f>
        <v/>
      </c>
      <c r="AD99" s="5">
        <f>IF(W99&gt;1,"1","2")</f>
        <v/>
      </c>
      <c r="AE99" s="5">
        <f>IF(X99&gt;1,"1","2")</f>
        <v/>
      </c>
      <c r="AF99" t="n">
        <v>-5.143841</v>
      </c>
      <c r="AG99" t="n">
        <v>119.410004</v>
      </c>
    </row>
    <row r="100" ht="14.4" customHeight="1">
      <c r="A100" s="14" t="n">
        <v>97</v>
      </c>
      <c r="B100" s="15" t="inlineStr">
        <is>
          <t>Dat</t>
        </is>
      </c>
      <c r="C100" s="10" t="n">
        <v>12</v>
      </c>
      <c r="D100" s="10" t="n">
        <v>28</v>
      </c>
      <c r="E100" s="17" t="n">
        <v>365</v>
      </c>
      <c r="F100" s="22" t="n">
        <v>0.0002</v>
      </c>
      <c r="G100" s="10" t="n">
        <v>900</v>
      </c>
      <c r="H100" s="12" t="n">
        <v>0.0003</v>
      </c>
      <c r="I100" s="18" t="n">
        <v>10950</v>
      </c>
      <c r="J100" s="20" t="n">
        <v>12</v>
      </c>
      <c r="K100" s="19">
        <f>(F100*G100*E100*J100)/(D100*I100)</f>
        <v/>
      </c>
      <c r="L100" s="2">
        <f>(F100*G100*E100*5)/(D100*I100)</f>
        <v/>
      </c>
      <c r="M100" s="2">
        <f>(F100*G100*E100*10)/(D100*I100)</f>
        <v/>
      </c>
      <c r="N100" s="2">
        <f>(F100*G100*E100*15)/(D100*I100)</f>
        <v/>
      </c>
      <c r="O100" s="2">
        <f>(F100*G100*E100*20)/(D100*I100)</f>
        <v/>
      </c>
      <c r="P100" s="2">
        <f>(F100*G100*E100*25)/(D100*I100)</f>
        <v/>
      </c>
      <c r="Q100" s="2">
        <f>(F100*G100*E100*30)/(D100*I100)</f>
        <v/>
      </c>
      <c r="R100" s="2">
        <f>K100/H100</f>
        <v/>
      </c>
      <c r="S100" s="2">
        <f>L100/H100</f>
        <v/>
      </c>
      <c r="T100" s="2">
        <f>M100/H100</f>
        <v/>
      </c>
      <c r="U100" s="2">
        <f>N100/H100</f>
        <v/>
      </c>
      <c r="V100" s="2">
        <f>O100/H100</f>
        <v/>
      </c>
      <c r="W100" s="2">
        <f>P100/H100</f>
        <v/>
      </c>
      <c r="X100" s="2">
        <f>Q100/H100</f>
        <v/>
      </c>
      <c r="Y100" s="5">
        <f>IF(R100&gt;1,"1","2")</f>
        <v/>
      </c>
      <c r="Z100" s="5">
        <f>IF(S100&gt;1,"1","2")</f>
        <v/>
      </c>
      <c r="AA100" s="5">
        <f>IF(T100&gt;1,"1","2")</f>
        <v/>
      </c>
      <c r="AB100" s="5">
        <f>IF(U100&gt;1,"1","2")</f>
        <v/>
      </c>
      <c r="AC100" s="5">
        <f>IF(V100&gt;1,"1","2")</f>
        <v/>
      </c>
      <c r="AD100" s="5">
        <f>IF(W100&gt;1,"1","2")</f>
        <v/>
      </c>
      <c r="AE100" s="5">
        <f>IF(X100&gt;1,"1","2")</f>
        <v/>
      </c>
      <c r="AF100" t="n">
        <v>-5.154173</v>
      </c>
      <c r="AG100" t="n">
        <v>119.422746</v>
      </c>
    </row>
    <row r="101" ht="14.4" customHeight="1">
      <c r="A101" s="14" t="n">
        <v>98</v>
      </c>
      <c r="B101" s="15" t="inlineStr">
        <is>
          <t>Nas</t>
        </is>
      </c>
      <c r="C101" s="10" t="n">
        <v>12</v>
      </c>
      <c r="D101" s="10" t="n">
        <v>40</v>
      </c>
      <c r="E101" s="17" t="n">
        <v>365</v>
      </c>
      <c r="F101" s="22" t="n">
        <v>0.0002</v>
      </c>
      <c r="G101" s="10" t="n">
        <v>1800</v>
      </c>
      <c r="H101" s="12" t="n">
        <v>0.0003</v>
      </c>
      <c r="I101" s="18" t="n">
        <v>10950</v>
      </c>
      <c r="J101" s="20" t="n">
        <v>5</v>
      </c>
      <c r="K101" s="19">
        <f>(F101*G101*E101*J101)/(D101*I101)</f>
        <v/>
      </c>
      <c r="L101" s="2">
        <f>(F101*G101*E101*5)/(D101*I101)</f>
        <v/>
      </c>
      <c r="M101" s="2">
        <f>(F101*G101*E101*10)/(D101*I101)</f>
        <v/>
      </c>
      <c r="N101" s="2">
        <f>(F101*G101*E101*15)/(D101*I101)</f>
        <v/>
      </c>
      <c r="O101" s="2">
        <f>(F101*G101*E101*20)/(D101*I101)</f>
        <v/>
      </c>
      <c r="P101" s="2">
        <f>(F101*G101*E101*25)/(D101*I101)</f>
        <v/>
      </c>
      <c r="Q101" s="2">
        <f>(F101*G101*E101*30)/(D101*I101)</f>
        <v/>
      </c>
      <c r="R101" s="2">
        <f>K101/H101</f>
        <v/>
      </c>
      <c r="S101" s="2">
        <f>L101/H101</f>
        <v/>
      </c>
      <c r="T101" s="2">
        <f>M101/H101</f>
        <v/>
      </c>
      <c r="U101" s="2">
        <f>N101/H101</f>
        <v/>
      </c>
      <c r="V101" s="2">
        <f>O101/H101</f>
        <v/>
      </c>
      <c r="W101" s="2">
        <f>P101/H101</f>
        <v/>
      </c>
      <c r="X101" s="2">
        <f>Q101/H101</f>
        <v/>
      </c>
      <c r="Y101" s="5">
        <f>IF(R101&gt;1,"1","2")</f>
        <v/>
      </c>
      <c r="Z101" s="5">
        <f>IF(S101&gt;1,"1","2")</f>
        <v/>
      </c>
      <c r="AA101" s="5">
        <f>IF(T101&gt;1,"1","2")</f>
        <v/>
      </c>
      <c r="AB101" s="5">
        <f>IF(U101&gt;1,"1","2")</f>
        <v/>
      </c>
      <c r="AC101" s="5">
        <f>IF(V101&gt;1,"1","2")</f>
        <v/>
      </c>
      <c r="AD101" s="5">
        <f>IF(W101&gt;1,"1","2")</f>
        <v/>
      </c>
      <c r="AE101" s="5">
        <f>IF(X101&gt;1,"1","2")</f>
        <v/>
      </c>
      <c r="AF101" t="n">
        <v>-5.136754</v>
      </c>
      <c r="AG101" t="n">
        <v>119.409738</v>
      </c>
    </row>
    <row r="102" ht="14.4" customHeight="1">
      <c r="A102" s="14" t="n">
        <v>99</v>
      </c>
      <c r="B102" s="15" t="inlineStr">
        <is>
          <t>Dan</t>
        </is>
      </c>
      <c r="C102" s="10" t="n">
        <v>12</v>
      </c>
      <c r="D102" s="10" t="n">
        <v>28</v>
      </c>
      <c r="E102" s="17" t="n">
        <v>365</v>
      </c>
      <c r="F102" s="22" t="n">
        <v>0.0002</v>
      </c>
      <c r="G102" s="10" t="n">
        <v>1800</v>
      </c>
      <c r="H102" s="12" t="n">
        <v>0.0003</v>
      </c>
      <c r="I102" s="18" t="n">
        <v>10950</v>
      </c>
      <c r="J102" s="20" t="n">
        <v>12</v>
      </c>
      <c r="K102" s="19">
        <f>(F102*G102*E102*J102)/(D102*I102)</f>
        <v/>
      </c>
      <c r="L102" s="2">
        <f>(F102*G102*E102*5)/(D102*I102)</f>
        <v/>
      </c>
      <c r="M102" s="2">
        <f>(F102*G102*E102*10)/(D102*I102)</f>
        <v/>
      </c>
      <c r="N102" s="2">
        <f>(F102*G102*E102*15)/(D102*I102)</f>
        <v/>
      </c>
      <c r="O102" s="2">
        <f>(F102*G102*E102*20)/(D102*I102)</f>
        <v/>
      </c>
      <c r="P102" s="2">
        <f>(F102*G102*E102*25)/(D102*I102)</f>
        <v/>
      </c>
      <c r="Q102" s="2">
        <f>(F102*G102*E102*30)/(D102*I102)</f>
        <v/>
      </c>
      <c r="R102" s="2">
        <f>K102/H102</f>
        <v/>
      </c>
      <c r="S102" s="2">
        <f>L102/H102</f>
        <v/>
      </c>
      <c r="T102" s="2">
        <f>M102/H102</f>
        <v/>
      </c>
      <c r="U102" s="2">
        <f>N102/H102</f>
        <v/>
      </c>
      <c r="V102" s="2">
        <f>O102/H102</f>
        <v/>
      </c>
      <c r="W102" s="2">
        <f>P102/H102</f>
        <v/>
      </c>
      <c r="X102" s="2">
        <f>Q102/H102</f>
        <v/>
      </c>
      <c r="Y102" s="5">
        <f>IF(R102&gt;1,"1","2")</f>
        <v/>
      </c>
      <c r="Z102" s="5">
        <f>IF(S102&gt;1,"1","2")</f>
        <v/>
      </c>
      <c r="AA102" s="5">
        <f>IF(T102&gt;1,"1","2")</f>
        <v/>
      </c>
      <c r="AB102" s="5">
        <f>IF(U102&gt;1,"1","2")</f>
        <v/>
      </c>
      <c r="AC102" s="5">
        <f>IF(V102&gt;1,"1","2")</f>
        <v/>
      </c>
      <c r="AD102" s="5">
        <f>IF(W102&gt;1,"1","2")</f>
        <v/>
      </c>
      <c r="AE102" s="5">
        <f>IF(X102&gt;1,"1","2")</f>
        <v/>
      </c>
      <c r="AF102" t="n">
        <v>-5.154073</v>
      </c>
      <c r="AG102" t="n">
        <v>119.430798</v>
      </c>
    </row>
    <row r="103" ht="14.4" customHeight="1">
      <c r="A103" s="14" t="n">
        <v>100</v>
      </c>
      <c r="B103" s="15" t="inlineStr">
        <is>
          <t>Adm</t>
        </is>
      </c>
      <c r="C103" s="10" t="n">
        <v>12</v>
      </c>
      <c r="D103" s="10" t="n">
        <v>28</v>
      </c>
      <c r="E103" s="17" t="n">
        <v>365</v>
      </c>
      <c r="F103" s="22" t="n">
        <v>0.0002</v>
      </c>
      <c r="G103" s="10" t="n">
        <v>900</v>
      </c>
      <c r="H103" s="12" t="n">
        <v>0.0003</v>
      </c>
      <c r="I103" s="18" t="n">
        <v>10950</v>
      </c>
      <c r="J103" s="20" t="n">
        <v>12</v>
      </c>
      <c r="K103" s="19">
        <f>(F103*G103*E103*J103)/(D103*I103)</f>
        <v/>
      </c>
      <c r="L103" s="2">
        <f>(F103*G103*E103*5)/(D103*I103)</f>
        <v/>
      </c>
      <c r="M103" s="2">
        <f>(F103*G103*E103*10)/(D103*I103)</f>
        <v/>
      </c>
      <c r="N103" s="2">
        <f>(F103*G103*E103*15)/(D103*I103)</f>
        <v/>
      </c>
      <c r="O103" s="2">
        <f>(F103*G103*E103*20)/(D103*I103)</f>
        <v/>
      </c>
      <c r="P103" s="2">
        <f>(F103*G103*E103*25)/(D103*I103)</f>
        <v/>
      </c>
      <c r="Q103" s="2">
        <f>(F103*G103*E103*30)/(D103*I103)</f>
        <v/>
      </c>
      <c r="R103" s="2">
        <f>K103/H103</f>
        <v/>
      </c>
      <c r="S103" s="2">
        <f>L103/H103</f>
        <v/>
      </c>
      <c r="T103" s="2">
        <f>M103/H103</f>
        <v/>
      </c>
      <c r="U103" s="2">
        <f>N103/H103</f>
        <v/>
      </c>
      <c r="V103" s="2">
        <f>O103/H103</f>
        <v/>
      </c>
      <c r="W103" s="2">
        <f>P103/H103</f>
        <v/>
      </c>
      <c r="X103" s="2">
        <f>Q103/H103</f>
        <v/>
      </c>
      <c r="Y103" s="5">
        <f>IF(R103&gt;1,"1","2")</f>
        <v/>
      </c>
      <c r="Z103" s="5">
        <f>IF(S103&gt;1,"1","2")</f>
        <v/>
      </c>
      <c r="AA103" s="5">
        <f>IF(T103&gt;1,"1","2")</f>
        <v/>
      </c>
      <c r="AB103" s="5">
        <f>IF(U103&gt;1,"1","2")</f>
        <v/>
      </c>
      <c r="AC103" s="5">
        <f>IF(V103&gt;1,"1","2")</f>
        <v/>
      </c>
      <c r="AD103" s="5">
        <f>IF(W103&gt;1,"1","2")</f>
        <v/>
      </c>
      <c r="AE103" s="5">
        <f>IF(X103&gt;1,"1","2")</f>
        <v/>
      </c>
      <c r="AF103" t="n">
        <v>-5.120838</v>
      </c>
      <c r="AG103" t="n">
        <v>119.422815</v>
      </c>
    </row>
    <row r="104"/>
    <row r="105">
      <c r="A105" s="3" t="inlineStr">
        <is>
          <t>Interpretasi RQ</t>
        </is>
      </c>
      <c r="AF105" t="n">
        <v>-5.124876</v>
      </c>
      <c r="AG105" t="n">
        <v>119.417456</v>
      </c>
    </row>
    <row r="106">
      <c r="A106" s="3" t="inlineStr">
        <is>
          <t>1: Tidak aman</t>
        </is>
      </c>
      <c r="AF106" t="n">
        <v>-5.131573</v>
      </c>
      <c r="AG106" t="n">
        <v>119.445055</v>
      </c>
    </row>
    <row r="107">
      <c r="A107" s="3" t="inlineStr">
        <is>
          <t>2: Aman</t>
        </is>
      </c>
      <c r="AF107" t="n">
        <v>-5.150141</v>
      </c>
      <c r="AG107" t="n">
        <v>119.429064</v>
      </c>
    </row>
  </sheetData>
  <mergeCells count="31">
    <mergeCell ref="AB1:AB2"/>
    <mergeCell ref="AD1:AD2"/>
    <mergeCell ref="C1:C2"/>
    <mergeCell ref="V1:V2"/>
    <mergeCell ref="K1:K2"/>
    <mergeCell ref="E1:E2"/>
    <mergeCell ref="M1:M2"/>
    <mergeCell ref="O1:O2"/>
    <mergeCell ref="Q1:Q2"/>
    <mergeCell ref="W1:W2"/>
    <mergeCell ref="Y1:Y2"/>
    <mergeCell ref="AA1:AA2"/>
    <mergeCell ref="B1:B2"/>
    <mergeCell ref="AC1:AC2"/>
    <mergeCell ref="L1:L2"/>
    <mergeCell ref="N1:N2"/>
    <mergeCell ref="AE1:AE2"/>
    <mergeCell ref="T1:T2"/>
    <mergeCell ref="X1:X2"/>
    <mergeCell ref="G1:G2"/>
    <mergeCell ref="Z1:Z2"/>
    <mergeCell ref="I1:I2"/>
    <mergeCell ref="A1:A2"/>
    <mergeCell ref="S1:S2"/>
    <mergeCell ref="U1:U2"/>
    <mergeCell ref="D1:D2"/>
    <mergeCell ref="F1:F2"/>
    <mergeCell ref="H1:H2"/>
    <mergeCell ref="J1:J2"/>
    <mergeCell ref="P1:P2"/>
    <mergeCell ref="R1:R2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AI107"/>
  <sheetViews>
    <sheetView topLeftCell="H1" workbookViewId="0">
      <selection activeCell="N23" sqref="N23"/>
    </sheetView>
  </sheetViews>
  <sheetFormatPr baseColWidth="8" defaultColWidth="9.109375" defaultRowHeight="13.8"/>
  <cols>
    <col width="5.33203125" customWidth="1" style="3" min="1" max="1"/>
    <col width="16" customWidth="1" style="3" min="2" max="2"/>
    <col width="7.5546875" customWidth="1" style="3" min="3" max="4"/>
    <col width="5" customWidth="1" style="6" min="5" max="5"/>
    <col width="10.6640625" customWidth="1" style="3" min="6" max="6"/>
    <col width="9.109375" customWidth="1" style="3" min="7" max="10"/>
    <col width="10" bestFit="1" customWidth="1" style="3" min="11" max="11"/>
    <col width="10.88671875" customWidth="1" style="3" min="12" max="25"/>
    <col width="9.5546875" bestFit="1" customWidth="1" style="3" min="26" max="26"/>
    <col width="9.109375" customWidth="1" style="3" min="27" max="16384"/>
  </cols>
  <sheetData>
    <row r="1" ht="15" customHeight="1">
      <c r="A1" s="25" t="inlineStr">
        <is>
          <t>No</t>
        </is>
      </c>
      <c r="B1" s="26" t="inlineStr">
        <is>
          <t>Responden</t>
        </is>
      </c>
      <c r="C1" s="26" t="inlineStr">
        <is>
          <t>Umur</t>
        </is>
      </c>
      <c r="D1" s="26" t="inlineStr">
        <is>
          <t>Wb</t>
        </is>
      </c>
      <c r="E1" s="26" t="inlineStr">
        <is>
          <t>f</t>
        </is>
      </c>
      <c r="F1" s="23" t="inlineStr">
        <is>
          <t>C</t>
        </is>
      </c>
      <c r="G1" s="23" t="inlineStr">
        <is>
          <t>R</t>
        </is>
      </c>
      <c r="H1" s="23" t="inlineStr">
        <is>
          <t>RfD</t>
        </is>
      </c>
      <c r="I1" s="26" t="inlineStr">
        <is>
          <t>tavg</t>
        </is>
      </c>
      <c r="J1" s="23" t="inlineStr">
        <is>
          <t>Dt (realtime)</t>
        </is>
      </c>
      <c r="K1" s="23" t="inlineStr">
        <is>
          <t>Intake (Dt= realtime)</t>
        </is>
      </c>
      <c r="L1" s="23" t="inlineStr">
        <is>
          <t>Intake (Dt=5th)</t>
        </is>
      </c>
      <c r="M1" s="23" t="inlineStr">
        <is>
          <t>Intake (Dt=10th)</t>
        </is>
      </c>
      <c r="N1" s="23" t="inlineStr">
        <is>
          <t>Intake (Dt=15th)</t>
        </is>
      </c>
      <c r="O1" s="23" t="inlineStr">
        <is>
          <t>Intake (Dt=20th)</t>
        </is>
      </c>
      <c r="P1" s="23" t="inlineStr">
        <is>
          <t>Intake (Dt=25th)</t>
        </is>
      </c>
      <c r="Q1" s="23" t="inlineStr">
        <is>
          <t>Intake (Dt=30th)</t>
        </is>
      </c>
      <c r="R1" s="23" t="inlineStr">
        <is>
          <t>RQ (Dt=realtime)</t>
        </is>
      </c>
      <c r="S1" s="23" t="inlineStr">
        <is>
          <t>RQ (Dt=5th)</t>
        </is>
      </c>
      <c r="T1" s="23" t="inlineStr">
        <is>
          <t>RQ (Dt=10th)</t>
        </is>
      </c>
      <c r="U1" s="23" t="inlineStr">
        <is>
          <t>RQ (Dt=15th)</t>
        </is>
      </c>
      <c r="V1" s="23" t="inlineStr">
        <is>
          <t>RQ (Dt=20th)</t>
        </is>
      </c>
      <c r="W1" s="23" t="inlineStr">
        <is>
          <t>RQ (Dt=25th)</t>
        </is>
      </c>
      <c r="X1" s="23" t="inlineStr">
        <is>
          <t>RQ (Dt=30th)</t>
        </is>
      </c>
      <c r="Y1" s="23" t="inlineStr">
        <is>
          <t>Interpretasi RQ (realtime)</t>
        </is>
      </c>
      <c r="Z1" s="23" t="inlineStr">
        <is>
          <t>Interpretasi RQ (5 tahun)</t>
        </is>
      </c>
      <c r="AA1" s="23" t="inlineStr">
        <is>
          <t>Interpretasi RQ (10 tahun)</t>
        </is>
      </c>
      <c r="AB1" s="23" t="inlineStr">
        <is>
          <t>Interpretasi RQ (15 tahun)</t>
        </is>
      </c>
      <c r="AC1" s="23" t="inlineStr">
        <is>
          <t>Interpretasi RQ (20 tahun)</t>
        </is>
      </c>
      <c r="AD1" s="23" t="inlineStr">
        <is>
          <t>Interpretasi RQ (25 tahun)</t>
        </is>
      </c>
      <c r="AE1" s="23" t="inlineStr">
        <is>
          <t>Interpretasi RQ (30 tahun)</t>
        </is>
      </c>
      <c r="AF1" t="inlineStr">
        <is>
          <t>Latitude</t>
        </is>
      </c>
      <c r="AG1" t="inlineStr">
        <is>
          <t>Longitude</t>
        </is>
      </c>
    </row>
    <row r="2" ht="30.75" customHeight="1">
      <c r="A2" s="29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</row>
    <row r="3" ht="13.2" customFormat="1" customHeight="1" s="9">
      <c r="A3" s="7" t="n">
        <v>1</v>
      </c>
      <c r="B3" s="8" t="n">
        <v>2</v>
      </c>
      <c r="C3" s="7" t="n">
        <v>3</v>
      </c>
      <c r="D3" s="8" t="n">
        <v>4</v>
      </c>
      <c r="E3" s="7" t="n">
        <v>5</v>
      </c>
      <c r="F3" s="8" t="n">
        <v>6</v>
      </c>
      <c r="G3" s="7" t="n">
        <v>7</v>
      </c>
      <c r="H3" s="8" t="n">
        <v>8</v>
      </c>
      <c r="I3" s="7" t="n">
        <v>9</v>
      </c>
      <c r="J3" s="8" t="n">
        <v>10</v>
      </c>
      <c r="K3" s="7" t="n">
        <v>11</v>
      </c>
      <c r="L3" s="8" t="n">
        <v>12</v>
      </c>
      <c r="M3" s="7" t="n">
        <v>13</v>
      </c>
      <c r="N3" s="8" t="n">
        <v>14</v>
      </c>
      <c r="O3" s="7" t="n">
        <v>15</v>
      </c>
      <c r="P3" s="8" t="n">
        <v>16</v>
      </c>
      <c r="Q3" s="7" t="n">
        <v>17</v>
      </c>
      <c r="R3" s="8" t="n">
        <v>18</v>
      </c>
      <c r="S3" s="7" t="n">
        <v>19</v>
      </c>
      <c r="T3" s="8" t="n">
        <v>20</v>
      </c>
      <c r="U3" s="7" t="n">
        <v>21</v>
      </c>
      <c r="V3" s="8" t="n">
        <v>22</v>
      </c>
      <c r="W3" s="7" t="n">
        <v>23</v>
      </c>
      <c r="X3" s="8" t="n">
        <v>24</v>
      </c>
      <c r="Y3" s="7" t="n">
        <v>25</v>
      </c>
      <c r="Z3" s="8" t="n">
        <v>26</v>
      </c>
      <c r="AA3" s="7" t="n">
        <v>27</v>
      </c>
      <c r="AB3" s="8" t="n">
        <v>28</v>
      </c>
      <c r="AC3" s="7" t="n">
        <v>29</v>
      </c>
      <c r="AD3" s="8" t="n">
        <v>30</v>
      </c>
      <c r="AE3" s="7" t="n">
        <v>31</v>
      </c>
      <c r="AF3" t="n">
        <v>-5.150481</v>
      </c>
      <c r="AG3" t="n">
        <v>119.427211</v>
      </c>
    </row>
    <row r="4" ht="14.4" customHeight="1">
      <c r="A4" s="14" t="n">
        <v>1</v>
      </c>
      <c r="B4" s="15" t="inlineStr">
        <is>
          <t>Sp</t>
        </is>
      </c>
      <c r="C4" s="10" t="n">
        <v>9</v>
      </c>
      <c r="D4" s="10" t="n">
        <v>25</v>
      </c>
      <c r="E4" s="16" t="n">
        <v>365</v>
      </c>
      <c r="F4" s="22" t="n">
        <v>0.0003</v>
      </c>
      <c r="G4" s="10" t="n">
        <v>1500</v>
      </c>
      <c r="H4" s="12" t="n">
        <v>0.001</v>
      </c>
      <c r="I4" s="18" t="n">
        <v>10950</v>
      </c>
      <c r="J4" s="20" t="n">
        <v>9</v>
      </c>
      <c r="K4" s="19">
        <f>(F4*G4*E4*J4)/(D4*I4)</f>
        <v/>
      </c>
      <c r="L4" s="2">
        <f>(F4*G4*E4*5)/(D4*I4)</f>
        <v/>
      </c>
      <c r="M4" s="2">
        <f>(F4*G4*E4*10)/(D4*I4)</f>
        <v/>
      </c>
      <c r="N4" s="2">
        <f>(F4*G4*E4*15)/(D4*I4)</f>
        <v/>
      </c>
      <c r="O4" s="2">
        <f>(F4*G4*E4*20)/(D4*I4)</f>
        <v/>
      </c>
      <c r="P4" s="2">
        <f>(F4*G4*E4*25)/(D4*I4)</f>
        <v/>
      </c>
      <c r="Q4" s="2">
        <f>(F4*G4*E4*30)/(D4*I4)</f>
        <v/>
      </c>
      <c r="R4" s="2">
        <f>K4/H4</f>
        <v/>
      </c>
      <c r="S4" s="2">
        <f>L4/H4</f>
        <v/>
      </c>
      <c r="T4" s="2">
        <f>M4/H4</f>
        <v/>
      </c>
      <c r="U4" s="2">
        <f>N4/H4</f>
        <v/>
      </c>
      <c r="V4" s="2">
        <f>O4/H4</f>
        <v/>
      </c>
      <c r="W4" s="2">
        <f>P4/H4</f>
        <v/>
      </c>
      <c r="X4" s="2">
        <f>Q4/H4</f>
        <v/>
      </c>
      <c r="Y4" s="5">
        <f>IF(R4&gt;1,"1","2")</f>
        <v/>
      </c>
      <c r="Z4" s="5">
        <f>IF(S4&gt;1,"1","2")</f>
        <v/>
      </c>
      <c r="AA4" s="5">
        <f>IF(T4&gt;1,"1","2")</f>
        <v/>
      </c>
      <c r="AB4" s="5">
        <f>IF(U4&gt;1,"1","2")</f>
        <v/>
      </c>
      <c r="AC4" s="5">
        <f>IF(V4&gt;1,"1","2")</f>
        <v/>
      </c>
      <c r="AD4" s="5">
        <f>IF(W4&gt;1,"1","2")</f>
        <v/>
      </c>
      <c r="AE4" s="5">
        <f>IF(X4&gt;1,"1","2")</f>
        <v/>
      </c>
      <c r="AF4" t="n">
        <v>-5.150558</v>
      </c>
      <c r="AG4" t="n">
        <v>119.405158</v>
      </c>
    </row>
    <row r="5" ht="14.4" customHeight="1">
      <c r="A5" s="14" t="n">
        <v>2</v>
      </c>
      <c r="B5" s="15" t="inlineStr">
        <is>
          <t>Gi</t>
        </is>
      </c>
      <c r="C5" s="10" t="n">
        <v>9</v>
      </c>
      <c r="D5" s="10" t="n">
        <v>25</v>
      </c>
      <c r="E5" s="16" t="n">
        <v>365</v>
      </c>
      <c r="F5" s="22" t="n">
        <v>0.0003</v>
      </c>
      <c r="G5" s="10" t="n">
        <v>900</v>
      </c>
      <c r="H5" s="12" t="n">
        <v>0.001</v>
      </c>
      <c r="I5" s="18" t="n">
        <v>10950</v>
      </c>
      <c r="J5" s="20" t="n">
        <v>9</v>
      </c>
      <c r="K5" s="19">
        <f>(F5*G5*E5*J5)/(D5*I5)</f>
        <v/>
      </c>
      <c r="L5" s="2">
        <f>(F5*G5*E5*5)/(D5*I5)</f>
        <v/>
      </c>
      <c r="M5" s="2">
        <f>(F5*G5*E5*10)/(D5*I5)</f>
        <v/>
      </c>
      <c r="N5" s="2">
        <f>(F5*G5*E5*15)/(D5*I5)</f>
        <v/>
      </c>
      <c r="O5" s="2">
        <f>(F5*G5*E5*20)/(D5*I5)</f>
        <v/>
      </c>
      <c r="P5" s="2">
        <f>(F5*G5*E5*25)/(D5*I5)</f>
        <v/>
      </c>
      <c r="Q5" s="2">
        <f>(F5*G5*E5*30)/(D5*I5)</f>
        <v/>
      </c>
      <c r="R5" s="2">
        <f>K5/H5</f>
        <v/>
      </c>
      <c r="S5" s="2">
        <f>L5/H5</f>
        <v/>
      </c>
      <c r="T5" s="2">
        <f>M5/H5</f>
        <v/>
      </c>
      <c r="U5" s="2">
        <f>N5/H5</f>
        <v/>
      </c>
      <c r="V5" s="2">
        <f>O5/H5</f>
        <v/>
      </c>
      <c r="W5" s="2">
        <f>P5/H5</f>
        <v/>
      </c>
      <c r="X5" s="2">
        <f>Q5/H5</f>
        <v/>
      </c>
      <c r="Y5" s="5">
        <f>IF(R5&gt;1,"1","2")</f>
        <v/>
      </c>
      <c r="Z5" s="5">
        <f>IF(S5&gt;1,"1","2")</f>
        <v/>
      </c>
      <c r="AA5" s="5">
        <f>IF(T5&gt;1,"1","2")</f>
        <v/>
      </c>
      <c r="AB5" s="5">
        <f>IF(U5&gt;1,"1","2")</f>
        <v/>
      </c>
      <c r="AC5" s="5">
        <f>IF(V5&gt;1,"1","2")</f>
        <v/>
      </c>
      <c r="AD5" s="5">
        <f>IF(W5&gt;1,"1","2")</f>
        <v/>
      </c>
      <c r="AE5" s="5">
        <f>IF(X5&gt;1,"1","2")</f>
        <v/>
      </c>
      <c r="AF5" t="n">
        <v>-5.135084</v>
      </c>
      <c r="AG5" t="n">
        <v>119.437089</v>
      </c>
    </row>
    <row r="6" ht="14.4" customHeight="1">
      <c r="A6" s="14" t="n">
        <v>3</v>
      </c>
      <c r="B6" s="15" t="inlineStr">
        <is>
          <t>Gia</t>
        </is>
      </c>
      <c r="C6" s="10" t="n">
        <v>9</v>
      </c>
      <c r="D6" s="10" t="n">
        <v>25</v>
      </c>
      <c r="E6" s="16" t="n">
        <v>365</v>
      </c>
      <c r="F6" s="22" t="n">
        <v>0.0003</v>
      </c>
      <c r="G6" s="10" t="n">
        <v>900</v>
      </c>
      <c r="H6" s="12" t="n">
        <v>0.001</v>
      </c>
      <c r="I6" s="18" t="n">
        <v>10950</v>
      </c>
      <c r="J6" s="20" t="n">
        <v>9</v>
      </c>
      <c r="K6" s="19">
        <f>(F6*G6*E6*J6)/(D6*I6)</f>
        <v/>
      </c>
      <c r="L6" s="2">
        <f>(F6*G6*E6*5)/(D6*I6)</f>
        <v/>
      </c>
      <c r="M6" s="2">
        <f>(F6*G6*E6*10)/(D6*I6)</f>
        <v/>
      </c>
      <c r="N6" s="2">
        <f>(F6*G6*E6*15)/(D6*I6)</f>
        <v/>
      </c>
      <c r="O6" s="2">
        <f>(F6*G6*E6*20)/(D6*I6)</f>
        <v/>
      </c>
      <c r="P6" s="2">
        <f>(F6*G6*E6*25)/(D6*I6)</f>
        <v/>
      </c>
      <c r="Q6" s="2">
        <f>(F6*G6*E6*30)/(D6*I6)</f>
        <v/>
      </c>
      <c r="R6" s="2">
        <f>K6/H6</f>
        <v/>
      </c>
      <c r="S6" s="2">
        <f>L6/H6</f>
        <v/>
      </c>
      <c r="T6" s="2">
        <f>M6/H6</f>
        <v/>
      </c>
      <c r="U6" s="2">
        <f>N6/H6</f>
        <v/>
      </c>
      <c r="V6" s="2">
        <f>O6/H6</f>
        <v/>
      </c>
      <c r="W6" s="2">
        <f>P6/H6</f>
        <v/>
      </c>
      <c r="X6" s="2">
        <f>Q6/H6</f>
        <v/>
      </c>
      <c r="Y6" s="5">
        <f>IF(R6&gt;1,"1","2")</f>
        <v/>
      </c>
      <c r="Z6" s="5">
        <f>IF(S6&gt;1,"1","2")</f>
        <v/>
      </c>
      <c r="AA6" s="5">
        <f>IF(T6&gt;1,"1","2")</f>
        <v/>
      </c>
      <c r="AB6" s="5">
        <f>IF(U6&gt;1,"1","2")</f>
        <v/>
      </c>
      <c r="AC6" s="5">
        <f>IF(V6&gt;1,"1","2")</f>
        <v/>
      </c>
      <c r="AD6" s="5">
        <f>IF(W6&gt;1,"1","2")</f>
        <v/>
      </c>
      <c r="AE6" s="5">
        <f>IF(X6&gt;1,"1","2")</f>
        <v/>
      </c>
      <c r="AF6" t="n">
        <v>-5.128266</v>
      </c>
      <c r="AG6" t="n">
        <v>119.441098</v>
      </c>
    </row>
    <row r="7" ht="14.4" customHeight="1">
      <c r="A7" s="14" t="n">
        <v>4</v>
      </c>
      <c r="B7" s="15" t="inlineStr">
        <is>
          <t>Rsp</t>
        </is>
      </c>
      <c r="C7" s="10" t="n">
        <v>9</v>
      </c>
      <c r="D7" s="10" t="n">
        <v>23</v>
      </c>
      <c r="E7" s="16" t="n">
        <v>365</v>
      </c>
      <c r="F7" s="22" t="n">
        <v>0.0003</v>
      </c>
      <c r="G7" s="10" t="n">
        <v>1500</v>
      </c>
      <c r="H7" s="12" t="n">
        <v>0.001</v>
      </c>
      <c r="I7" s="18" t="n">
        <v>10950</v>
      </c>
      <c r="J7" s="20" t="n">
        <v>9</v>
      </c>
      <c r="K7" s="19">
        <f>(F7*G7*E7*J7)/(D7*I7)</f>
        <v/>
      </c>
      <c r="L7" s="2">
        <f>(F7*G7*E7*5)/(D7*I7)</f>
        <v/>
      </c>
      <c r="M7" s="2">
        <f>(F7*G7*E7*10)/(D7*I7)</f>
        <v/>
      </c>
      <c r="N7" s="2">
        <f>(F7*G7*E7*15)/(D7*I7)</f>
        <v/>
      </c>
      <c r="O7" s="2">
        <f>(F7*G7*E7*20)/(D7*I7)</f>
        <v/>
      </c>
      <c r="P7" s="2">
        <f>(F7*G7*E7*25)/(D7*I7)</f>
        <v/>
      </c>
      <c r="Q7" s="2">
        <f>(F7*G7*E7*30)/(D7*I7)</f>
        <v/>
      </c>
      <c r="R7" s="2">
        <f>K7/H7</f>
        <v/>
      </c>
      <c r="S7" s="2">
        <f>L7/H7</f>
        <v/>
      </c>
      <c r="T7" s="2">
        <f>M7/H7</f>
        <v/>
      </c>
      <c r="U7" s="2">
        <f>N7/H7</f>
        <v/>
      </c>
      <c r="V7" s="2">
        <f>O7/H7</f>
        <v/>
      </c>
      <c r="W7" s="2">
        <f>P7/H7</f>
        <v/>
      </c>
      <c r="X7" s="2">
        <f>Q7/H7</f>
        <v/>
      </c>
      <c r="Y7" s="5">
        <f>IF(R7&gt;1,"1","2")</f>
        <v/>
      </c>
      <c r="Z7" s="5">
        <f>IF(S7&gt;1,"1","2")</f>
        <v/>
      </c>
      <c r="AA7" s="5">
        <f>IF(T7&gt;1,"1","2")</f>
        <v/>
      </c>
      <c r="AB7" s="5">
        <f>IF(U7&gt;1,"1","2")</f>
        <v/>
      </c>
      <c r="AC7" s="5">
        <f>IF(V7&gt;1,"1","2")</f>
        <v/>
      </c>
      <c r="AD7" s="5">
        <f>IF(W7&gt;1,"1","2")</f>
        <v/>
      </c>
      <c r="AE7" s="5">
        <f>IF(X7&gt;1,"1","2")</f>
        <v/>
      </c>
      <c r="AF7" t="n">
        <v>-5.147047</v>
      </c>
      <c r="AG7" t="n">
        <v>119.407542</v>
      </c>
    </row>
    <row r="8" ht="14.4" customHeight="1">
      <c r="A8" s="14" t="n">
        <v>5</v>
      </c>
      <c r="B8" s="15" t="inlineStr">
        <is>
          <t>Nk</t>
        </is>
      </c>
      <c r="C8" s="10" t="n">
        <v>9</v>
      </c>
      <c r="D8" s="10" t="n">
        <v>20</v>
      </c>
      <c r="E8" s="16" t="n">
        <v>365</v>
      </c>
      <c r="F8" s="22" t="n">
        <v>0.0003</v>
      </c>
      <c r="G8" s="10" t="n">
        <v>2100</v>
      </c>
      <c r="H8" s="12" t="n">
        <v>0.001</v>
      </c>
      <c r="I8" s="18" t="n">
        <v>10950</v>
      </c>
      <c r="J8" s="20" t="n">
        <v>9</v>
      </c>
      <c r="K8" s="19">
        <f>(F8*G8*E8*J8)/(D8*I8)</f>
        <v/>
      </c>
      <c r="L8" s="2">
        <f>(F8*G8*E8*5)/(D8*I8)</f>
        <v/>
      </c>
      <c r="M8" s="2">
        <f>(F8*G8*E8*10)/(D8*I8)</f>
        <v/>
      </c>
      <c r="N8" s="2">
        <f>(F8*G8*E8*15)/(D8*I8)</f>
        <v/>
      </c>
      <c r="O8" s="2">
        <f>(F8*G8*E8*20)/(D8*I8)</f>
        <v/>
      </c>
      <c r="P8" s="2">
        <f>(F8*G8*E8*25)/(D8*I8)</f>
        <v/>
      </c>
      <c r="Q8" s="2">
        <f>(F8*G8*E8*30)/(D8*I8)</f>
        <v/>
      </c>
      <c r="R8" s="2">
        <f>K8/H8</f>
        <v/>
      </c>
      <c r="S8" s="2">
        <f>L8/H8</f>
        <v/>
      </c>
      <c r="T8" s="2">
        <f>M8/H8</f>
        <v/>
      </c>
      <c r="U8" s="2">
        <f>N8/H8</f>
        <v/>
      </c>
      <c r="V8" s="2">
        <f>O8/H8</f>
        <v/>
      </c>
      <c r="W8" s="2">
        <f>P8/H8</f>
        <v/>
      </c>
      <c r="X8" s="2">
        <f>Q8/H8</f>
        <v/>
      </c>
      <c r="Y8" s="5">
        <f>IF(R8&gt;1,"1","2")</f>
        <v/>
      </c>
      <c r="Z8" s="5">
        <f>IF(S8&gt;1,"1","2")</f>
        <v/>
      </c>
      <c r="AA8" s="5">
        <f>IF(T8&gt;1,"1","2")</f>
        <v/>
      </c>
      <c r="AB8" s="5">
        <f>IF(U8&gt;1,"1","2")</f>
        <v/>
      </c>
      <c r="AC8" s="5">
        <f>IF(V8&gt;1,"1","2")</f>
        <v/>
      </c>
      <c r="AD8" s="5">
        <f>IF(W8&gt;1,"1","2")</f>
        <v/>
      </c>
      <c r="AE8" s="5">
        <f>IF(X8&gt;1,"1","2")</f>
        <v/>
      </c>
      <c r="AF8" t="n">
        <v>-5.150932</v>
      </c>
      <c r="AG8" t="n">
        <v>119.448115</v>
      </c>
    </row>
    <row r="9" ht="14.4" customHeight="1">
      <c r="A9" s="14" t="n">
        <v>6</v>
      </c>
      <c r="B9" s="15" t="inlineStr">
        <is>
          <t>Tsy</t>
        </is>
      </c>
      <c r="C9" s="10" t="n">
        <v>9</v>
      </c>
      <c r="D9" s="10" t="n">
        <v>40</v>
      </c>
      <c r="E9" s="16" t="n">
        <v>365</v>
      </c>
      <c r="F9" s="22" t="n">
        <v>0.0003</v>
      </c>
      <c r="G9" s="10" t="n">
        <v>900</v>
      </c>
      <c r="H9" s="12" t="n">
        <v>0.001</v>
      </c>
      <c r="I9" s="18" t="n">
        <v>10950</v>
      </c>
      <c r="J9" s="20" t="n">
        <v>5</v>
      </c>
      <c r="K9" s="19">
        <f>(F9*G9*E9*J9)/(D9*I9)</f>
        <v/>
      </c>
      <c r="L9" s="2">
        <f>(F9*G9*E9*5)/(D9*I9)</f>
        <v/>
      </c>
      <c r="M9" s="2">
        <f>(F9*G9*E9*10)/(D9*I9)</f>
        <v/>
      </c>
      <c r="N9" s="2">
        <f>(F9*G9*E9*15)/(D9*I9)</f>
        <v/>
      </c>
      <c r="O9" s="2">
        <f>(F9*G9*E9*20)/(D9*I9)</f>
        <v/>
      </c>
      <c r="P9" s="2">
        <f>(F9*G9*E9*25)/(D9*I9)</f>
        <v/>
      </c>
      <c r="Q9" s="2">
        <f>(F9*G9*E9*30)/(D9*I9)</f>
        <v/>
      </c>
      <c r="R9" s="2">
        <f>K9/H9</f>
        <v/>
      </c>
      <c r="S9" s="2">
        <f>L9/H9</f>
        <v/>
      </c>
      <c r="T9" s="2">
        <f>M9/H9</f>
        <v/>
      </c>
      <c r="U9" s="2">
        <f>N9/H9</f>
        <v/>
      </c>
      <c r="V9" s="2">
        <f>O9/H9</f>
        <v/>
      </c>
      <c r="W9" s="2">
        <f>P9/H9</f>
        <v/>
      </c>
      <c r="X9" s="2">
        <f>Q9/H9</f>
        <v/>
      </c>
      <c r="Y9" s="5">
        <f>IF(R9&gt;1,"1","2")</f>
        <v/>
      </c>
      <c r="Z9" s="5">
        <f>IF(S9&gt;1,"1","2")</f>
        <v/>
      </c>
      <c r="AA9" s="5">
        <f>IF(T9&gt;1,"1","2")</f>
        <v/>
      </c>
      <c r="AB9" s="5">
        <f>IF(U9&gt;1,"1","2")</f>
        <v/>
      </c>
      <c r="AC9" s="5">
        <f>IF(V9&gt;1,"1","2")</f>
        <v/>
      </c>
      <c r="AD9" s="5">
        <f>IF(W9&gt;1,"1","2")</f>
        <v/>
      </c>
      <c r="AE9" s="5">
        <f>IF(X9&gt;1,"1","2")</f>
        <v/>
      </c>
      <c r="AF9" t="n">
        <v>-5.14148</v>
      </c>
      <c r="AG9" t="n">
        <v>119.418666</v>
      </c>
    </row>
    <row r="10" ht="14.4" customHeight="1">
      <c r="A10" s="14" t="n">
        <v>7</v>
      </c>
      <c r="B10" s="15" t="inlineStr">
        <is>
          <t>Alf</t>
        </is>
      </c>
      <c r="C10" s="10" t="n">
        <v>9</v>
      </c>
      <c r="D10" s="10" t="n">
        <v>22</v>
      </c>
      <c r="E10" s="16" t="n">
        <v>365</v>
      </c>
      <c r="F10" s="22" t="n">
        <v>0.0003</v>
      </c>
      <c r="G10" s="10" t="n">
        <v>900</v>
      </c>
      <c r="H10" s="12" t="n">
        <v>0.001</v>
      </c>
      <c r="I10" s="18" t="n">
        <v>10950</v>
      </c>
      <c r="J10" s="20" t="n">
        <v>9</v>
      </c>
      <c r="K10" s="19">
        <f>(F10*G10*E10*J10)/(D10*I10)</f>
        <v/>
      </c>
      <c r="L10" s="2">
        <f>(F10*G10*E10*5)/(D10*I10)</f>
        <v/>
      </c>
      <c r="M10" s="2">
        <f>(F10*G10*E10*10)/(D10*I10)</f>
        <v/>
      </c>
      <c r="N10" s="2">
        <f>(F10*G10*E10*15)/(D10*I10)</f>
        <v/>
      </c>
      <c r="O10" s="2">
        <f>(F10*G10*E10*20)/(D10*I10)</f>
        <v/>
      </c>
      <c r="P10" s="2">
        <f>(F10*G10*E10*25)/(D10*I10)</f>
        <v/>
      </c>
      <c r="Q10" s="2">
        <f>(F10*G10*E10*30)/(D10*I10)</f>
        <v/>
      </c>
      <c r="R10" s="2">
        <f>K10/H10</f>
        <v/>
      </c>
      <c r="S10" s="2">
        <f>L10/H10</f>
        <v/>
      </c>
      <c r="T10" s="2">
        <f>M10/H10</f>
        <v/>
      </c>
      <c r="U10" s="2">
        <f>N10/H10</f>
        <v/>
      </c>
      <c r="V10" s="2">
        <f>O10/H10</f>
        <v/>
      </c>
      <c r="W10" s="2">
        <f>P10/H10</f>
        <v/>
      </c>
      <c r="X10" s="2">
        <f>Q10/H10</f>
        <v/>
      </c>
      <c r="Y10" s="5">
        <f>IF(R10&gt;1,"1","2")</f>
        <v/>
      </c>
      <c r="Z10" s="5">
        <f>IF(S10&gt;1,"1","2")</f>
        <v/>
      </c>
      <c r="AA10" s="5">
        <f>IF(T10&gt;1,"1","2")</f>
        <v/>
      </c>
      <c r="AB10" s="5">
        <f>IF(U10&gt;1,"1","2")</f>
        <v/>
      </c>
      <c r="AC10" s="5">
        <f>IF(V10&gt;1,"1","2")</f>
        <v/>
      </c>
      <c r="AD10" s="5">
        <f>IF(W10&gt;1,"1","2")</f>
        <v/>
      </c>
      <c r="AE10" s="5">
        <f>IF(X10&gt;1,"1","2")</f>
        <v/>
      </c>
      <c r="AF10" t="n">
        <v>-5.137144</v>
      </c>
      <c r="AG10" t="n">
        <v>119.421444</v>
      </c>
    </row>
    <row r="11" ht="14.4" customHeight="1">
      <c r="A11" s="14" t="n">
        <v>8</v>
      </c>
      <c r="B11" s="15" t="inlineStr">
        <is>
          <t>Sab</t>
        </is>
      </c>
      <c r="C11" s="10" t="n">
        <v>9</v>
      </c>
      <c r="D11" s="10" t="n">
        <v>20</v>
      </c>
      <c r="E11" s="16" t="n">
        <v>365</v>
      </c>
      <c r="F11" s="22" t="n">
        <v>0.0003</v>
      </c>
      <c r="G11" s="10" t="n">
        <v>900</v>
      </c>
      <c r="H11" s="12" t="n">
        <v>0.001</v>
      </c>
      <c r="I11" s="18" t="n">
        <v>10950</v>
      </c>
      <c r="J11" s="20" t="n">
        <v>6</v>
      </c>
      <c r="K11" s="19">
        <f>(F11*G11*E11*J11)/(D11*I11)</f>
        <v/>
      </c>
      <c r="L11" s="2">
        <f>(F11*G11*E11*5)/(D11*I11)</f>
        <v/>
      </c>
      <c r="M11" s="2">
        <f>(F11*G11*E11*10)/(D11*I11)</f>
        <v/>
      </c>
      <c r="N11" s="2">
        <f>(F11*G11*E11*15)/(D11*I11)</f>
        <v/>
      </c>
      <c r="O11" s="2">
        <f>(F11*G11*E11*20)/(D11*I11)</f>
        <v/>
      </c>
      <c r="P11" s="2">
        <f>(F11*G11*E11*25)/(D11*I11)</f>
        <v/>
      </c>
      <c r="Q11" s="2">
        <f>(F11*G11*E11*30)/(D11*I11)</f>
        <v/>
      </c>
      <c r="R11" s="2">
        <f>K11/H11</f>
        <v/>
      </c>
      <c r="S11" s="2">
        <f>L11/H11</f>
        <v/>
      </c>
      <c r="T11" s="2">
        <f>M11/H11</f>
        <v/>
      </c>
      <c r="U11" s="2">
        <f>N11/H11</f>
        <v/>
      </c>
      <c r="V11" s="2">
        <f>O11/H11</f>
        <v/>
      </c>
      <c r="W11" s="2">
        <f>P11/H11</f>
        <v/>
      </c>
      <c r="X11" s="2">
        <f>Q11/H11</f>
        <v/>
      </c>
      <c r="Y11" s="5">
        <f>IF(R11&gt;1,"1","2")</f>
        <v/>
      </c>
      <c r="Z11" s="5">
        <f>IF(S11&gt;1,"1","2")</f>
        <v/>
      </c>
      <c r="AA11" s="5">
        <f>IF(T11&gt;1,"1","2")</f>
        <v/>
      </c>
      <c r="AB11" s="5">
        <f>IF(U11&gt;1,"1","2")</f>
        <v/>
      </c>
      <c r="AC11" s="5">
        <f>IF(V11&gt;1,"1","2")</f>
        <v/>
      </c>
      <c r="AD11" s="5">
        <f>IF(W11&gt;1,"1","2")</f>
        <v/>
      </c>
      <c r="AE11" s="5">
        <f>IF(X11&gt;1,"1","2")</f>
        <v/>
      </c>
      <c r="AF11" t="n">
        <v>-5.141905</v>
      </c>
      <c r="AG11" t="n">
        <v>119.427989</v>
      </c>
    </row>
    <row r="12" ht="14.4" customHeight="1">
      <c r="A12" s="14" t="n">
        <v>9</v>
      </c>
      <c r="B12" s="15" t="inlineStr">
        <is>
          <t>Dea</t>
        </is>
      </c>
      <c r="C12" s="10" t="n">
        <v>9</v>
      </c>
      <c r="D12" s="10" t="n">
        <v>39</v>
      </c>
      <c r="E12" s="16" t="n">
        <v>365</v>
      </c>
      <c r="F12" s="22" t="n">
        <v>0.0003</v>
      </c>
      <c r="G12" s="10" t="n">
        <v>900</v>
      </c>
      <c r="H12" s="12" t="n">
        <v>0.001</v>
      </c>
      <c r="I12" s="18" t="n">
        <v>10950</v>
      </c>
      <c r="J12" s="20" t="n">
        <v>1</v>
      </c>
      <c r="K12" s="19">
        <f>(F12*G12*E12*J12)/(D12*I12)</f>
        <v/>
      </c>
      <c r="L12" s="2">
        <f>(F12*G12*E12*5)/(D12*I12)</f>
        <v/>
      </c>
      <c r="M12" s="2">
        <f>(F12*G12*E12*10)/(D12*I12)</f>
        <v/>
      </c>
      <c r="N12" s="2">
        <f>(F12*G12*E12*15)/(D12*I12)</f>
        <v/>
      </c>
      <c r="O12" s="2">
        <f>(F12*G12*E12*20)/(D12*I12)</f>
        <v/>
      </c>
      <c r="P12" s="2">
        <f>(F12*G12*E12*25)/(D12*I12)</f>
        <v/>
      </c>
      <c r="Q12" s="2">
        <f>(F12*G12*E12*30)/(D12*I12)</f>
        <v/>
      </c>
      <c r="R12" s="2">
        <f>K12/H12</f>
        <v/>
      </c>
      <c r="S12" s="2">
        <f>L12/H12</f>
        <v/>
      </c>
      <c r="T12" s="2">
        <f>M12/H12</f>
        <v/>
      </c>
      <c r="U12" s="2">
        <f>N12/H12</f>
        <v/>
      </c>
      <c r="V12" s="2">
        <f>O12/H12</f>
        <v/>
      </c>
      <c r="W12" s="2">
        <f>P12/H12</f>
        <v/>
      </c>
      <c r="X12" s="2">
        <f>Q12/H12</f>
        <v/>
      </c>
      <c r="Y12" s="5">
        <f>IF(R12&gt;1,"1","2")</f>
        <v/>
      </c>
      <c r="Z12" s="5">
        <f>IF(S12&gt;1,"1","2")</f>
        <v/>
      </c>
      <c r="AA12" s="5">
        <f>IF(T12&gt;1,"1","2")</f>
        <v/>
      </c>
      <c r="AB12" s="5">
        <f>IF(U12&gt;1,"1","2")</f>
        <v/>
      </c>
      <c r="AC12" s="5">
        <f>IF(V12&gt;1,"1","2")</f>
        <v/>
      </c>
      <c r="AD12" s="5">
        <f>IF(W12&gt;1,"1","2")</f>
        <v/>
      </c>
      <c r="AE12" s="5">
        <f>IF(X12&gt;1,"1","2")</f>
        <v/>
      </c>
      <c r="AF12" t="n">
        <v>-5.141017</v>
      </c>
      <c r="AG12" t="n">
        <v>119.432874</v>
      </c>
    </row>
    <row r="13" ht="14.4" customHeight="1">
      <c r="A13" s="14" t="n">
        <v>10</v>
      </c>
      <c r="B13" s="15" t="inlineStr">
        <is>
          <t>Muh</t>
        </is>
      </c>
      <c r="C13" s="10" t="n">
        <v>9</v>
      </c>
      <c r="D13" s="10" t="n">
        <v>26</v>
      </c>
      <c r="E13" s="16" t="n">
        <v>365</v>
      </c>
      <c r="F13" s="22" t="n">
        <v>0.0003</v>
      </c>
      <c r="G13" s="10" t="n">
        <v>900</v>
      </c>
      <c r="H13" s="12" t="n">
        <v>0.001</v>
      </c>
      <c r="I13" s="18" t="n">
        <v>10950</v>
      </c>
      <c r="J13" s="20" t="n">
        <v>9</v>
      </c>
      <c r="K13" s="19">
        <f>(F13*G13*E13*J13)/(D13*I13)</f>
        <v/>
      </c>
      <c r="L13" s="2">
        <f>(F13*G13*E13*5)/(D13*I13)</f>
        <v/>
      </c>
      <c r="M13" s="2">
        <f>(F13*G13*E13*10)/(D13*I13)</f>
        <v/>
      </c>
      <c r="N13" s="2">
        <f>(F13*G13*E13*15)/(D13*I13)</f>
        <v/>
      </c>
      <c r="O13" s="2">
        <f>(F13*G13*E13*20)/(D13*I13)</f>
        <v/>
      </c>
      <c r="P13" s="2">
        <f>(F13*G13*E13*25)/(D13*I13)</f>
        <v/>
      </c>
      <c r="Q13" s="2">
        <f>(F13*G13*E13*30)/(D13*I13)</f>
        <v/>
      </c>
      <c r="R13" s="2">
        <f>K13/H13</f>
        <v/>
      </c>
      <c r="S13" s="2">
        <f>L13/H13</f>
        <v/>
      </c>
      <c r="T13" s="2">
        <f>M13/H13</f>
        <v/>
      </c>
      <c r="U13" s="2">
        <f>N13/H13</f>
        <v/>
      </c>
      <c r="V13" s="2">
        <f>O13/H13</f>
        <v/>
      </c>
      <c r="W13" s="2">
        <f>P13/H13</f>
        <v/>
      </c>
      <c r="X13" s="2">
        <f>Q13/H13</f>
        <v/>
      </c>
      <c r="Y13" s="5">
        <f>IF(R13&gt;1,"1","2")</f>
        <v/>
      </c>
      <c r="Z13" s="5">
        <f>IF(S13&gt;1,"1","2")</f>
        <v/>
      </c>
      <c r="AA13" s="5">
        <f>IF(T13&gt;1,"1","2")</f>
        <v/>
      </c>
      <c r="AB13" s="5">
        <f>IF(U13&gt;1,"1","2")</f>
        <v/>
      </c>
      <c r="AC13" s="5">
        <f>IF(V13&gt;1,"1","2")</f>
        <v/>
      </c>
      <c r="AD13" s="5">
        <f>IF(W13&gt;1,"1","2")</f>
        <v/>
      </c>
      <c r="AE13" s="5">
        <f>IF(X13&gt;1,"1","2")</f>
        <v/>
      </c>
      <c r="AF13" t="n">
        <v>-5.14964</v>
      </c>
      <c r="AG13" t="n">
        <v>119.434263</v>
      </c>
    </row>
    <row r="14" ht="14.4" customHeight="1">
      <c r="A14" s="14" t="n">
        <v>11</v>
      </c>
      <c r="B14" s="15" t="inlineStr">
        <is>
          <t>Aks</t>
        </is>
      </c>
      <c r="C14" s="10" t="n">
        <v>9</v>
      </c>
      <c r="D14" s="10" t="n">
        <v>25</v>
      </c>
      <c r="E14" s="16" t="n">
        <v>365</v>
      </c>
      <c r="F14" s="22" t="n">
        <v>0.0003</v>
      </c>
      <c r="G14" s="10" t="n">
        <v>900</v>
      </c>
      <c r="H14" s="12" t="n">
        <v>0.001</v>
      </c>
      <c r="I14" s="18" t="n">
        <v>10950</v>
      </c>
      <c r="J14" s="20" t="n">
        <v>1</v>
      </c>
      <c r="K14" s="19">
        <f>(F14*G14*E14*J14)/(D14*I14)</f>
        <v/>
      </c>
      <c r="L14" s="2">
        <f>(F14*G14*E14*5)/(D14*I14)</f>
        <v/>
      </c>
      <c r="M14" s="2">
        <f>(F14*G14*E14*10)/(D14*I14)</f>
        <v/>
      </c>
      <c r="N14" s="2">
        <f>(F14*G14*E14*15)/(D14*I14)</f>
        <v/>
      </c>
      <c r="O14" s="2">
        <f>(F14*G14*E14*20)/(D14*I14)</f>
        <v/>
      </c>
      <c r="P14" s="2">
        <f>(F14*G14*E14*25)/(D14*I14)</f>
        <v/>
      </c>
      <c r="Q14" s="2">
        <f>(F14*G14*E14*30)/(D14*I14)</f>
        <v/>
      </c>
      <c r="R14" s="2">
        <f>K14/H14</f>
        <v/>
      </c>
      <c r="S14" s="2">
        <f>L14/H14</f>
        <v/>
      </c>
      <c r="T14" s="2">
        <f>M14/H14</f>
        <v/>
      </c>
      <c r="U14" s="2">
        <f>N14/H14</f>
        <v/>
      </c>
      <c r="V14" s="2">
        <f>O14/H14</f>
        <v/>
      </c>
      <c r="W14" s="2">
        <f>P14/H14</f>
        <v/>
      </c>
      <c r="X14" s="2">
        <f>Q14/H14</f>
        <v/>
      </c>
      <c r="Y14" s="5">
        <f>IF(R14&gt;1,"1","2")</f>
        <v/>
      </c>
      <c r="Z14" s="5">
        <f>IF(S14&gt;1,"1","2")</f>
        <v/>
      </c>
      <c r="AA14" s="5">
        <f>IF(T14&gt;1,"1","2")</f>
        <v/>
      </c>
      <c r="AB14" s="5">
        <f>IF(U14&gt;1,"1","2")</f>
        <v/>
      </c>
      <c r="AC14" s="5">
        <f>IF(V14&gt;1,"1","2")</f>
        <v/>
      </c>
      <c r="AD14" s="5">
        <f>IF(W14&gt;1,"1","2")</f>
        <v/>
      </c>
      <c r="AE14" s="5">
        <f>IF(X14&gt;1,"1","2")</f>
        <v/>
      </c>
      <c r="AF14" t="n">
        <v>-5.155727</v>
      </c>
      <c r="AG14" t="n">
        <v>119.435129</v>
      </c>
    </row>
    <row r="15" ht="14.4" customHeight="1">
      <c r="A15" s="14" t="n">
        <v>12</v>
      </c>
      <c r="B15" s="15" t="inlineStr">
        <is>
          <t>Bil</t>
        </is>
      </c>
      <c r="C15" s="10" t="n">
        <v>9</v>
      </c>
      <c r="D15" s="10" t="n">
        <v>32</v>
      </c>
      <c r="E15" s="16" t="n">
        <v>365</v>
      </c>
      <c r="F15" s="22" t="n">
        <v>0.0003</v>
      </c>
      <c r="G15" s="10" t="n">
        <v>900</v>
      </c>
      <c r="H15" s="12" t="n">
        <v>0.001</v>
      </c>
      <c r="I15" s="18" t="n">
        <v>10950</v>
      </c>
      <c r="J15" s="20" t="n">
        <v>9</v>
      </c>
      <c r="K15" s="19">
        <f>(F15*G15*E15*J15)/(D15*I15)</f>
        <v/>
      </c>
      <c r="L15" s="2">
        <f>(F15*G15*E15*5)/(D15*I15)</f>
        <v/>
      </c>
      <c r="M15" s="2">
        <f>(F15*G15*E15*10)/(D15*I15)</f>
        <v/>
      </c>
      <c r="N15" s="2">
        <f>(F15*G15*E15*15)/(D15*I15)</f>
        <v/>
      </c>
      <c r="O15" s="2">
        <f>(F15*G15*E15*20)/(D15*I15)</f>
        <v/>
      </c>
      <c r="P15" s="2">
        <f>(F15*G15*E15*25)/(D15*I15)</f>
        <v/>
      </c>
      <c r="Q15" s="2">
        <f>(F15*G15*E15*30)/(D15*I15)</f>
        <v/>
      </c>
      <c r="R15" s="2">
        <f>K15/H15</f>
        <v/>
      </c>
      <c r="S15" s="2">
        <f>L15/H15</f>
        <v/>
      </c>
      <c r="T15" s="2">
        <f>M15/H15</f>
        <v/>
      </c>
      <c r="U15" s="2">
        <f>N15/H15</f>
        <v/>
      </c>
      <c r="V15" s="2">
        <f>O15/H15</f>
        <v/>
      </c>
      <c r="W15" s="2">
        <f>P15/H15</f>
        <v/>
      </c>
      <c r="X15" s="2">
        <f>Q15/H15</f>
        <v/>
      </c>
      <c r="Y15" s="5">
        <f>IF(R15&gt;1,"1","2")</f>
        <v/>
      </c>
      <c r="Z15" s="5">
        <f>IF(S15&gt;1,"1","2")</f>
        <v/>
      </c>
      <c r="AA15" s="5">
        <f>IF(T15&gt;1,"1","2")</f>
        <v/>
      </c>
      <c r="AB15" s="5">
        <f>IF(U15&gt;1,"1","2")</f>
        <v/>
      </c>
      <c r="AC15" s="5">
        <f>IF(V15&gt;1,"1","2")</f>
        <v/>
      </c>
      <c r="AD15" s="5">
        <f>IF(W15&gt;1,"1","2")</f>
        <v/>
      </c>
      <c r="AE15" s="5">
        <f>IF(X15&gt;1,"1","2")</f>
        <v/>
      </c>
      <c r="AF15" t="n">
        <v>-5.12139</v>
      </c>
      <c r="AG15" t="n">
        <v>119.400583</v>
      </c>
    </row>
    <row r="16" ht="14.4" customHeight="1">
      <c r="A16" s="14" t="n">
        <v>13</v>
      </c>
      <c r="B16" s="15" t="inlineStr">
        <is>
          <t>Abd</t>
        </is>
      </c>
      <c r="C16" s="10" t="n">
        <v>9</v>
      </c>
      <c r="D16" s="10" t="n">
        <v>24</v>
      </c>
      <c r="E16" s="16" t="n">
        <v>365</v>
      </c>
      <c r="F16" s="22" t="n">
        <v>0.0003</v>
      </c>
      <c r="G16" s="10" t="n">
        <v>900</v>
      </c>
      <c r="H16" s="12" t="n">
        <v>0.001</v>
      </c>
      <c r="I16" s="18" t="n">
        <v>10950</v>
      </c>
      <c r="J16" s="20" t="n">
        <v>9</v>
      </c>
      <c r="K16" s="19">
        <f>(F16*G16*E16*J16)/(D16*I16)</f>
        <v/>
      </c>
      <c r="L16" s="2">
        <f>(F16*G16*E16*5)/(D16*I16)</f>
        <v/>
      </c>
      <c r="M16" s="2">
        <f>(F16*G16*E16*10)/(D16*I16)</f>
        <v/>
      </c>
      <c r="N16" s="2">
        <f>(F16*G16*E16*15)/(D16*I16)</f>
        <v/>
      </c>
      <c r="O16" s="2">
        <f>(F16*G16*E16*20)/(D16*I16)</f>
        <v/>
      </c>
      <c r="P16" s="2">
        <f>(F16*G16*E16*25)/(D16*I16)</f>
        <v/>
      </c>
      <c r="Q16" s="2">
        <f>(F16*G16*E16*30)/(D16*I16)</f>
        <v/>
      </c>
      <c r="R16" s="2">
        <f>K16/H16</f>
        <v/>
      </c>
      <c r="S16" s="2">
        <f>L16/H16</f>
        <v/>
      </c>
      <c r="T16" s="2">
        <f>M16/H16</f>
        <v/>
      </c>
      <c r="U16" s="2">
        <f>N16/H16</f>
        <v/>
      </c>
      <c r="V16" s="2">
        <f>O16/H16</f>
        <v/>
      </c>
      <c r="W16" s="2">
        <f>P16/H16</f>
        <v/>
      </c>
      <c r="X16" s="2">
        <f>Q16/H16</f>
        <v/>
      </c>
      <c r="Y16" s="5">
        <f>IF(R16&gt;1,"1","2")</f>
        <v/>
      </c>
      <c r="Z16" s="5">
        <f>IF(S16&gt;1,"1","2")</f>
        <v/>
      </c>
      <c r="AA16" s="5">
        <f>IF(T16&gt;1,"1","2")</f>
        <v/>
      </c>
      <c r="AB16" s="5">
        <f>IF(U16&gt;1,"1","2")</f>
        <v/>
      </c>
      <c r="AC16" s="5">
        <f>IF(V16&gt;1,"1","2")</f>
        <v/>
      </c>
      <c r="AD16" s="5">
        <f>IF(W16&gt;1,"1","2")</f>
        <v/>
      </c>
      <c r="AE16" s="5">
        <f>IF(X16&gt;1,"1","2")</f>
        <v/>
      </c>
      <c r="AF16" t="n">
        <v>-5.145539</v>
      </c>
      <c r="AG16" t="n">
        <v>119.424024</v>
      </c>
    </row>
    <row r="17" ht="14.4" customHeight="1">
      <c r="A17" s="14" t="n">
        <v>14</v>
      </c>
      <c r="B17" s="15" t="inlineStr">
        <is>
          <t>Way</t>
        </is>
      </c>
      <c r="C17" s="10" t="n">
        <v>9</v>
      </c>
      <c r="D17" s="10" t="n">
        <v>28</v>
      </c>
      <c r="E17" s="16" t="n">
        <v>365</v>
      </c>
      <c r="F17" s="22" t="n">
        <v>0.0003</v>
      </c>
      <c r="G17" s="10" t="n">
        <v>900</v>
      </c>
      <c r="H17" s="12" t="n">
        <v>0.001</v>
      </c>
      <c r="I17" s="18" t="n">
        <v>10950</v>
      </c>
      <c r="J17" s="20" t="n">
        <v>4</v>
      </c>
      <c r="K17" s="19">
        <f>(F17*G17*E17*J17)/(D17*I17)</f>
        <v/>
      </c>
      <c r="L17" s="2">
        <f>(F17*G17*E17*5)/(D17*I17)</f>
        <v/>
      </c>
      <c r="M17" s="2">
        <f>(F17*G17*E17*10)/(D17*I17)</f>
        <v/>
      </c>
      <c r="N17" s="2">
        <f>(F17*G17*E17*15)/(D17*I17)</f>
        <v/>
      </c>
      <c r="O17" s="2">
        <f>(F17*G17*E17*20)/(D17*I17)</f>
        <v/>
      </c>
      <c r="P17" s="2">
        <f>(F17*G17*E17*25)/(D17*I17)</f>
        <v/>
      </c>
      <c r="Q17" s="2">
        <f>(F17*G17*E17*30)/(D17*I17)</f>
        <v/>
      </c>
      <c r="R17" s="2">
        <f>K17/H17</f>
        <v/>
      </c>
      <c r="S17" s="2">
        <f>L17/H17</f>
        <v/>
      </c>
      <c r="T17" s="2">
        <f>M17/H17</f>
        <v/>
      </c>
      <c r="U17" s="2">
        <f>N17/H17</f>
        <v/>
      </c>
      <c r="V17" s="2">
        <f>O17/H17</f>
        <v/>
      </c>
      <c r="W17" s="2">
        <f>P17/H17</f>
        <v/>
      </c>
      <c r="X17" s="2">
        <f>Q17/H17</f>
        <v/>
      </c>
      <c r="Y17" s="5">
        <f>IF(R17&gt;1,"1","2")</f>
        <v/>
      </c>
      <c r="Z17" s="5">
        <f>IF(S17&gt;1,"1","2")</f>
        <v/>
      </c>
      <c r="AA17" s="5">
        <f>IF(T17&gt;1,"1","2")</f>
        <v/>
      </c>
      <c r="AB17" s="5">
        <f>IF(U17&gt;1,"1","2")</f>
        <v/>
      </c>
      <c r="AC17" s="5">
        <f>IF(V17&gt;1,"1","2")</f>
        <v/>
      </c>
      <c r="AD17" s="5">
        <f>IF(W17&gt;1,"1","2")</f>
        <v/>
      </c>
      <c r="AE17" s="5">
        <f>IF(X17&gt;1,"1","2")</f>
        <v/>
      </c>
      <c r="AF17" t="n">
        <v>-5.139121</v>
      </c>
      <c r="AG17" t="n">
        <v>119.440335</v>
      </c>
    </row>
    <row r="18" ht="14.4" customHeight="1">
      <c r="A18" s="14" t="n">
        <v>15</v>
      </c>
      <c r="B18" s="15" t="inlineStr">
        <is>
          <t>Ngh</t>
        </is>
      </c>
      <c r="C18" s="10" t="n">
        <v>9</v>
      </c>
      <c r="D18" s="10" t="n">
        <v>29</v>
      </c>
      <c r="E18" s="16" t="n">
        <v>365</v>
      </c>
      <c r="F18" s="22" t="n">
        <v>0.0003</v>
      </c>
      <c r="G18" s="10" t="n">
        <v>900</v>
      </c>
      <c r="H18" s="12" t="n">
        <v>0.001</v>
      </c>
      <c r="I18" s="18" t="n">
        <v>10950</v>
      </c>
      <c r="J18" s="20" t="n">
        <v>9</v>
      </c>
      <c r="K18" s="19">
        <f>(F18*G18*E18*J18)/(D18*I18)</f>
        <v/>
      </c>
      <c r="L18" s="2">
        <f>(F18*G18*E18*5)/(D18*I18)</f>
        <v/>
      </c>
      <c r="M18" s="2">
        <f>(F18*G18*E18*10)/(D18*I18)</f>
        <v/>
      </c>
      <c r="N18" s="2">
        <f>(F18*G18*E18*15)/(D18*I18)</f>
        <v/>
      </c>
      <c r="O18" s="2">
        <f>(F18*G18*E18*20)/(D18*I18)</f>
        <v/>
      </c>
      <c r="P18" s="2">
        <f>(F18*G18*E18*25)/(D18*I18)</f>
        <v/>
      </c>
      <c r="Q18" s="2">
        <f>(F18*G18*E18*30)/(D18*I18)</f>
        <v/>
      </c>
      <c r="R18" s="2">
        <f>K18/H18</f>
        <v/>
      </c>
      <c r="S18" s="2">
        <f>L18/H18</f>
        <v/>
      </c>
      <c r="T18" s="2">
        <f>M18/H18</f>
        <v/>
      </c>
      <c r="U18" s="2">
        <f>N18/H18</f>
        <v/>
      </c>
      <c r="V18" s="2">
        <f>O18/H18</f>
        <v/>
      </c>
      <c r="W18" s="2">
        <f>P18/H18</f>
        <v/>
      </c>
      <c r="X18" s="2">
        <f>Q18/H18</f>
        <v/>
      </c>
      <c r="Y18" s="5">
        <f>IF(R18&gt;1,"1","2")</f>
        <v/>
      </c>
      <c r="Z18" s="5">
        <f>IF(S18&gt;1,"1","2")</f>
        <v/>
      </c>
      <c r="AA18" s="5">
        <f>IF(T18&gt;1,"1","2")</f>
        <v/>
      </c>
      <c r="AB18" s="5">
        <f>IF(U18&gt;1,"1","2")</f>
        <v/>
      </c>
      <c r="AC18" s="5">
        <f>IF(V18&gt;1,"1","2")</f>
        <v/>
      </c>
      <c r="AD18" s="5">
        <f>IF(W18&gt;1,"1","2")</f>
        <v/>
      </c>
      <c r="AE18" s="5">
        <f>IF(X18&gt;1,"1","2")</f>
        <v/>
      </c>
      <c r="AF18" t="n">
        <v>-5.152749</v>
      </c>
      <c r="AG18" t="n">
        <v>119.433072</v>
      </c>
    </row>
    <row r="19" ht="14.4" customHeight="1">
      <c r="A19" s="14" t="n">
        <v>16</v>
      </c>
      <c r="B19" s="15" t="inlineStr">
        <is>
          <t>Gia</t>
        </is>
      </c>
      <c r="C19" s="10" t="n">
        <v>9</v>
      </c>
      <c r="D19" s="10" t="n">
        <v>25</v>
      </c>
      <c r="E19" s="16" t="n">
        <v>365</v>
      </c>
      <c r="F19" s="22" t="n">
        <v>0.0003</v>
      </c>
      <c r="G19" s="10" t="n">
        <v>900</v>
      </c>
      <c r="H19" s="12" t="n">
        <v>0.001</v>
      </c>
      <c r="I19" s="18" t="n">
        <v>10950</v>
      </c>
      <c r="J19" s="20" t="n">
        <v>9</v>
      </c>
      <c r="K19" s="19">
        <f>(F19*G19*E19*J19)/(D19*I19)</f>
        <v/>
      </c>
      <c r="L19" s="2">
        <f>(F19*G19*E19*5)/(D19*I19)</f>
        <v/>
      </c>
      <c r="M19" s="2">
        <f>(F19*G19*E19*10)/(D19*I19)</f>
        <v/>
      </c>
      <c r="N19" s="2">
        <f>(F19*G19*E19*15)/(D19*I19)</f>
        <v/>
      </c>
      <c r="O19" s="2">
        <f>(F19*G19*E19*20)/(D19*I19)</f>
        <v/>
      </c>
      <c r="P19" s="2">
        <f>(F19*G19*E19*25)/(D19*I19)</f>
        <v/>
      </c>
      <c r="Q19" s="2">
        <f>(F19*G19*E19*30)/(D19*I19)</f>
        <v/>
      </c>
      <c r="R19" s="2">
        <f>K19/H19</f>
        <v/>
      </c>
      <c r="S19" s="2">
        <f>L19/H19</f>
        <v/>
      </c>
      <c r="T19" s="2">
        <f>M19/H19</f>
        <v/>
      </c>
      <c r="U19" s="2">
        <f>N19/H19</f>
        <v/>
      </c>
      <c r="V19" s="2">
        <f>O19/H19</f>
        <v/>
      </c>
      <c r="W19" s="2">
        <f>P19/H19</f>
        <v/>
      </c>
      <c r="X19" s="2">
        <f>Q19/H19</f>
        <v/>
      </c>
      <c r="Y19" s="5">
        <f>IF(R19&gt;1,"1","2")</f>
        <v/>
      </c>
      <c r="Z19" s="5">
        <f>IF(S19&gt;1,"1","2")</f>
        <v/>
      </c>
      <c r="AA19" s="5">
        <f>IF(T19&gt;1,"1","2")</f>
        <v/>
      </c>
      <c r="AB19" s="5">
        <f>IF(U19&gt;1,"1","2")</f>
        <v/>
      </c>
      <c r="AC19" s="5">
        <f>IF(V19&gt;1,"1","2")</f>
        <v/>
      </c>
      <c r="AD19" s="5">
        <f>IF(W19&gt;1,"1","2")</f>
        <v/>
      </c>
      <c r="AE19" s="5">
        <f>IF(X19&gt;1,"1","2")</f>
        <v/>
      </c>
      <c r="AF19" t="n">
        <v>-5.132915</v>
      </c>
      <c r="AG19" t="n">
        <v>119.439246</v>
      </c>
    </row>
    <row r="20" ht="14.4" customHeight="1">
      <c r="A20" s="14" t="n">
        <v>17</v>
      </c>
      <c r="B20" s="15" t="inlineStr">
        <is>
          <t>Sar</t>
        </is>
      </c>
      <c r="C20" s="10" t="n">
        <v>9</v>
      </c>
      <c r="D20" s="10" t="n">
        <v>25</v>
      </c>
      <c r="E20" s="16" t="n">
        <v>365</v>
      </c>
      <c r="F20" s="22" t="n">
        <v>0.0003</v>
      </c>
      <c r="G20" s="10" t="n">
        <v>1500</v>
      </c>
      <c r="H20" s="12" t="n">
        <v>0.001</v>
      </c>
      <c r="I20" s="18" t="n">
        <v>10950</v>
      </c>
      <c r="J20" s="20" t="n">
        <v>9</v>
      </c>
      <c r="K20" s="19">
        <f>(F20*G20*E20*J20)/(D20*I20)</f>
        <v/>
      </c>
      <c r="L20" s="2">
        <f>(F20*G20*E20*5)/(D20*I20)</f>
        <v/>
      </c>
      <c r="M20" s="2">
        <f>(F20*G20*E20*10)/(D20*I20)</f>
        <v/>
      </c>
      <c r="N20" s="2">
        <f>(F20*G20*E20*15)/(D20*I20)</f>
        <v/>
      </c>
      <c r="O20" s="2">
        <f>(F20*G20*E20*20)/(D20*I20)</f>
        <v/>
      </c>
      <c r="P20" s="2">
        <f>(F20*G20*E20*25)/(D20*I20)</f>
        <v/>
      </c>
      <c r="Q20" s="2">
        <f>(F20*G20*E20*30)/(D20*I20)</f>
        <v/>
      </c>
      <c r="R20" s="2">
        <f>K20/H20</f>
        <v/>
      </c>
      <c r="S20" s="2">
        <f>L20/H20</f>
        <v/>
      </c>
      <c r="T20" s="2">
        <f>M20/H20</f>
        <v/>
      </c>
      <c r="U20" s="2">
        <f>N20/H20</f>
        <v/>
      </c>
      <c r="V20" s="2">
        <f>O20/H20</f>
        <v/>
      </c>
      <c r="W20" s="2">
        <f>P20/H20</f>
        <v/>
      </c>
      <c r="X20" s="2">
        <f>Q20/H20</f>
        <v/>
      </c>
      <c r="Y20" s="5">
        <f>IF(R20&gt;1,"1","2")</f>
        <v/>
      </c>
      <c r="Z20" s="5">
        <f>IF(S20&gt;1,"1","2")</f>
        <v/>
      </c>
      <c r="AA20" s="5">
        <f>IF(T20&gt;1,"1","2")</f>
        <v/>
      </c>
      <c r="AB20" s="5">
        <f>IF(U20&gt;1,"1","2")</f>
        <v/>
      </c>
      <c r="AC20" s="5">
        <f>IF(V20&gt;1,"1","2")</f>
        <v/>
      </c>
      <c r="AD20" s="5">
        <f>IF(W20&gt;1,"1","2")</f>
        <v/>
      </c>
      <c r="AE20" s="5">
        <f>IF(X20&gt;1,"1","2")</f>
        <v/>
      </c>
      <c r="AF20" t="n">
        <v>-5.123774</v>
      </c>
      <c r="AG20" t="n">
        <v>119.434313</v>
      </c>
    </row>
    <row r="21" ht="14.4" customHeight="1">
      <c r="A21" s="14" t="n">
        <v>18</v>
      </c>
      <c r="B21" s="15" t="inlineStr">
        <is>
          <t>Gaf</t>
        </is>
      </c>
      <c r="C21" s="10" t="n">
        <v>9</v>
      </c>
      <c r="D21" s="10" t="n">
        <v>25</v>
      </c>
      <c r="E21" s="16" t="n">
        <v>365</v>
      </c>
      <c r="F21" s="22" t="n">
        <v>0.0003</v>
      </c>
      <c r="G21" s="10" t="n">
        <v>900</v>
      </c>
      <c r="H21" s="12" t="n">
        <v>0.001</v>
      </c>
      <c r="I21" s="18" t="n">
        <v>10950</v>
      </c>
      <c r="J21" s="20" t="n">
        <v>9</v>
      </c>
      <c r="K21" s="19">
        <f>(F21*G21*E21*J21)/(D21*I21)</f>
        <v/>
      </c>
      <c r="L21" s="2">
        <f>(F21*G21*E21*5)/(D21*I21)</f>
        <v/>
      </c>
      <c r="M21" s="2">
        <f>(F21*G21*E21*10)/(D21*I21)</f>
        <v/>
      </c>
      <c r="N21" s="2">
        <f>(F21*G21*E21*15)/(D21*I21)</f>
        <v/>
      </c>
      <c r="O21" s="2">
        <f>(F21*G21*E21*20)/(D21*I21)</f>
        <v/>
      </c>
      <c r="P21" s="2">
        <f>(F21*G21*E21*25)/(D21*I21)</f>
        <v/>
      </c>
      <c r="Q21" s="2">
        <f>(F21*G21*E21*30)/(D21*I21)</f>
        <v/>
      </c>
      <c r="R21" s="2">
        <f>K21/H21</f>
        <v/>
      </c>
      <c r="S21" s="2">
        <f>L21/H21</f>
        <v/>
      </c>
      <c r="T21" s="2">
        <f>M21/H21</f>
        <v/>
      </c>
      <c r="U21" s="2">
        <f>N21/H21</f>
        <v/>
      </c>
      <c r="V21" s="2">
        <f>O21/H21</f>
        <v/>
      </c>
      <c r="W21" s="2">
        <f>P21/H21</f>
        <v/>
      </c>
      <c r="X21" s="2">
        <f>Q21/H21</f>
        <v/>
      </c>
      <c r="Y21" s="5">
        <f>IF(R21&gt;1,"1","2")</f>
        <v/>
      </c>
      <c r="Z21" s="5">
        <f>IF(S21&gt;1,"1","2")</f>
        <v/>
      </c>
      <c r="AA21" s="5">
        <f>IF(T21&gt;1,"1","2")</f>
        <v/>
      </c>
      <c r="AB21" s="5">
        <f>IF(U21&gt;1,"1","2")</f>
        <v/>
      </c>
      <c r="AC21" s="5">
        <f>IF(V21&gt;1,"1","2")</f>
        <v/>
      </c>
      <c r="AD21" s="5">
        <f>IF(W21&gt;1,"1","2")</f>
        <v/>
      </c>
      <c r="AE21" s="5">
        <f>IF(X21&gt;1,"1","2")</f>
        <v/>
      </c>
      <c r="AF21" t="n">
        <v>-5.153402</v>
      </c>
      <c r="AG21" t="n">
        <v>119.434488</v>
      </c>
    </row>
    <row r="22" ht="14.4" customHeight="1">
      <c r="A22" s="14" t="n">
        <v>19</v>
      </c>
      <c r="B22" s="15" t="inlineStr">
        <is>
          <t>Gii</t>
        </is>
      </c>
      <c r="C22" s="10" t="n">
        <v>9</v>
      </c>
      <c r="D22" s="10" t="n">
        <v>25</v>
      </c>
      <c r="E22" s="16" t="n">
        <v>365</v>
      </c>
      <c r="F22" s="22" t="n">
        <v>0.0003</v>
      </c>
      <c r="G22" s="10" t="n">
        <v>900</v>
      </c>
      <c r="H22" s="12" t="n">
        <v>0.001</v>
      </c>
      <c r="I22" s="18" t="n">
        <v>10950</v>
      </c>
      <c r="J22" s="20" t="n">
        <v>9</v>
      </c>
      <c r="K22" s="19">
        <f>(F22*G22*E22*J22)/(D22*I22)</f>
        <v/>
      </c>
      <c r="L22" s="2">
        <f>(F22*G22*E22*5)/(D22*I22)</f>
        <v/>
      </c>
      <c r="M22" s="2">
        <f>(F22*G22*E22*10)/(D22*I22)</f>
        <v/>
      </c>
      <c r="N22" s="2">
        <f>(F22*G22*E22*15)/(D22*I22)</f>
        <v/>
      </c>
      <c r="O22" s="2">
        <f>(F22*G22*E22*20)/(D22*I22)</f>
        <v/>
      </c>
      <c r="P22" s="2">
        <f>(F22*G22*E22*25)/(D22*I22)</f>
        <v/>
      </c>
      <c r="Q22" s="2">
        <f>(F22*G22*E22*30)/(D22*I22)</f>
        <v/>
      </c>
      <c r="R22" s="2">
        <f>K22/H22</f>
        <v/>
      </c>
      <c r="S22" s="2">
        <f>L22/H22</f>
        <v/>
      </c>
      <c r="T22" s="2">
        <f>M22/H22</f>
        <v/>
      </c>
      <c r="U22" s="2">
        <f>N22/H22</f>
        <v/>
      </c>
      <c r="V22" s="2">
        <f>O22/H22</f>
        <v/>
      </c>
      <c r="W22" s="2">
        <f>P22/H22</f>
        <v/>
      </c>
      <c r="X22" s="2">
        <f>Q22/H22</f>
        <v/>
      </c>
      <c r="Y22" s="5">
        <f>IF(R22&gt;1,"1","2")</f>
        <v/>
      </c>
      <c r="Z22" s="5">
        <f>IF(S22&gt;1,"1","2")</f>
        <v/>
      </c>
      <c r="AA22" s="5">
        <f>IF(T22&gt;1,"1","2")</f>
        <v/>
      </c>
      <c r="AB22" s="5">
        <f>IF(U22&gt;1,"1","2")</f>
        <v/>
      </c>
      <c r="AC22" s="5">
        <f>IF(V22&gt;1,"1","2")</f>
        <v/>
      </c>
      <c r="AD22" s="5">
        <f>IF(W22&gt;1,"1","2")</f>
        <v/>
      </c>
      <c r="AE22" s="5">
        <f>IF(X22&gt;1,"1","2")</f>
        <v/>
      </c>
      <c r="AF22" t="n">
        <v>-5.121672</v>
      </c>
      <c r="AG22" t="n">
        <v>119.407018</v>
      </c>
    </row>
    <row r="23" ht="14.4" customHeight="1">
      <c r="A23" s="14" t="n">
        <v>20</v>
      </c>
      <c r="B23" s="15" t="inlineStr">
        <is>
          <t>Nh</t>
        </is>
      </c>
      <c r="C23" s="10" t="n">
        <v>9</v>
      </c>
      <c r="D23" s="10" t="n">
        <v>29</v>
      </c>
      <c r="E23" s="16" t="n">
        <v>365</v>
      </c>
      <c r="F23" s="22" t="n">
        <v>0.0003</v>
      </c>
      <c r="G23" s="10" t="n">
        <v>900</v>
      </c>
      <c r="H23" s="12" t="n">
        <v>0.001</v>
      </c>
      <c r="I23" s="18" t="n">
        <v>10950</v>
      </c>
      <c r="J23" s="20" t="n">
        <v>9</v>
      </c>
      <c r="K23" s="19">
        <f>(F23*G23*E23*J23)/(D23*I23)</f>
        <v/>
      </c>
      <c r="L23" s="2">
        <f>(F23*G23*E23*5)/(D23*I23)</f>
        <v/>
      </c>
      <c r="M23" s="2">
        <f>(F23*G23*E23*10)/(D23*I23)</f>
        <v/>
      </c>
      <c r="N23" s="2">
        <f>(F23*G23*E23*15)/(D23*I23)</f>
        <v/>
      </c>
      <c r="O23" s="2">
        <f>(F23*G23*E23*20)/(D23*I23)</f>
        <v/>
      </c>
      <c r="P23" s="2">
        <f>(F23*G23*E23*25)/(D23*I23)</f>
        <v/>
      </c>
      <c r="Q23" s="2">
        <f>(F23*G23*E23*30)/(D23*I23)</f>
        <v/>
      </c>
      <c r="R23" s="2">
        <f>K23/H23</f>
        <v/>
      </c>
      <c r="S23" s="2">
        <f>L23/H23</f>
        <v/>
      </c>
      <c r="T23" s="2">
        <f>M23/H23</f>
        <v/>
      </c>
      <c r="U23" s="2">
        <f>N23/H23</f>
        <v/>
      </c>
      <c r="V23" s="2">
        <f>O23/H23</f>
        <v/>
      </c>
      <c r="W23" s="2">
        <f>P23/H23</f>
        <v/>
      </c>
      <c r="X23" s="2">
        <f>Q23/H23</f>
        <v/>
      </c>
      <c r="Y23" s="5">
        <f>IF(R23&gt;1,"1","2")</f>
        <v/>
      </c>
      <c r="Z23" s="5">
        <f>IF(S23&gt;1,"1","2")</f>
        <v/>
      </c>
      <c r="AA23" s="5">
        <f>IF(T23&gt;1,"1","2")</f>
        <v/>
      </c>
      <c r="AB23" s="5">
        <f>IF(U23&gt;1,"1","2")</f>
        <v/>
      </c>
      <c r="AC23" s="5">
        <f>IF(V23&gt;1,"1","2")</f>
        <v/>
      </c>
      <c r="AD23" s="5">
        <f>IF(W23&gt;1,"1","2")</f>
        <v/>
      </c>
      <c r="AE23" s="5">
        <f>IF(X23&gt;1,"1","2")</f>
        <v/>
      </c>
      <c r="AF23" t="n">
        <v>-5.123005</v>
      </c>
      <c r="AG23" t="n">
        <v>119.44743</v>
      </c>
    </row>
    <row r="24" ht="14.4" customHeight="1">
      <c r="A24" s="14" t="n">
        <v>21</v>
      </c>
      <c r="B24" s="15" t="inlineStr">
        <is>
          <t>Gaw</t>
        </is>
      </c>
      <c r="C24" s="10" t="n">
        <v>9</v>
      </c>
      <c r="D24" s="10" t="n">
        <v>25</v>
      </c>
      <c r="E24" s="16" t="n">
        <v>365</v>
      </c>
      <c r="F24" s="22" t="n">
        <v>0.0003</v>
      </c>
      <c r="G24" s="10" t="n">
        <v>1500</v>
      </c>
      <c r="H24" s="12" t="n">
        <v>0.001</v>
      </c>
      <c r="I24" s="18" t="n">
        <v>10950</v>
      </c>
      <c r="J24" s="20" t="n">
        <v>9</v>
      </c>
      <c r="K24" s="19">
        <f>(F24*G24*E24*J24)/(D24*I24)</f>
        <v/>
      </c>
      <c r="L24" s="2">
        <f>(F24*G24*E24*5)/(D24*I24)</f>
        <v/>
      </c>
      <c r="M24" s="2">
        <f>(F24*G24*E24*10)/(D24*I24)</f>
        <v/>
      </c>
      <c r="N24" s="2">
        <f>(F24*G24*E24*15)/(D24*I24)</f>
        <v/>
      </c>
      <c r="O24" s="2">
        <f>(F24*G24*E24*20)/(D24*I24)</f>
        <v/>
      </c>
      <c r="P24" s="2">
        <f>(F24*G24*E24*25)/(D24*I24)</f>
        <v/>
      </c>
      <c r="Q24" s="2">
        <f>(F24*G24*E24*30)/(D24*I24)</f>
        <v/>
      </c>
      <c r="R24" s="2">
        <f>K24/H24</f>
        <v/>
      </c>
      <c r="S24" s="2">
        <f>L24/H24</f>
        <v/>
      </c>
      <c r="T24" s="2">
        <f>M24/H24</f>
        <v/>
      </c>
      <c r="U24" s="2">
        <f>N24/H24</f>
        <v/>
      </c>
      <c r="V24" s="2">
        <f>O24/H24</f>
        <v/>
      </c>
      <c r="W24" s="2">
        <f>P24/H24</f>
        <v/>
      </c>
      <c r="X24" s="2">
        <f>Q24/H24</f>
        <v/>
      </c>
      <c r="Y24" s="5">
        <f>IF(R24&gt;1,"1","2")</f>
        <v/>
      </c>
      <c r="Z24" s="5">
        <f>IF(S24&gt;1,"1","2")</f>
        <v/>
      </c>
      <c r="AA24" s="5">
        <f>IF(T24&gt;1,"1","2")</f>
        <v/>
      </c>
      <c r="AB24" s="5">
        <f>IF(U24&gt;1,"1","2")</f>
        <v/>
      </c>
      <c r="AC24" s="5">
        <f>IF(V24&gt;1,"1","2")</f>
        <v/>
      </c>
      <c r="AD24" s="5">
        <f>IF(W24&gt;1,"1","2")</f>
        <v/>
      </c>
      <c r="AE24" s="5">
        <f>IF(X24&gt;1,"1","2")</f>
        <v/>
      </c>
      <c r="AF24" t="n">
        <v>-5.131506</v>
      </c>
      <c r="AG24" t="n">
        <v>119.44199</v>
      </c>
    </row>
    <row r="25" ht="14.4" customHeight="1">
      <c r="A25" s="14" t="n">
        <v>22</v>
      </c>
      <c r="B25" s="15" t="inlineStr">
        <is>
          <t>ALs</t>
        </is>
      </c>
      <c r="C25" s="10" t="n">
        <v>9</v>
      </c>
      <c r="D25" s="10" t="n">
        <v>25</v>
      </c>
      <c r="E25" s="16" t="n">
        <v>365</v>
      </c>
      <c r="F25" s="22" t="n">
        <v>0.0003</v>
      </c>
      <c r="G25" s="10" t="n">
        <v>900</v>
      </c>
      <c r="H25" s="12" t="n">
        <v>0.001</v>
      </c>
      <c r="I25" s="18" t="n">
        <v>10950</v>
      </c>
      <c r="J25" s="20" t="n">
        <v>9</v>
      </c>
      <c r="K25" s="19">
        <f>(F25*G25*E25*J25)/(D25*I25)</f>
        <v/>
      </c>
      <c r="L25" s="2">
        <f>(F25*G25*E25*5)/(D25*I25)</f>
        <v/>
      </c>
      <c r="M25" s="2">
        <f>(F25*G25*E25*10)/(D25*I25)</f>
        <v/>
      </c>
      <c r="N25" s="2">
        <f>(F25*G25*E25*15)/(D25*I25)</f>
        <v/>
      </c>
      <c r="O25" s="2">
        <f>(F25*G25*E25*20)/(D25*I25)</f>
        <v/>
      </c>
      <c r="P25" s="2">
        <f>(F25*G25*E25*25)/(D25*I25)</f>
        <v/>
      </c>
      <c r="Q25" s="2">
        <f>(F25*G25*E25*30)/(D25*I25)</f>
        <v/>
      </c>
      <c r="R25" s="2">
        <f>K25/H25</f>
        <v/>
      </c>
      <c r="S25" s="2">
        <f>L25/H25</f>
        <v/>
      </c>
      <c r="T25" s="2">
        <f>M25/H25</f>
        <v/>
      </c>
      <c r="U25" s="2">
        <f>N25/H25</f>
        <v/>
      </c>
      <c r="V25" s="2">
        <f>O25/H25</f>
        <v/>
      </c>
      <c r="W25" s="2">
        <f>P25/H25</f>
        <v/>
      </c>
      <c r="X25" s="2">
        <f>Q25/H25</f>
        <v/>
      </c>
      <c r="Y25" s="5">
        <f>IF(R25&gt;1,"1","2")</f>
        <v/>
      </c>
      <c r="Z25" s="5">
        <f>IF(S25&gt;1,"1","2")</f>
        <v/>
      </c>
      <c r="AA25" s="5">
        <f>IF(T25&gt;1,"1","2")</f>
        <v/>
      </c>
      <c r="AB25" s="5">
        <f>IF(U25&gt;1,"1","2")</f>
        <v/>
      </c>
      <c r="AC25" s="5">
        <f>IF(V25&gt;1,"1","2")</f>
        <v/>
      </c>
      <c r="AD25" s="5">
        <f>IF(W25&gt;1,"1","2")</f>
        <v/>
      </c>
      <c r="AE25" s="5">
        <f>IF(X25&gt;1,"1","2")</f>
        <v/>
      </c>
      <c r="AF25" t="n">
        <v>-5.144922</v>
      </c>
      <c r="AG25" t="n">
        <v>119.446339</v>
      </c>
    </row>
    <row r="26" ht="14.4" customHeight="1">
      <c r="A26" s="14" t="n">
        <v>23</v>
      </c>
      <c r="B26" s="15" t="inlineStr">
        <is>
          <t>Ana</t>
        </is>
      </c>
      <c r="C26" s="10" t="n">
        <v>9</v>
      </c>
      <c r="D26" s="10" t="n">
        <v>39</v>
      </c>
      <c r="E26" s="16" t="n">
        <v>365</v>
      </c>
      <c r="F26" s="22" t="n">
        <v>0.0003</v>
      </c>
      <c r="G26" s="10" t="n">
        <v>900</v>
      </c>
      <c r="H26" s="12" t="n">
        <v>0.001</v>
      </c>
      <c r="I26" s="18" t="n">
        <v>10950</v>
      </c>
      <c r="J26" s="20" t="n">
        <v>1</v>
      </c>
      <c r="K26" s="19">
        <f>(F26*G26*E26*J26)/(D26*I26)</f>
        <v/>
      </c>
      <c r="L26" s="2">
        <f>(F26*G26*E26*5)/(D26*I26)</f>
        <v/>
      </c>
      <c r="M26" s="2">
        <f>(F26*G26*E26*10)/(D26*I26)</f>
        <v/>
      </c>
      <c r="N26" s="2">
        <f>(F26*G26*E26*15)/(D26*I26)</f>
        <v/>
      </c>
      <c r="O26" s="2">
        <f>(F26*G26*E26*20)/(D26*I26)</f>
        <v/>
      </c>
      <c r="P26" s="2">
        <f>(F26*G26*E26*25)/(D26*I26)</f>
        <v/>
      </c>
      <c r="Q26" s="2">
        <f>(F26*G26*E26*30)/(D26*I26)</f>
        <v/>
      </c>
      <c r="R26" s="2">
        <f>K26/H26</f>
        <v/>
      </c>
      <c r="S26" s="2">
        <f>L26/H26</f>
        <v/>
      </c>
      <c r="T26" s="2">
        <f>M26/H26</f>
        <v/>
      </c>
      <c r="U26" s="2">
        <f>N26/H26</f>
        <v/>
      </c>
      <c r="V26" s="2">
        <f>O26/H26</f>
        <v/>
      </c>
      <c r="W26" s="2">
        <f>P26/H26</f>
        <v/>
      </c>
      <c r="X26" s="2">
        <f>Q26/H26</f>
        <v/>
      </c>
      <c r="Y26" s="5">
        <f>IF(R26&gt;1,"1","2")</f>
        <v/>
      </c>
      <c r="Z26" s="5">
        <f>IF(S26&gt;1,"1","2")</f>
        <v/>
      </c>
      <c r="AA26" s="5">
        <f>IF(T26&gt;1,"1","2")</f>
        <v/>
      </c>
      <c r="AB26" s="5">
        <f>IF(U26&gt;1,"1","2")</f>
        <v/>
      </c>
      <c r="AC26" s="5">
        <f>IF(V26&gt;1,"1","2")</f>
        <v/>
      </c>
      <c r="AD26" s="5">
        <f>IF(W26&gt;1,"1","2")</f>
        <v/>
      </c>
      <c r="AE26" s="5">
        <f>IF(X26&gt;1,"1","2")</f>
        <v/>
      </c>
      <c r="AF26" t="n">
        <v>-5.130108</v>
      </c>
      <c r="AG26" t="n">
        <v>119.410138</v>
      </c>
    </row>
    <row r="27" ht="14.4" customHeight="1">
      <c r="A27" s="14" t="n">
        <v>24</v>
      </c>
      <c r="B27" s="15" t="inlineStr">
        <is>
          <t>Zan</t>
        </is>
      </c>
      <c r="C27" s="10" t="n">
        <v>9</v>
      </c>
      <c r="D27" s="10" t="n">
        <v>26</v>
      </c>
      <c r="E27" s="16" t="n">
        <v>365</v>
      </c>
      <c r="F27" s="22" t="n">
        <v>0.0003</v>
      </c>
      <c r="G27" s="10" t="n">
        <v>900</v>
      </c>
      <c r="H27" s="12" t="n">
        <v>0.001</v>
      </c>
      <c r="I27" s="18" t="n">
        <v>10950</v>
      </c>
      <c r="J27" s="20" t="n">
        <v>9</v>
      </c>
      <c r="K27" s="19">
        <f>(F27*G27*E27*J27)/(D27*I27)</f>
        <v/>
      </c>
      <c r="L27" s="2">
        <f>(F27*G27*E27*5)/(D27*I27)</f>
        <v/>
      </c>
      <c r="M27" s="2">
        <f>(F27*G27*E27*10)/(D27*I27)</f>
        <v/>
      </c>
      <c r="N27" s="2">
        <f>(F27*G27*E27*15)/(D27*I27)</f>
        <v/>
      </c>
      <c r="O27" s="2">
        <f>(F27*G27*E27*20)/(D27*I27)</f>
        <v/>
      </c>
      <c r="P27" s="2">
        <f>(F27*G27*E27*25)/(D27*I27)</f>
        <v/>
      </c>
      <c r="Q27" s="2">
        <f>(F27*G27*E27*30)/(D27*I27)</f>
        <v/>
      </c>
      <c r="R27" s="2">
        <f>K27/H27</f>
        <v/>
      </c>
      <c r="S27" s="2">
        <f>L27/H27</f>
        <v/>
      </c>
      <c r="T27" s="2">
        <f>M27/H27</f>
        <v/>
      </c>
      <c r="U27" s="2">
        <f>N27/H27</f>
        <v/>
      </c>
      <c r="V27" s="2">
        <f>O27/H27</f>
        <v/>
      </c>
      <c r="W27" s="2">
        <f>P27/H27</f>
        <v/>
      </c>
      <c r="X27" s="2">
        <f>Q27/H27</f>
        <v/>
      </c>
      <c r="Y27" s="5">
        <f>IF(R27&gt;1,"1","2")</f>
        <v/>
      </c>
      <c r="Z27" s="5">
        <f>IF(S27&gt;1,"1","2")</f>
        <v/>
      </c>
      <c r="AA27" s="5">
        <f>IF(T27&gt;1,"1","2")</f>
        <v/>
      </c>
      <c r="AB27" s="5">
        <f>IF(U27&gt;1,"1","2")</f>
        <v/>
      </c>
      <c r="AC27" s="5">
        <f>IF(V27&gt;1,"1","2")</f>
        <v/>
      </c>
      <c r="AD27" s="5">
        <f>IF(W27&gt;1,"1","2")</f>
        <v/>
      </c>
      <c r="AE27" s="5">
        <f>IF(X27&gt;1,"1","2")</f>
        <v/>
      </c>
      <c r="AF27" t="n">
        <v>-5.13406</v>
      </c>
      <c r="AG27" t="n">
        <v>119.435068</v>
      </c>
    </row>
    <row r="28" ht="14.4" customHeight="1">
      <c r="A28" s="14" t="n">
        <v>25</v>
      </c>
      <c r="B28" s="15" t="inlineStr">
        <is>
          <t>Bia</t>
        </is>
      </c>
      <c r="C28" s="10" t="n">
        <v>9</v>
      </c>
      <c r="D28" s="10" t="n">
        <v>20</v>
      </c>
      <c r="E28" s="16" t="n">
        <v>365</v>
      </c>
      <c r="F28" s="22" t="n">
        <v>0.0003</v>
      </c>
      <c r="G28" s="10" t="n">
        <v>2100</v>
      </c>
      <c r="H28" s="12" t="n">
        <v>0.001</v>
      </c>
      <c r="I28" s="18" t="n">
        <v>10950</v>
      </c>
      <c r="J28" s="20" t="n">
        <v>9</v>
      </c>
      <c r="K28" s="19">
        <f>(F28*G28*E28*J28)/(D28*I28)</f>
        <v/>
      </c>
      <c r="L28" s="2">
        <f>(F28*G28*E28*5)/(D28*I28)</f>
        <v/>
      </c>
      <c r="M28" s="2">
        <f>(F28*G28*E28*10)/(D28*I28)</f>
        <v/>
      </c>
      <c r="N28" s="2">
        <f>(F28*G28*E28*15)/(D28*I28)</f>
        <v/>
      </c>
      <c r="O28" s="2">
        <f>(F28*G28*E28*20)/(D28*I28)</f>
        <v/>
      </c>
      <c r="P28" s="2">
        <f>(F28*G28*E28*25)/(D28*I28)</f>
        <v/>
      </c>
      <c r="Q28" s="2">
        <f>(F28*G28*E28*30)/(D28*I28)</f>
        <v/>
      </c>
      <c r="R28" s="2">
        <f>K28/H28</f>
        <v/>
      </c>
      <c r="S28" s="2">
        <f>L28/H28</f>
        <v/>
      </c>
      <c r="T28" s="2">
        <f>M28/H28</f>
        <v/>
      </c>
      <c r="U28" s="2">
        <f>N28/H28</f>
        <v/>
      </c>
      <c r="V28" s="2">
        <f>O28/H28</f>
        <v/>
      </c>
      <c r="W28" s="2">
        <f>P28/H28</f>
        <v/>
      </c>
      <c r="X28" s="2">
        <f>Q28/H28</f>
        <v/>
      </c>
      <c r="Y28" s="5">
        <f>IF(R28&gt;1,"1","2")</f>
        <v/>
      </c>
      <c r="Z28" s="5">
        <f>IF(S28&gt;1,"1","2")</f>
        <v/>
      </c>
      <c r="AA28" s="5">
        <f>IF(T28&gt;1,"1","2")</f>
        <v/>
      </c>
      <c r="AB28" s="5">
        <f>IF(U28&gt;1,"1","2")</f>
        <v/>
      </c>
      <c r="AC28" s="5">
        <f>IF(V28&gt;1,"1","2")</f>
        <v/>
      </c>
      <c r="AD28" s="5">
        <f>IF(W28&gt;1,"1","2")</f>
        <v/>
      </c>
      <c r="AE28" s="5">
        <f>IF(X28&gt;1,"1","2")</f>
        <v/>
      </c>
      <c r="AF28" t="n">
        <v>-5.155482</v>
      </c>
      <c r="AG28" t="n">
        <v>119.406543</v>
      </c>
    </row>
    <row r="29" ht="14.4" customHeight="1">
      <c r="A29" s="14" t="n">
        <v>26</v>
      </c>
      <c r="B29" s="15" t="inlineStr">
        <is>
          <t>Tis</t>
        </is>
      </c>
      <c r="C29" s="10" t="n">
        <v>9</v>
      </c>
      <c r="D29" s="10" t="n">
        <v>40</v>
      </c>
      <c r="E29" s="16" t="n">
        <v>365</v>
      </c>
      <c r="F29" s="22" t="n">
        <v>0.0003</v>
      </c>
      <c r="G29" s="10" t="n">
        <v>900</v>
      </c>
      <c r="H29" s="12" t="n">
        <v>0.001</v>
      </c>
      <c r="I29" s="18" t="n">
        <v>10950</v>
      </c>
      <c r="J29" s="20" t="n">
        <v>5</v>
      </c>
      <c r="K29" s="19">
        <f>(F29*G29*E29*J29)/(D29*I29)</f>
        <v/>
      </c>
      <c r="L29" s="2">
        <f>(F29*G29*E29*5)/(D29*I29)</f>
        <v/>
      </c>
      <c r="M29" s="2">
        <f>(F29*G29*E29*10)/(D29*I29)</f>
        <v/>
      </c>
      <c r="N29" s="2">
        <f>(F29*G29*E29*15)/(D29*I29)</f>
        <v/>
      </c>
      <c r="O29" s="2">
        <f>(F29*G29*E29*20)/(D29*I29)</f>
        <v/>
      </c>
      <c r="P29" s="2">
        <f>(F29*G29*E29*25)/(D29*I29)</f>
        <v/>
      </c>
      <c r="Q29" s="2">
        <f>(F29*G29*E29*30)/(D29*I29)</f>
        <v/>
      </c>
      <c r="R29" s="2">
        <f>K29/H29</f>
        <v/>
      </c>
      <c r="S29" s="2">
        <f>L29/H29</f>
        <v/>
      </c>
      <c r="T29" s="2">
        <f>M29/H29</f>
        <v/>
      </c>
      <c r="U29" s="2">
        <f>N29/H29</f>
        <v/>
      </c>
      <c r="V29" s="2">
        <f>O29/H29</f>
        <v/>
      </c>
      <c r="W29" s="2">
        <f>P29/H29</f>
        <v/>
      </c>
      <c r="X29" s="2">
        <f>Q29/H29</f>
        <v/>
      </c>
      <c r="Y29" s="5">
        <f>IF(R29&gt;1,"1","2")</f>
        <v/>
      </c>
      <c r="Z29" s="5">
        <f>IF(S29&gt;1,"1","2")</f>
        <v/>
      </c>
      <c r="AA29" s="5">
        <f>IF(T29&gt;1,"1","2")</f>
        <v/>
      </c>
      <c r="AB29" s="5">
        <f>IF(U29&gt;1,"1","2")</f>
        <v/>
      </c>
      <c r="AC29" s="5">
        <f>IF(V29&gt;1,"1","2")</f>
        <v/>
      </c>
      <c r="AD29" s="5">
        <f>IF(W29&gt;1,"1","2")</f>
        <v/>
      </c>
      <c r="AE29" s="5">
        <f>IF(X29&gt;1,"1","2")</f>
        <v/>
      </c>
      <c r="AF29" t="n">
        <v>-5.138075</v>
      </c>
      <c r="AG29" t="n">
        <v>119.417292</v>
      </c>
    </row>
    <row r="30" ht="14.4" customHeight="1">
      <c r="A30" s="14" t="n">
        <v>27</v>
      </c>
      <c r="B30" s="15" t="inlineStr">
        <is>
          <t>And</t>
        </is>
      </c>
      <c r="C30" s="10" t="n">
        <v>9</v>
      </c>
      <c r="D30" s="10" t="n">
        <v>39</v>
      </c>
      <c r="E30" s="16" t="n">
        <v>365</v>
      </c>
      <c r="F30" s="22" t="n">
        <v>0.0003</v>
      </c>
      <c r="G30" s="10" t="n">
        <v>900</v>
      </c>
      <c r="H30" s="12" t="n">
        <v>0.001</v>
      </c>
      <c r="I30" s="18" t="n">
        <v>10950</v>
      </c>
      <c r="J30" s="20" t="n">
        <v>1</v>
      </c>
      <c r="K30" s="19">
        <f>(F30*G30*E30*J30)/(D30*I30)</f>
        <v/>
      </c>
      <c r="L30" s="2">
        <f>(F30*G30*E30*5)/(D30*I30)</f>
        <v/>
      </c>
      <c r="M30" s="2">
        <f>(F30*G30*E30*10)/(D30*I30)</f>
        <v/>
      </c>
      <c r="N30" s="2">
        <f>(F30*G30*E30*15)/(D30*I30)</f>
        <v/>
      </c>
      <c r="O30" s="2">
        <f>(F30*G30*E30*20)/(D30*I30)</f>
        <v/>
      </c>
      <c r="P30" s="2">
        <f>(F30*G30*E30*25)/(D30*I30)</f>
        <v/>
      </c>
      <c r="Q30" s="2">
        <f>(F30*G30*E30*30)/(D30*I30)</f>
        <v/>
      </c>
      <c r="R30" s="2">
        <f>K30/H30</f>
        <v/>
      </c>
      <c r="S30" s="2">
        <f>L30/H30</f>
        <v/>
      </c>
      <c r="T30" s="2">
        <f>M30/H30</f>
        <v/>
      </c>
      <c r="U30" s="2">
        <f>N30/H30</f>
        <v/>
      </c>
      <c r="V30" s="2">
        <f>O30/H30</f>
        <v/>
      </c>
      <c r="W30" s="2">
        <f>P30/H30</f>
        <v/>
      </c>
      <c r="X30" s="2">
        <f>Q30/H30</f>
        <v/>
      </c>
      <c r="Y30" s="5">
        <f>IF(R30&gt;1,"1","2")</f>
        <v/>
      </c>
      <c r="Z30" s="5">
        <f>IF(S30&gt;1,"1","2")</f>
        <v/>
      </c>
      <c r="AA30" s="5">
        <f>IF(T30&gt;1,"1","2")</f>
        <v/>
      </c>
      <c r="AB30" s="5">
        <f>IF(U30&gt;1,"1","2")</f>
        <v/>
      </c>
      <c r="AC30" s="5">
        <f>IF(V30&gt;1,"1","2")</f>
        <v/>
      </c>
      <c r="AD30" s="5">
        <f>IF(W30&gt;1,"1","2")</f>
        <v/>
      </c>
      <c r="AE30" s="5">
        <f>IF(X30&gt;1,"1","2")</f>
        <v/>
      </c>
      <c r="AF30" t="n">
        <v>-5.138437</v>
      </c>
      <c r="AG30" t="n">
        <v>119.41446</v>
      </c>
    </row>
    <row r="31" ht="14.4" customHeight="1">
      <c r="A31" s="14" t="n">
        <v>28</v>
      </c>
      <c r="B31" s="15" t="inlineStr">
        <is>
          <t>Fau</t>
        </is>
      </c>
      <c r="C31" s="10" t="n">
        <v>9</v>
      </c>
      <c r="D31" s="10" t="n">
        <v>26</v>
      </c>
      <c r="E31" s="16" t="n">
        <v>365</v>
      </c>
      <c r="F31" s="22" t="n">
        <v>0.0003</v>
      </c>
      <c r="G31" s="10" t="n">
        <v>900</v>
      </c>
      <c r="H31" s="12" t="n">
        <v>0.001</v>
      </c>
      <c r="I31" s="18" t="n">
        <v>10950</v>
      </c>
      <c r="J31" s="20" t="n">
        <v>9</v>
      </c>
      <c r="K31" s="19">
        <f>(F31*G31*E31*J31)/(D31*I31)</f>
        <v/>
      </c>
      <c r="L31" s="2">
        <f>(F31*G31*E31*5)/(D31*I31)</f>
        <v/>
      </c>
      <c r="M31" s="2">
        <f>(F31*G31*E31*10)/(D31*I31)</f>
        <v/>
      </c>
      <c r="N31" s="2">
        <f>(F31*G31*E31*15)/(D31*I31)</f>
        <v/>
      </c>
      <c r="O31" s="2">
        <f>(F31*G31*E31*20)/(D31*I31)</f>
        <v/>
      </c>
      <c r="P31" s="2">
        <f>(F31*G31*E31*25)/(D31*I31)</f>
        <v/>
      </c>
      <c r="Q31" s="2">
        <f>(F31*G31*E31*30)/(D31*I31)</f>
        <v/>
      </c>
      <c r="R31" s="2">
        <f>K31/H31</f>
        <v/>
      </c>
      <c r="S31" s="2">
        <f>L31/H31</f>
        <v/>
      </c>
      <c r="T31" s="2">
        <f>M31/H31</f>
        <v/>
      </c>
      <c r="U31" s="2">
        <f>N31/H31</f>
        <v/>
      </c>
      <c r="V31" s="2">
        <f>O31/H31</f>
        <v/>
      </c>
      <c r="W31" s="2">
        <f>P31/H31</f>
        <v/>
      </c>
      <c r="X31" s="2">
        <f>Q31/H31</f>
        <v/>
      </c>
      <c r="Y31" s="5">
        <f>IF(R31&gt;1,"1","2")</f>
        <v/>
      </c>
      <c r="Z31" s="5">
        <f>IF(S31&gt;1,"1","2")</f>
        <v/>
      </c>
      <c r="AA31" s="5">
        <f>IF(T31&gt;1,"1","2")</f>
        <v/>
      </c>
      <c r="AB31" s="5">
        <f>IF(U31&gt;1,"1","2")</f>
        <v/>
      </c>
      <c r="AC31" s="5">
        <f>IF(V31&gt;1,"1","2")</f>
        <v/>
      </c>
      <c r="AD31" s="5">
        <f>IF(W31&gt;1,"1","2")</f>
        <v/>
      </c>
      <c r="AE31" s="5">
        <f>IF(X31&gt;1,"1","2")</f>
        <v/>
      </c>
      <c r="AF31" t="n">
        <v>-5.159509</v>
      </c>
      <c r="AG31" t="n">
        <v>119.40562</v>
      </c>
    </row>
    <row r="32" ht="14.4" customHeight="1">
      <c r="A32" s="14" t="n">
        <v>29</v>
      </c>
      <c r="B32" s="15" t="inlineStr">
        <is>
          <t>Als</t>
        </is>
      </c>
      <c r="C32" s="10" t="n">
        <v>9</v>
      </c>
      <c r="D32" s="10" t="n">
        <v>25</v>
      </c>
      <c r="E32" s="16" t="n">
        <v>365</v>
      </c>
      <c r="F32" s="22" t="n">
        <v>0.0003</v>
      </c>
      <c r="G32" s="10" t="n">
        <v>900</v>
      </c>
      <c r="H32" s="12" t="n">
        <v>0.001</v>
      </c>
      <c r="I32" s="18" t="n">
        <v>10950</v>
      </c>
      <c r="J32" s="20" t="n">
        <v>9</v>
      </c>
      <c r="K32" s="19">
        <f>(F32*G32*E32*J32)/(D32*I32)</f>
        <v/>
      </c>
      <c r="L32" s="2">
        <f>(F32*G32*E32*5)/(D32*I32)</f>
        <v/>
      </c>
      <c r="M32" s="2">
        <f>(F32*G32*E32*10)/(D32*I32)</f>
        <v/>
      </c>
      <c r="N32" s="2">
        <f>(F32*G32*E32*15)/(D32*I32)</f>
        <v/>
      </c>
      <c r="O32" s="2">
        <f>(F32*G32*E32*20)/(D32*I32)</f>
        <v/>
      </c>
      <c r="P32" s="2">
        <f>(F32*G32*E32*25)/(D32*I32)</f>
        <v/>
      </c>
      <c r="Q32" s="2">
        <f>(F32*G32*E32*30)/(D32*I32)</f>
        <v/>
      </c>
      <c r="R32" s="2">
        <f>K32/H32</f>
        <v/>
      </c>
      <c r="S32" s="2">
        <f>L32/H32</f>
        <v/>
      </c>
      <c r="T32" s="2">
        <f>M32/H32</f>
        <v/>
      </c>
      <c r="U32" s="2">
        <f>N32/H32</f>
        <v/>
      </c>
      <c r="V32" s="2">
        <f>O32/H32</f>
        <v/>
      </c>
      <c r="W32" s="2">
        <f>P32/H32</f>
        <v/>
      </c>
      <c r="X32" s="2">
        <f>Q32/H32</f>
        <v/>
      </c>
      <c r="Y32" s="5">
        <f>IF(R32&gt;1,"1","2")</f>
        <v/>
      </c>
      <c r="Z32" s="5">
        <f>IF(S32&gt;1,"1","2")</f>
        <v/>
      </c>
      <c r="AA32" s="5">
        <f>IF(T32&gt;1,"1","2")</f>
        <v/>
      </c>
      <c r="AB32" s="5">
        <f>IF(U32&gt;1,"1","2")</f>
        <v/>
      </c>
      <c r="AC32" s="5">
        <f>IF(V32&gt;1,"1","2")</f>
        <v/>
      </c>
      <c r="AD32" s="5">
        <f>IF(W32&gt;1,"1","2")</f>
        <v/>
      </c>
      <c r="AE32" s="5">
        <f>IF(X32&gt;1,"1","2")</f>
        <v/>
      </c>
      <c r="AF32" t="n">
        <v>-5.156903</v>
      </c>
      <c r="AG32" t="n">
        <v>119.410681</v>
      </c>
    </row>
    <row r="33" ht="14.4" customHeight="1">
      <c r="A33" s="14" t="n">
        <v>30</v>
      </c>
      <c r="B33" s="15" t="inlineStr">
        <is>
          <t>Mak</t>
        </is>
      </c>
      <c r="C33" s="10" t="n">
        <v>10</v>
      </c>
      <c r="D33" s="10" t="n">
        <v>25</v>
      </c>
      <c r="E33" s="16" t="n">
        <v>365</v>
      </c>
      <c r="F33" s="22" t="n">
        <v>0.0003</v>
      </c>
      <c r="G33" s="10" t="n">
        <v>900</v>
      </c>
      <c r="H33" s="12" t="n">
        <v>0.001</v>
      </c>
      <c r="I33" s="18" t="n">
        <v>10950</v>
      </c>
      <c r="J33" s="20" t="n">
        <v>10</v>
      </c>
      <c r="K33" s="19">
        <f>(F33*G33*E33*J33)/(D33*I33)</f>
        <v/>
      </c>
      <c r="L33" s="2">
        <f>(F33*G33*E33*5)/(D33*I33)</f>
        <v/>
      </c>
      <c r="M33" s="2">
        <f>(F33*G33*E33*10)/(D33*I33)</f>
        <v/>
      </c>
      <c r="N33" s="2">
        <f>(F33*G33*E33*15)/(D33*I33)</f>
        <v/>
      </c>
      <c r="O33" s="2">
        <f>(F33*G33*E33*20)/(D33*I33)</f>
        <v/>
      </c>
      <c r="P33" s="2">
        <f>(F33*G33*E33*25)/(D33*I33)</f>
        <v/>
      </c>
      <c r="Q33" s="2">
        <f>(F33*G33*E33*30)/(D33*I33)</f>
        <v/>
      </c>
      <c r="R33" s="2">
        <f>K33/H33</f>
        <v/>
      </c>
      <c r="S33" s="2">
        <f>L33/H33</f>
        <v/>
      </c>
      <c r="T33" s="2">
        <f>M33/H33</f>
        <v/>
      </c>
      <c r="U33" s="2">
        <f>N33/H33</f>
        <v/>
      </c>
      <c r="V33" s="2">
        <f>O33/H33</f>
        <v/>
      </c>
      <c r="W33" s="2">
        <f>P33/H33</f>
        <v/>
      </c>
      <c r="X33" s="2">
        <f>Q33/H33</f>
        <v/>
      </c>
      <c r="Y33" s="5">
        <f>IF(R33&gt;1,"1","2")</f>
        <v/>
      </c>
      <c r="Z33" s="5">
        <f>IF(S33&gt;1,"1","2")</f>
        <v/>
      </c>
      <c r="AA33" s="5">
        <f>IF(T33&gt;1,"1","2")</f>
        <v/>
      </c>
      <c r="AB33" s="5">
        <f>IF(U33&gt;1,"1","2")</f>
        <v/>
      </c>
      <c r="AC33" s="5">
        <f>IF(V33&gt;1,"1","2")</f>
        <v/>
      </c>
      <c r="AD33" s="5">
        <f>IF(W33&gt;1,"1","2")</f>
        <v/>
      </c>
      <c r="AE33" s="5">
        <f>IF(X33&gt;1,"1","2")</f>
        <v/>
      </c>
      <c r="AF33" t="n">
        <v>-5.137187</v>
      </c>
      <c r="AG33" t="n">
        <v>119.431612</v>
      </c>
    </row>
    <row r="34" ht="14.4" customHeight="1">
      <c r="A34" s="14" t="n">
        <v>31</v>
      </c>
      <c r="B34" s="15" t="inlineStr">
        <is>
          <t>Rwu</t>
        </is>
      </c>
      <c r="C34" s="10" t="n">
        <v>10</v>
      </c>
      <c r="D34" s="10" t="n">
        <v>33</v>
      </c>
      <c r="E34" s="16" t="n">
        <v>365</v>
      </c>
      <c r="F34" s="22" t="n">
        <v>0.0003</v>
      </c>
      <c r="G34" s="10" t="n">
        <v>900</v>
      </c>
      <c r="H34" s="12" t="n">
        <v>0.001</v>
      </c>
      <c r="I34" s="18" t="n">
        <v>10950</v>
      </c>
      <c r="J34" s="20" t="n">
        <v>10</v>
      </c>
      <c r="K34" s="19">
        <f>(F34*G34*E34*J34)/(D34*I34)</f>
        <v/>
      </c>
      <c r="L34" s="2">
        <f>(F34*G34*E34*5)/(D34*I34)</f>
        <v/>
      </c>
      <c r="M34" s="2">
        <f>(F34*G34*E34*10)/(D34*I34)</f>
        <v/>
      </c>
      <c r="N34" s="2">
        <f>(F34*G34*E34*15)/(D34*I34)</f>
        <v/>
      </c>
      <c r="O34" s="2">
        <f>(F34*G34*E34*20)/(D34*I34)</f>
        <v/>
      </c>
      <c r="P34" s="2">
        <f>(F34*G34*E34*25)/(D34*I34)</f>
        <v/>
      </c>
      <c r="Q34" s="2">
        <f>(F34*G34*E34*30)/(D34*I34)</f>
        <v/>
      </c>
      <c r="R34" s="2">
        <f>K34/H34</f>
        <v/>
      </c>
      <c r="S34" s="2">
        <f>L34/H34</f>
        <v/>
      </c>
      <c r="T34" s="2">
        <f>M34/H34</f>
        <v/>
      </c>
      <c r="U34" s="2">
        <f>N34/H34</f>
        <v/>
      </c>
      <c r="V34" s="2">
        <f>O34/H34</f>
        <v/>
      </c>
      <c r="W34" s="2">
        <f>P34/H34</f>
        <v/>
      </c>
      <c r="X34" s="2">
        <f>Q34/H34</f>
        <v/>
      </c>
      <c r="Y34" s="5">
        <f>IF(R34&gt;1,"1","2")</f>
        <v/>
      </c>
      <c r="Z34" s="5">
        <f>IF(S34&gt;1,"1","2")</f>
        <v/>
      </c>
      <c r="AA34" s="5">
        <f>IF(T34&gt;1,"1","2")</f>
        <v/>
      </c>
      <c r="AB34" s="5">
        <f>IF(U34&gt;1,"1","2")</f>
        <v/>
      </c>
      <c r="AC34" s="5">
        <f>IF(V34&gt;1,"1","2")</f>
        <v/>
      </c>
      <c r="AD34" s="5">
        <f>IF(W34&gt;1,"1","2")</f>
        <v/>
      </c>
      <c r="AE34" s="5">
        <f>IF(X34&gt;1,"1","2")</f>
        <v/>
      </c>
      <c r="AF34" t="n">
        <v>-5.138843</v>
      </c>
      <c r="AG34" t="n">
        <v>119.429287</v>
      </c>
    </row>
    <row r="35" ht="14.4" customHeight="1">
      <c r="A35" s="14" t="n">
        <v>32</v>
      </c>
      <c r="B35" s="15" t="inlineStr">
        <is>
          <t>Nhf</t>
        </is>
      </c>
      <c r="C35" s="10" t="n">
        <v>10</v>
      </c>
      <c r="D35" s="10" t="n">
        <v>25</v>
      </c>
      <c r="E35" s="16" t="n">
        <v>365</v>
      </c>
      <c r="F35" s="22" t="n">
        <v>0.0003</v>
      </c>
      <c r="G35" s="10" t="n">
        <v>900</v>
      </c>
      <c r="H35" s="12" t="n">
        <v>0.001</v>
      </c>
      <c r="I35" s="18" t="n">
        <v>10950</v>
      </c>
      <c r="J35" s="20" t="n">
        <v>10</v>
      </c>
      <c r="K35" s="19">
        <f>(F35*G35*E35*J35)/(D35*I35)</f>
        <v/>
      </c>
      <c r="L35" s="2">
        <f>(F35*G35*E35*5)/(D35*I35)</f>
        <v/>
      </c>
      <c r="M35" s="2">
        <f>(F35*G35*E35*10)/(D35*I35)</f>
        <v/>
      </c>
      <c r="N35" s="2">
        <f>(F35*G35*E35*15)/(D35*I35)</f>
        <v/>
      </c>
      <c r="O35" s="2">
        <f>(F35*G35*E35*20)/(D35*I35)</f>
        <v/>
      </c>
      <c r="P35" s="2">
        <f>(F35*G35*E35*25)/(D35*I35)</f>
        <v/>
      </c>
      <c r="Q35" s="2">
        <f>(F35*G35*E35*30)/(D35*I35)</f>
        <v/>
      </c>
      <c r="R35" s="2">
        <f>K35/H35</f>
        <v/>
      </c>
      <c r="S35" s="2">
        <f>L35/H35</f>
        <v/>
      </c>
      <c r="T35" s="2">
        <f>M35/H35</f>
        <v/>
      </c>
      <c r="U35" s="2">
        <f>N35/H35</f>
        <v/>
      </c>
      <c r="V35" s="2">
        <f>O35/H35</f>
        <v/>
      </c>
      <c r="W35" s="2">
        <f>P35/H35</f>
        <v/>
      </c>
      <c r="X35" s="2">
        <f>Q35/H35</f>
        <v/>
      </c>
      <c r="Y35" s="5">
        <f>IF(R35&gt;1,"1","2")</f>
        <v/>
      </c>
      <c r="Z35" s="5">
        <f>IF(S35&gt;1,"1","2")</f>
        <v/>
      </c>
      <c r="AA35" s="5">
        <f>IF(T35&gt;1,"1","2")</f>
        <v/>
      </c>
      <c r="AB35" s="5">
        <f>IF(U35&gt;1,"1","2")</f>
        <v/>
      </c>
      <c r="AC35" s="5">
        <f>IF(V35&gt;1,"1","2")</f>
        <v/>
      </c>
      <c r="AD35" s="5">
        <f>IF(W35&gt;1,"1","2")</f>
        <v/>
      </c>
      <c r="AE35" s="5">
        <f>IF(X35&gt;1,"1","2")</f>
        <v/>
      </c>
      <c r="AF35" t="n">
        <v>-5.138052</v>
      </c>
      <c r="AG35" t="n">
        <v>119.437527</v>
      </c>
    </row>
    <row r="36" ht="14.4" customHeight="1">
      <c r="A36" s="14" t="n">
        <v>33</v>
      </c>
      <c r="B36" s="15" t="inlineStr">
        <is>
          <t>Mfk</t>
        </is>
      </c>
      <c r="C36" s="10" t="n">
        <v>10</v>
      </c>
      <c r="D36" s="10" t="n">
        <v>25</v>
      </c>
      <c r="E36" s="16" t="n">
        <v>365</v>
      </c>
      <c r="F36" s="22" t="n">
        <v>0.0003</v>
      </c>
      <c r="G36" s="10" t="n">
        <v>900</v>
      </c>
      <c r="H36" s="12" t="n">
        <v>0.001</v>
      </c>
      <c r="I36" s="18" t="n">
        <v>10950</v>
      </c>
      <c r="J36" s="20" t="n">
        <v>10</v>
      </c>
      <c r="K36" s="19">
        <f>(F36*G36*E36*J36)/(D36*I36)</f>
        <v/>
      </c>
      <c r="L36" s="2">
        <f>(F36*G36*E36*5)/(D36*I36)</f>
        <v/>
      </c>
      <c r="M36" s="2">
        <f>(F36*G36*E36*10)/(D36*I36)</f>
        <v/>
      </c>
      <c r="N36" s="2">
        <f>(F36*G36*E36*15)/(D36*I36)</f>
        <v/>
      </c>
      <c r="O36" s="2">
        <f>(F36*G36*E36*20)/(D36*I36)</f>
        <v/>
      </c>
      <c r="P36" s="2">
        <f>(F36*G36*E36*25)/(D36*I36)</f>
        <v/>
      </c>
      <c r="Q36" s="2">
        <f>(F36*G36*E36*30)/(D36*I36)</f>
        <v/>
      </c>
      <c r="R36" s="2">
        <f>K36/H36</f>
        <v/>
      </c>
      <c r="S36" s="2">
        <f>L36/H36</f>
        <v/>
      </c>
      <c r="T36" s="2">
        <f>M36/H36</f>
        <v/>
      </c>
      <c r="U36" s="2">
        <f>N36/H36</f>
        <v/>
      </c>
      <c r="V36" s="2">
        <f>O36/H36</f>
        <v/>
      </c>
      <c r="W36" s="2">
        <f>P36/H36</f>
        <v/>
      </c>
      <c r="X36" s="2">
        <f>Q36/H36</f>
        <v/>
      </c>
      <c r="Y36" s="5">
        <f>IF(R36&gt;1,"1","2")</f>
        <v/>
      </c>
      <c r="Z36" s="5">
        <f>IF(S36&gt;1,"1","2")</f>
        <v/>
      </c>
      <c r="AA36" s="5">
        <f>IF(T36&gt;1,"1","2")</f>
        <v/>
      </c>
      <c r="AB36" s="5">
        <f>IF(U36&gt;1,"1","2")</f>
        <v/>
      </c>
      <c r="AC36" s="5">
        <f>IF(V36&gt;1,"1","2")</f>
        <v/>
      </c>
      <c r="AD36" s="5">
        <f>IF(W36&gt;1,"1","2")</f>
        <v/>
      </c>
      <c r="AE36" s="5">
        <f>IF(X36&gt;1,"1","2")</f>
        <v/>
      </c>
      <c r="AF36" t="n">
        <v>-5.146852</v>
      </c>
      <c r="AG36" t="n">
        <v>119.449161</v>
      </c>
    </row>
    <row r="37" ht="14.4" customHeight="1">
      <c r="A37" s="14" t="n">
        <v>34</v>
      </c>
      <c r="B37" s="15" t="inlineStr">
        <is>
          <t>Ewi</t>
        </is>
      </c>
      <c r="C37" s="10" t="n">
        <v>10</v>
      </c>
      <c r="D37" s="10" t="n">
        <v>33</v>
      </c>
      <c r="E37" s="17" t="n">
        <v>365</v>
      </c>
      <c r="F37" s="22" t="n">
        <v>0.0003</v>
      </c>
      <c r="G37" s="10" t="n">
        <v>900</v>
      </c>
      <c r="H37" s="12" t="n">
        <v>0.001</v>
      </c>
      <c r="I37" s="18" t="n">
        <v>10950</v>
      </c>
      <c r="J37" s="20" t="n">
        <v>10</v>
      </c>
      <c r="K37" s="19">
        <f>(F37*G37*E37*J37)/(D37*I37)</f>
        <v/>
      </c>
      <c r="L37" s="2">
        <f>(F37*G37*E37*5)/(D37*I37)</f>
        <v/>
      </c>
      <c r="M37" s="2">
        <f>(F37*G37*E37*10)/(D37*I37)</f>
        <v/>
      </c>
      <c r="N37" s="2">
        <f>(F37*G37*E37*15)/(D37*I37)</f>
        <v/>
      </c>
      <c r="O37" s="2">
        <f>(F37*G37*E37*20)/(D37*I37)</f>
        <v/>
      </c>
      <c r="P37" s="2">
        <f>(F37*G37*E37*25)/(D37*I37)</f>
        <v/>
      </c>
      <c r="Q37" s="2">
        <f>(F37*G37*E37*30)/(D37*I37)</f>
        <v/>
      </c>
      <c r="R37" s="2">
        <f>K37/H37</f>
        <v/>
      </c>
      <c r="S37" s="2">
        <f>L37/H37</f>
        <v/>
      </c>
      <c r="T37" s="2">
        <f>M37/H37</f>
        <v/>
      </c>
      <c r="U37" s="2">
        <f>N37/H37</f>
        <v/>
      </c>
      <c r="V37" s="2">
        <f>O37/H37</f>
        <v/>
      </c>
      <c r="W37" s="2">
        <f>P37/H37</f>
        <v/>
      </c>
      <c r="X37" s="2">
        <f>Q37/H37</f>
        <v/>
      </c>
      <c r="Y37" s="5">
        <f>IF(R37&gt;1,"1","2")</f>
        <v/>
      </c>
      <c r="Z37" s="5">
        <f>IF(S37&gt;1,"1","2")</f>
        <v/>
      </c>
      <c r="AA37" s="5">
        <f>IF(T37&gt;1,"1","2")</f>
        <v/>
      </c>
      <c r="AB37" s="5">
        <f>IF(U37&gt;1,"1","2")</f>
        <v/>
      </c>
      <c r="AC37" s="5">
        <f>IF(V37&gt;1,"1","2")</f>
        <v/>
      </c>
      <c r="AD37" s="5">
        <f>IF(W37&gt;1,"1","2")</f>
        <v/>
      </c>
      <c r="AE37" s="5">
        <f>IF(X37&gt;1,"1","2")</f>
        <v/>
      </c>
      <c r="AF37" t="n">
        <v>-5.13272</v>
      </c>
      <c r="AG37" t="n">
        <v>119.40458</v>
      </c>
    </row>
    <row r="38" ht="14.4" customHeight="1">
      <c r="A38" s="14" t="n">
        <v>35</v>
      </c>
      <c r="B38" s="15" t="inlineStr">
        <is>
          <t>Nul</t>
        </is>
      </c>
      <c r="C38" s="10" t="n">
        <v>10</v>
      </c>
      <c r="D38" s="10" t="n">
        <v>25</v>
      </c>
      <c r="E38" s="17" t="n">
        <v>365</v>
      </c>
      <c r="F38" s="22" t="n">
        <v>0.0003</v>
      </c>
      <c r="G38" s="10" t="n">
        <v>900</v>
      </c>
      <c r="H38" s="12" t="n">
        <v>0.001</v>
      </c>
      <c r="I38" s="18" t="n">
        <v>10950</v>
      </c>
      <c r="J38" s="20" t="n">
        <v>10</v>
      </c>
      <c r="K38" s="19">
        <f>(F38*G38*E38*J38)/(D38*I38)</f>
        <v/>
      </c>
      <c r="L38" s="2">
        <f>(F38*G38*E38*5)/(D38*I38)</f>
        <v/>
      </c>
      <c r="M38" s="2">
        <f>(F38*G38*E38*10)/(D38*I38)</f>
        <v/>
      </c>
      <c r="N38" s="2">
        <f>(F38*G38*E38*15)/(D38*I38)</f>
        <v/>
      </c>
      <c r="O38" s="2">
        <f>(F38*G38*E38*20)/(D38*I38)</f>
        <v/>
      </c>
      <c r="P38" s="2">
        <f>(F38*G38*E38*25)/(D38*I38)</f>
        <v/>
      </c>
      <c r="Q38" s="2">
        <f>(F38*G38*E38*30)/(D38*I38)</f>
        <v/>
      </c>
      <c r="R38" s="2">
        <f>K38/H38</f>
        <v/>
      </c>
      <c r="S38" s="2">
        <f>L38/H38</f>
        <v/>
      </c>
      <c r="T38" s="2">
        <f>M38/H38</f>
        <v/>
      </c>
      <c r="U38" s="2">
        <f>N38/H38</f>
        <v/>
      </c>
      <c r="V38" s="2">
        <f>O38/H38</f>
        <v/>
      </c>
      <c r="W38" s="2">
        <f>P38/H38</f>
        <v/>
      </c>
      <c r="X38" s="2">
        <f>Q38/H38</f>
        <v/>
      </c>
      <c r="Y38" s="5">
        <f>IF(R38&gt;1,"1","2")</f>
        <v/>
      </c>
      <c r="Z38" s="5">
        <f>IF(S38&gt;1,"1","2")</f>
        <v/>
      </c>
      <c r="AA38" s="5">
        <f>IF(T38&gt;1,"1","2")</f>
        <v/>
      </c>
      <c r="AB38" s="5">
        <f>IF(U38&gt;1,"1","2")</f>
        <v/>
      </c>
      <c r="AC38" s="5">
        <f>IF(V38&gt;1,"1","2")</f>
        <v/>
      </c>
      <c r="AD38" s="5">
        <f>IF(W38&gt;1,"1","2")</f>
        <v/>
      </c>
      <c r="AE38" s="5">
        <f>IF(X38&gt;1,"1","2")</f>
        <v/>
      </c>
      <c r="AF38" t="n">
        <v>-5.134421</v>
      </c>
      <c r="AG38" t="n">
        <v>119.421451</v>
      </c>
    </row>
    <row r="39" ht="14.4" customHeight="1">
      <c r="A39" s="14" t="n">
        <v>36</v>
      </c>
      <c r="B39" s="15" t="inlineStr">
        <is>
          <t>Naq</t>
        </is>
      </c>
      <c r="C39" s="10" t="n">
        <v>10</v>
      </c>
      <c r="D39" s="10" t="n">
        <v>24</v>
      </c>
      <c r="E39" s="17" t="n">
        <v>365</v>
      </c>
      <c r="F39" s="22" t="n">
        <v>0.0003</v>
      </c>
      <c r="G39" s="10" t="n">
        <v>900</v>
      </c>
      <c r="H39" s="12" t="n">
        <v>0.001</v>
      </c>
      <c r="I39" s="18" t="n">
        <v>10950</v>
      </c>
      <c r="J39" s="20" t="n">
        <v>1</v>
      </c>
      <c r="K39" s="19">
        <f>(F39*G39*E39*J39)/(D39*I39)</f>
        <v/>
      </c>
      <c r="L39" s="2">
        <f>(F39*G39*E39*5)/(D39*I39)</f>
        <v/>
      </c>
      <c r="M39" s="2">
        <f>(F39*G39*E39*10)/(D39*I39)</f>
        <v/>
      </c>
      <c r="N39" s="2">
        <f>(F39*G39*E39*15)/(D39*I39)</f>
        <v/>
      </c>
      <c r="O39" s="2">
        <f>(F39*G39*E39*20)/(D39*I39)</f>
        <v/>
      </c>
      <c r="P39" s="2">
        <f>(F39*G39*E39*25)/(D39*I39)</f>
        <v/>
      </c>
      <c r="Q39" s="2">
        <f>(F39*G39*E39*30)/(D39*I39)</f>
        <v/>
      </c>
      <c r="R39" s="2">
        <f>K39/H39</f>
        <v/>
      </c>
      <c r="S39" s="2">
        <f>L39/H39</f>
        <v/>
      </c>
      <c r="T39" s="2">
        <f>M39/H39</f>
        <v/>
      </c>
      <c r="U39" s="2">
        <f>N39/H39</f>
        <v/>
      </c>
      <c r="V39" s="2">
        <f>O39/H39</f>
        <v/>
      </c>
      <c r="W39" s="2">
        <f>P39/H39</f>
        <v/>
      </c>
      <c r="X39" s="2">
        <f>Q39/H39</f>
        <v/>
      </c>
      <c r="Y39" s="5">
        <f>IF(R39&gt;1,"1","2")</f>
        <v/>
      </c>
      <c r="Z39" s="5">
        <f>IF(S39&gt;1,"1","2")</f>
        <v/>
      </c>
      <c r="AA39" s="5">
        <f>IF(T39&gt;1,"1","2")</f>
        <v/>
      </c>
      <c r="AB39" s="5">
        <f>IF(U39&gt;1,"1","2")</f>
        <v/>
      </c>
      <c r="AC39" s="5">
        <f>IF(V39&gt;1,"1","2")</f>
        <v/>
      </c>
      <c r="AD39" s="5">
        <f>IF(W39&gt;1,"1","2")</f>
        <v/>
      </c>
      <c r="AE39" s="5">
        <f>IF(X39&gt;1,"1","2")</f>
        <v/>
      </c>
      <c r="AF39" t="n">
        <v>-5.151606</v>
      </c>
      <c r="AG39" t="n">
        <v>119.41927</v>
      </c>
    </row>
    <row r="40" ht="14.4" customHeight="1">
      <c r="A40" s="14" t="n">
        <v>37</v>
      </c>
      <c r="B40" s="15" t="inlineStr">
        <is>
          <t>Frd</t>
        </is>
      </c>
      <c r="C40" s="10" t="n">
        <v>10</v>
      </c>
      <c r="D40" s="10" t="n">
        <v>20</v>
      </c>
      <c r="E40" s="17" t="n">
        <v>365</v>
      </c>
      <c r="F40" s="22" t="n">
        <v>0.0003</v>
      </c>
      <c r="G40" s="10" t="n">
        <v>900</v>
      </c>
      <c r="H40" s="12" t="n">
        <v>0.001</v>
      </c>
      <c r="I40" s="18" t="n">
        <v>10950</v>
      </c>
      <c r="J40" s="20" t="n">
        <v>10</v>
      </c>
      <c r="K40" s="19">
        <f>(F40*G40*E40*J40)/(D40*I40)</f>
        <v/>
      </c>
      <c r="L40" s="2">
        <f>(F40*G40*E40*5)/(D40*I40)</f>
        <v/>
      </c>
      <c r="M40" s="2">
        <f>(F40*G40*E40*10)/(D40*I40)</f>
        <v/>
      </c>
      <c r="N40" s="2">
        <f>(F40*G40*E40*15)/(D40*I40)</f>
        <v/>
      </c>
      <c r="O40" s="2">
        <f>(F40*G40*E40*20)/(D40*I40)</f>
        <v/>
      </c>
      <c r="P40" s="2">
        <f>(F40*G40*E40*25)/(D40*I40)</f>
        <v/>
      </c>
      <c r="Q40" s="2">
        <f>(F40*G40*E40*30)/(D40*I40)</f>
        <v/>
      </c>
      <c r="R40" s="2">
        <f>K40/H40</f>
        <v/>
      </c>
      <c r="S40" s="2">
        <f>L40/H40</f>
        <v/>
      </c>
      <c r="T40" s="2">
        <f>M40/H40</f>
        <v/>
      </c>
      <c r="U40" s="2">
        <f>N40/H40</f>
        <v/>
      </c>
      <c r="V40" s="2">
        <f>O40/H40</f>
        <v/>
      </c>
      <c r="W40" s="2">
        <f>P40/H40</f>
        <v/>
      </c>
      <c r="X40" s="2">
        <f>Q40/H40</f>
        <v/>
      </c>
      <c r="Y40" s="5">
        <f>IF(R40&gt;1,"1","2")</f>
        <v/>
      </c>
      <c r="Z40" s="5">
        <f>IF(S40&gt;1,"1","2")</f>
        <v/>
      </c>
      <c r="AA40" s="5">
        <f>IF(T40&gt;1,"1","2")</f>
        <v/>
      </c>
      <c r="AB40" s="5">
        <f>IF(U40&gt;1,"1","2")</f>
        <v/>
      </c>
      <c r="AC40" s="5">
        <f>IF(V40&gt;1,"1","2")</f>
        <v/>
      </c>
      <c r="AD40" s="5">
        <f>IF(W40&gt;1,"1","2")</f>
        <v/>
      </c>
      <c r="AE40" s="5">
        <f>IF(X40&gt;1,"1","2")</f>
        <v/>
      </c>
      <c r="AF40" t="n">
        <v>-5.141656</v>
      </c>
      <c r="AG40" t="n">
        <v>119.443893</v>
      </c>
    </row>
    <row r="41" ht="14.4" customHeight="1">
      <c r="A41" s="14" t="n">
        <v>38</v>
      </c>
      <c r="B41" s="15" t="inlineStr">
        <is>
          <t>Ark</t>
        </is>
      </c>
      <c r="C41" s="10" t="n">
        <v>10</v>
      </c>
      <c r="D41" s="10" t="n">
        <v>25</v>
      </c>
      <c r="E41" s="17" t="n">
        <v>365</v>
      </c>
      <c r="F41" s="22" t="n">
        <v>0.0003</v>
      </c>
      <c r="G41" s="10" t="n">
        <v>900</v>
      </c>
      <c r="H41" s="12" t="n">
        <v>0.001</v>
      </c>
      <c r="I41" s="18" t="n">
        <v>10950</v>
      </c>
      <c r="J41" s="20" t="n">
        <v>10</v>
      </c>
      <c r="K41" s="19">
        <f>(F41*G41*E41*J41)/(D41*I41)</f>
        <v/>
      </c>
      <c r="L41" s="2">
        <f>(F41*G41*E41*5)/(D41*I41)</f>
        <v/>
      </c>
      <c r="M41" s="2">
        <f>(F41*G41*E41*10)/(D41*I41)</f>
        <v/>
      </c>
      <c r="N41" s="2">
        <f>(F41*G41*E41*15)/(D41*I41)</f>
        <v/>
      </c>
      <c r="O41" s="2">
        <f>(F41*G41*E41*20)/(D41*I41)</f>
        <v/>
      </c>
      <c r="P41" s="2">
        <f>(F41*G41*E41*25)/(D41*I41)</f>
        <v/>
      </c>
      <c r="Q41" s="2">
        <f>(F41*G41*E41*30)/(D41*I41)</f>
        <v/>
      </c>
      <c r="R41" s="2">
        <f>K41/H41</f>
        <v/>
      </c>
      <c r="S41" s="2">
        <f>L41/H41</f>
        <v/>
      </c>
      <c r="T41" s="2">
        <f>M41/H41</f>
        <v/>
      </c>
      <c r="U41" s="2">
        <f>N41/H41</f>
        <v/>
      </c>
      <c r="V41" s="2">
        <f>O41/H41</f>
        <v/>
      </c>
      <c r="W41" s="2">
        <f>P41/H41</f>
        <v/>
      </c>
      <c r="X41" s="2">
        <f>Q41/H41</f>
        <v/>
      </c>
      <c r="Y41" s="5">
        <f>IF(R41&gt;1,"1","2")</f>
        <v/>
      </c>
      <c r="Z41" s="5">
        <f>IF(S41&gt;1,"1","2")</f>
        <v/>
      </c>
      <c r="AA41" s="5">
        <f>IF(T41&gt;1,"1","2")</f>
        <v/>
      </c>
      <c r="AB41" s="5">
        <f>IF(U41&gt;1,"1","2")</f>
        <v/>
      </c>
      <c r="AC41" s="5">
        <f>IF(V41&gt;1,"1","2")</f>
        <v/>
      </c>
      <c r="AD41" s="5">
        <f>IF(W41&gt;1,"1","2")</f>
        <v/>
      </c>
      <c r="AE41" s="5">
        <f>IF(X41&gt;1,"1","2")</f>
        <v/>
      </c>
      <c r="AF41" t="n">
        <v>-5.144759</v>
      </c>
      <c r="AG41" t="n">
        <v>119.411536</v>
      </c>
    </row>
    <row r="42" ht="14.4" customHeight="1">
      <c r="A42" s="14" t="n">
        <v>39</v>
      </c>
      <c r="B42" s="15" t="inlineStr">
        <is>
          <t>Dah</t>
        </is>
      </c>
      <c r="C42" s="10" t="n">
        <v>10</v>
      </c>
      <c r="D42" s="10" t="n">
        <v>30</v>
      </c>
      <c r="E42" s="17" t="n">
        <v>365</v>
      </c>
      <c r="F42" s="22" t="n">
        <v>0.0003</v>
      </c>
      <c r="G42" s="10" t="n">
        <v>900</v>
      </c>
      <c r="H42" s="12" t="n">
        <v>0.001</v>
      </c>
      <c r="I42" s="18" t="n">
        <v>10950</v>
      </c>
      <c r="J42" s="20" t="n">
        <v>10</v>
      </c>
      <c r="K42" s="19">
        <f>(F42*G42*E42*J42)/(D42*I42)</f>
        <v/>
      </c>
      <c r="L42" s="2">
        <f>(F42*G42*E42*5)/(D42*I42)</f>
        <v/>
      </c>
      <c r="M42" s="2">
        <f>(F42*G42*E42*10)/(D42*I42)</f>
        <v/>
      </c>
      <c r="N42" s="2">
        <f>(F42*G42*E42*15)/(D42*I42)</f>
        <v/>
      </c>
      <c r="O42" s="2">
        <f>(F42*G42*E42*20)/(D42*I42)</f>
        <v/>
      </c>
      <c r="P42" s="2">
        <f>(F42*G42*E42*25)/(D42*I42)</f>
        <v/>
      </c>
      <c r="Q42" s="2">
        <f>(F42*G42*E42*30)/(D42*I42)</f>
        <v/>
      </c>
      <c r="R42" s="2">
        <f>K42/H42</f>
        <v/>
      </c>
      <c r="S42" s="2">
        <f>L42/H42</f>
        <v/>
      </c>
      <c r="T42" s="2">
        <f>M42/H42</f>
        <v/>
      </c>
      <c r="U42" s="2">
        <f>N42/H42</f>
        <v/>
      </c>
      <c r="V42" s="2">
        <f>O42/H42</f>
        <v/>
      </c>
      <c r="W42" s="2">
        <f>P42/H42</f>
        <v/>
      </c>
      <c r="X42" s="2">
        <f>Q42/H42</f>
        <v/>
      </c>
      <c r="Y42" s="5">
        <f>IF(R42&gt;1,"1","2")</f>
        <v/>
      </c>
      <c r="Z42" s="5">
        <f>IF(S42&gt;1,"1","2")</f>
        <v/>
      </c>
      <c r="AA42" s="5">
        <f>IF(T42&gt;1,"1","2")</f>
        <v/>
      </c>
      <c r="AB42" s="5">
        <f>IF(U42&gt;1,"1","2")</f>
        <v/>
      </c>
      <c r="AC42" s="5">
        <f>IF(V42&gt;1,"1","2")</f>
        <v/>
      </c>
      <c r="AD42" s="5">
        <f>IF(W42&gt;1,"1","2")</f>
        <v/>
      </c>
      <c r="AE42" s="5">
        <f>IF(X42&gt;1,"1","2")</f>
        <v/>
      </c>
      <c r="AF42" t="n">
        <v>-5.134423</v>
      </c>
      <c r="AG42" t="n">
        <v>119.401251</v>
      </c>
    </row>
    <row r="43" ht="14.4" customHeight="1">
      <c r="A43" s="14" t="n">
        <v>40</v>
      </c>
      <c r="B43" s="15" t="inlineStr">
        <is>
          <t>Wah</t>
        </is>
      </c>
      <c r="C43" s="10" t="n">
        <v>10</v>
      </c>
      <c r="D43" s="10" t="n">
        <v>25</v>
      </c>
      <c r="E43" s="17" t="n">
        <v>365</v>
      </c>
      <c r="F43" s="22" t="n">
        <v>0.0003</v>
      </c>
      <c r="G43" s="10" t="n">
        <v>900</v>
      </c>
      <c r="H43" s="12" t="n">
        <v>0.001</v>
      </c>
      <c r="I43" s="18" t="n">
        <v>10950</v>
      </c>
      <c r="J43" s="20" t="n">
        <v>10</v>
      </c>
      <c r="K43" s="19">
        <f>(F43*G43*E43*J43)/(D43*I43)</f>
        <v/>
      </c>
      <c r="L43" s="2">
        <f>(F43*G43*E43*5)/(D43*I43)</f>
        <v/>
      </c>
      <c r="M43" s="2">
        <f>(F43*G43*E43*10)/(D43*I43)</f>
        <v/>
      </c>
      <c r="N43" s="2">
        <f>(F43*G43*E43*15)/(D43*I43)</f>
        <v/>
      </c>
      <c r="O43" s="2">
        <f>(F43*G43*E43*20)/(D43*I43)</f>
        <v/>
      </c>
      <c r="P43" s="2">
        <f>(F43*G43*E43*25)/(D43*I43)</f>
        <v/>
      </c>
      <c r="Q43" s="2">
        <f>(F43*G43*E43*30)/(D43*I43)</f>
        <v/>
      </c>
      <c r="R43" s="2">
        <f>K43/H43</f>
        <v/>
      </c>
      <c r="S43" s="2">
        <f>L43/H43</f>
        <v/>
      </c>
      <c r="T43" s="2">
        <f>M43/H43</f>
        <v/>
      </c>
      <c r="U43" s="2">
        <f>N43/H43</f>
        <v/>
      </c>
      <c r="V43" s="2">
        <f>O43/H43</f>
        <v/>
      </c>
      <c r="W43" s="2">
        <f>P43/H43</f>
        <v/>
      </c>
      <c r="X43" s="2">
        <f>Q43/H43</f>
        <v/>
      </c>
      <c r="Y43" s="5">
        <f>IF(R43&gt;1,"1","2")</f>
        <v/>
      </c>
      <c r="Z43" s="5">
        <f>IF(S43&gt;1,"1","2")</f>
        <v/>
      </c>
      <c r="AA43" s="5">
        <f>IF(T43&gt;1,"1","2")</f>
        <v/>
      </c>
      <c r="AB43" s="5">
        <f>IF(U43&gt;1,"1","2")</f>
        <v/>
      </c>
      <c r="AC43" s="5">
        <f>IF(V43&gt;1,"1","2")</f>
        <v/>
      </c>
      <c r="AD43" s="5">
        <f>IF(W43&gt;1,"1","2")</f>
        <v/>
      </c>
      <c r="AE43" s="5">
        <f>IF(X43&gt;1,"1","2")</f>
        <v/>
      </c>
      <c r="AF43" t="n">
        <v>-5.158458</v>
      </c>
      <c r="AG43" t="n">
        <v>119.434811</v>
      </c>
    </row>
    <row r="44" ht="14.4" customHeight="1">
      <c r="A44" s="14" t="n">
        <v>41</v>
      </c>
      <c r="B44" s="15" t="inlineStr">
        <is>
          <t>Roh</t>
        </is>
      </c>
      <c r="C44" s="10" t="n">
        <v>10</v>
      </c>
      <c r="D44" s="10" t="n">
        <v>37</v>
      </c>
      <c r="E44" s="17" t="n">
        <v>365</v>
      </c>
      <c r="F44" s="22" t="n">
        <v>0.0003</v>
      </c>
      <c r="G44" s="10" t="n">
        <v>900</v>
      </c>
      <c r="H44" s="12" t="n">
        <v>0.001</v>
      </c>
      <c r="I44" s="18" t="n">
        <v>10950</v>
      </c>
      <c r="J44" s="20" t="n">
        <v>10</v>
      </c>
      <c r="K44" s="19">
        <f>(F44*G44*E44*J44)/(D44*I44)</f>
        <v/>
      </c>
      <c r="L44" s="2">
        <f>(F44*G44*E44*5)/(D44*I44)</f>
        <v/>
      </c>
      <c r="M44" s="2">
        <f>(F44*G44*E44*10)/(D44*I44)</f>
        <v/>
      </c>
      <c r="N44" s="2">
        <f>(F44*G44*E44*15)/(D44*I44)</f>
        <v/>
      </c>
      <c r="O44" s="2">
        <f>(F44*G44*E44*20)/(D44*I44)</f>
        <v/>
      </c>
      <c r="P44" s="2">
        <f>(F44*G44*E44*25)/(D44*I44)</f>
        <v/>
      </c>
      <c r="Q44" s="2">
        <f>(F44*G44*E44*30)/(D44*I44)</f>
        <v/>
      </c>
      <c r="R44" s="2">
        <f>K44/H44</f>
        <v/>
      </c>
      <c r="S44" s="2">
        <f>L44/H44</f>
        <v/>
      </c>
      <c r="T44" s="2">
        <f>M44/H44</f>
        <v/>
      </c>
      <c r="U44" s="2">
        <f>N44/H44</f>
        <v/>
      </c>
      <c r="V44" s="2">
        <f>O44/H44</f>
        <v/>
      </c>
      <c r="W44" s="2">
        <f>P44/H44</f>
        <v/>
      </c>
      <c r="X44" s="2">
        <f>Q44/H44</f>
        <v/>
      </c>
      <c r="Y44" s="5">
        <f>IF(R44&gt;1,"1","2")</f>
        <v/>
      </c>
      <c r="Z44" s="5">
        <f>IF(S44&gt;1,"1","2")</f>
        <v/>
      </c>
      <c r="AA44" s="5">
        <f>IF(T44&gt;1,"1","2")</f>
        <v/>
      </c>
      <c r="AB44" s="5">
        <f>IF(U44&gt;1,"1","2")</f>
        <v/>
      </c>
      <c r="AC44" s="5">
        <f>IF(V44&gt;1,"1","2")</f>
        <v/>
      </c>
      <c r="AD44" s="5">
        <f>IF(W44&gt;1,"1","2")</f>
        <v/>
      </c>
      <c r="AE44" s="5">
        <f>IF(X44&gt;1,"1","2")</f>
        <v/>
      </c>
      <c r="AF44" t="n">
        <v>-5.143659</v>
      </c>
      <c r="AG44" t="n">
        <v>119.427099</v>
      </c>
    </row>
    <row r="45" ht="14.4" customHeight="1">
      <c r="A45" s="14" t="n">
        <v>42</v>
      </c>
      <c r="B45" s="15" t="inlineStr">
        <is>
          <t>Nur</t>
        </is>
      </c>
      <c r="C45" s="10" t="n">
        <v>10</v>
      </c>
      <c r="D45" s="10" t="n">
        <v>22</v>
      </c>
      <c r="E45" s="17" t="n">
        <v>365</v>
      </c>
      <c r="F45" s="22" t="n">
        <v>0.0003</v>
      </c>
      <c r="G45" s="10" t="n">
        <v>900</v>
      </c>
      <c r="H45" s="12" t="n">
        <v>0.001</v>
      </c>
      <c r="I45" s="18" t="n">
        <v>10950</v>
      </c>
      <c r="J45" s="20" t="n">
        <v>10</v>
      </c>
      <c r="K45" s="19">
        <f>(F45*G45*E45*J45)/(D45*I45)</f>
        <v/>
      </c>
      <c r="L45" s="2">
        <f>(F45*G45*E45*5)/(D45*I45)</f>
        <v/>
      </c>
      <c r="M45" s="2">
        <f>(F45*G45*E45*10)/(D45*I45)</f>
        <v/>
      </c>
      <c r="N45" s="2">
        <f>(F45*G45*E45*15)/(D45*I45)</f>
        <v/>
      </c>
      <c r="O45" s="2">
        <f>(F45*G45*E45*20)/(D45*I45)</f>
        <v/>
      </c>
      <c r="P45" s="2">
        <f>(F45*G45*E45*25)/(D45*I45)</f>
        <v/>
      </c>
      <c r="Q45" s="2">
        <f>(F45*G45*E45*30)/(D45*I45)</f>
        <v/>
      </c>
      <c r="R45" s="2">
        <f>K45/H45</f>
        <v/>
      </c>
      <c r="S45" s="2">
        <f>L45/H45</f>
        <v/>
      </c>
      <c r="T45" s="2">
        <f>M45/H45</f>
        <v/>
      </c>
      <c r="U45" s="2">
        <f>N45/H45</f>
        <v/>
      </c>
      <c r="V45" s="2">
        <f>O45/H45</f>
        <v/>
      </c>
      <c r="W45" s="2">
        <f>P45/H45</f>
        <v/>
      </c>
      <c r="X45" s="2">
        <f>Q45/H45</f>
        <v/>
      </c>
      <c r="Y45" s="5">
        <f>IF(R45&gt;1,"1","2")</f>
        <v/>
      </c>
      <c r="Z45" s="5">
        <f>IF(S45&gt;1,"1","2")</f>
        <v/>
      </c>
      <c r="AA45" s="5">
        <f>IF(T45&gt;1,"1","2")</f>
        <v/>
      </c>
      <c r="AB45" s="5">
        <f>IF(U45&gt;1,"1","2")</f>
        <v/>
      </c>
      <c r="AC45" s="5">
        <f>IF(V45&gt;1,"1","2")</f>
        <v/>
      </c>
      <c r="AD45" s="5">
        <f>IF(W45&gt;1,"1","2")</f>
        <v/>
      </c>
      <c r="AE45" s="5">
        <f>IF(X45&gt;1,"1","2")</f>
        <v/>
      </c>
      <c r="AF45" t="n">
        <v>-5.149125</v>
      </c>
      <c r="AG45" t="n">
        <v>119.424401</v>
      </c>
    </row>
    <row r="46" ht="14.4" customHeight="1">
      <c r="A46" s="14" t="n">
        <v>43</v>
      </c>
      <c r="B46" s="15" t="inlineStr">
        <is>
          <t>Ars</t>
        </is>
      </c>
      <c r="C46" s="10" t="n">
        <v>10</v>
      </c>
      <c r="D46" s="10" t="n">
        <v>20</v>
      </c>
      <c r="E46" s="17" t="n">
        <v>365</v>
      </c>
      <c r="F46" s="22" t="n">
        <v>0.0003</v>
      </c>
      <c r="G46" s="10" t="n">
        <v>900</v>
      </c>
      <c r="H46" s="12" t="n">
        <v>0.001</v>
      </c>
      <c r="I46" s="18" t="n">
        <v>10950</v>
      </c>
      <c r="J46" s="20" t="n">
        <v>6</v>
      </c>
      <c r="K46" s="19">
        <f>(F46*G46*E46*J46)/(D46*I46)</f>
        <v/>
      </c>
      <c r="L46" s="2">
        <f>(F46*G46*E46*5)/(D46*I46)</f>
        <v/>
      </c>
      <c r="M46" s="2">
        <f>(F46*G46*E46*10)/(D46*I46)</f>
        <v/>
      </c>
      <c r="N46" s="2">
        <f>(F46*G46*E46*15)/(D46*I46)</f>
        <v/>
      </c>
      <c r="O46" s="2">
        <f>(F46*G46*E46*20)/(D46*I46)</f>
        <v/>
      </c>
      <c r="P46" s="2">
        <f>(F46*G46*E46*25)/(D46*I46)</f>
        <v/>
      </c>
      <c r="Q46" s="2">
        <f>(F46*G46*E46*30)/(D46*I46)</f>
        <v/>
      </c>
      <c r="R46" s="2">
        <f>K46/H46</f>
        <v/>
      </c>
      <c r="S46" s="2">
        <f>L46/H46</f>
        <v/>
      </c>
      <c r="T46" s="2">
        <f>M46/H46</f>
        <v/>
      </c>
      <c r="U46" s="2">
        <f>N46/H46</f>
        <v/>
      </c>
      <c r="V46" s="2">
        <f>O46/H46</f>
        <v/>
      </c>
      <c r="W46" s="2">
        <f>P46/H46</f>
        <v/>
      </c>
      <c r="X46" s="2">
        <f>Q46/H46</f>
        <v/>
      </c>
      <c r="Y46" s="5">
        <f>IF(R46&gt;1,"1","2")</f>
        <v/>
      </c>
      <c r="Z46" s="5">
        <f>IF(S46&gt;1,"1","2")</f>
        <v/>
      </c>
      <c r="AA46" s="5">
        <f>IF(T46&gt;1,"1","2")</f>
        <v/>
      </c>
      <c r="AB46" s="5">
        <f>IF(U46&gt;1,"1","2")</f>
        <v/>
      </c>
      <c r="AC46" s="5">
        <f>IF(V46&gt;1,"1","2")</f>
        <v/>
      </c>
      <c r="AD46" s="5">
        <f>IF(W46&gt;1,"1","2")</f>
        <v/>
      </c>
      <c r="AE46" s="5">
        <f>IF(X46&gt;1,"1","2")</f>
        <v/>
      </c>
      <c r="AF46" t="n">
        <v>-5.124469</v>
      </c>
      <c r="AG46" t="n">
        <v>119.42</v>
      </c>
    </row>
    <row r="47" ht="14.4" customHeight="1">
      <c r="A47" s="14" t="n">
        <v>44</v>
      </c>
      <c r="B47" s="15" t="inlineStr">
        <is>
          <t>Ani</t>
        </is>
      </c>
      <c r="C47" s="10" t="n">
        <v>10</v>
      </c>
      <c r="D47" s="10" t="n">
        <v>25</v>
      </c>
      <c r="E47" s="17" t="n">
        <v>365</v>
      </c>
      <c r="F47" s="22" t="n">
        <v>0.0003</v>
      </c>
      <c r="G47" s="10" t="n">
        <v>1500</v>
      </c>
      <c r="H47" s="12" t="n">
        <v>0.001</v>
      </c>
      <c r="I47" s="18" t="n">
        <v>10950</v>
      </c>
      <c r="J47" s="20" t="n">
        <v>6</v>
      </c>
      <c r="K47" s="19">
        <f>(F47*G47*E47*J47)/(D47*I47)</f>
        <v/>
      </c>
      <c r="L47" s="2">
        <f>(F47*G47*E47*5)/(D47*I47)</f>
        <v/>
      </c>
      <c r="M47" s="2">
        <f>(F47*G47*E47*10)/(D47*I47)</f>
        <v/>
      </c>
      <c r="N47" s="2">
        <f>(F47*G47*E47*15)/(D47*I47)</f>
        <v/>
      </c>
      <c r="O47" s="2">
        <f>(F47*G47*E47*20)/(D47*I47)</f>
        <v/>
      </c>
      <c r="P47" s="2">
        <f>(F47*G47*E47*25)/(D47*I47)</f>
        <v/>
      </c>
      <c r="Q47" s="2">
        <f>(F47*G47*E47*30)/(D47*I47)</f>
        <v/>
      </c>
      <c r="R47" s="2">
        <f>K47/H47</f>
        <v/>
      </c>
      <c r="S47" s="2">
        <f>L47/H47</f>
        <v/>
      </c>
      <c r="T47" s="2">
        <f>M47/H47</f>
        <v/>
      </c>
      <c r="U47" s="2">
        <f>N47/H47</f>
        <v/>
      </c>
      <c r="V47" s="2">
        <f>O47/H47</f>
        <v/>
      </c>
      <c r="W47" s="2">
        <f>P47/H47</f>
        <v/>
      </c>
      <c r="X47" s="2">
        <f>Q47/H47</f>
        <v/>
      </c>
      <c r="Y47" s="5">
        <f>IF(R47&gt;1,"1","2")</f>
        <v/>
      </c>
      <c r="Z47" s="5">
        <f>IF(S47&gt;1,"1","2")</f>
        <v/>
      </c>
      <c r="AA47" s="5">
        <f>IF(T47&gt;1,"1","2")</f>
        <v/>
      </c>
      <c r="AB47" s="5">
        <f>IF(U47&gt;1,"1","2")</f>
        <v/>
      </c>
      <c r="AC47" s="5">
        <f>IF(V47&gt;1,"1","2")</f>
        <v/>
      </c>
      <c r="AD47" s="5">
        <f>IF(W47&gt;1,"1","2")</f>
        <v/>
      </c>
      <c r="AE47" s="5">
        <f>IF(X47&gt;1,"1","2")</f>
        <v/>
      </c>
      <c r="AF47" t="n">
        <v>-5.145926</v>
      </c>
      <c r="AG47" t="n">
        <v>119.421509</v>
      </c>
    </row>
    <row r="48" ht="14.4" customHeight="1">
      <c r="A48" s="14" t="n">
        <v>45</v>
      </c>
      <c r="B48" s="15" t="inlineStr">
        <is>
          <t>Aff</t>
        </is>
      </c>
      <c r="C48" s="10" t="n">
        <v>10</v>
      </c>
      <c r="D48" s="10" t="n">
        <v>49</v>
      </c>
      <c r="E48" s="17" t="n">
        <v>365</v>
      </c>
      <c r="F48" s="22" t="n">
        <v>0.0003</v>
      </c>
      <c r="G48" s="10" t="n">
        <v>2100</v>
      </c>
      <c r="H48" s="12" t="n">
        <v>0.001</v>
      </c>
      <c r="I48" s="18" t="n">
        <v>10950</v>
      </c>
      <c r="J48" s="20" t="n">
        <v>2</v>
      </c>
      <c r="K48" s="19">
        <f>(F48*G48*E48*J48)/(D48*I48)</f>
        <v/>
      </c>
      <c r="L48" s="2">
        <f>(F48*G48*E48*5)/(D48*I48)</f>
        <v/>
      </c>
      <c r="M48" s="2">
        <f>(F48*G48*E48*10)/(D48*I48)</f>
        <v/>
      </c>
      <c r="N48" s="2">
        <f>(F48*G48*E48*15)/(D48*I48)</f>
        <v/>
      </c>
      <c r="O48" s="2">
        <f>(F48*G48*E48*20)/(D48*I48)</f>
        <v/>
      </c>
      <c r="P48" s="2">
        <f>(F48*G48*E48*25)/(D48*I48)</f>
        <v/>
      </c>
      <c r="Q48" s="2">
        <f>(F48*G48*E48*30)/(D48*I48)</f>
        <v/>
      </c>
      <c r="R48" s="2">
        <f>K48/H48</f>
        <v/>
      </c>
      <c r="S48" s="2">
        <f>L48/H48</f>
        <v/>
      </c>
      <c r="T48" s="2">
        <f>M48/H48</f>
        <v/>
      </c>
      <c r="U48" s="2">
        <f>N48/H48</f>
        <v/>
      </c>
      <c r="V48" s="2">
        <f>O48/H48</f>
        <v/>
      </c>
      <c r="W48" s="2">
        <f>P48/H48</f>
        <v/>
      </c>
      <c r="X48" s="2">
        <f>Q48/H48</f>
        <v/>
      </c>
      <c r="Y48" s="5">
        <f>IF(R48&gt;1,"1","2")</f>
        <v/>
      </c>
      <c r="Z48" s="5">
        <f>IF(S48&gt;1,"1","2")</f>
        <v/>
      </c>
      <c r="AA48" s="5">
        <f>IF(T48&gt;1,"1","2")</f>
        <v/>
      </c>
      <c r="AB48" s="5">
        <f>IF(U48&gt;1,"1","2")</f>
        <v/>
      </c>
      <c r="AC48" s="5">
        <f>IF(V48&gt;1,"1","2")</f>
        <v/>
      </c>
      <c r="AD48" s="5">
        <f>IF(W48&gt;1,"1","2")</f>
        <v/>
      </c>
      <c r="AE48" s="5">
        <f>IF(X48&gt;1,"1","2")</f>
        <v/>
      </c>
      <c r="AF48" t="n">
        <v>-5.138074</v>
      </c>
      <c r="AG48" t="n">
        <v>119.406595</v>
      </c>
    </row>
    <row r="49" ht="14.4" customHeight="1">
      <c r="A49" s="14" t="n">
        <v>46</v>
      </c>
      <c r="B49" s="15" t="inlineStr">
        <is>
          <t>IWg</t>
        </is>
      </c>
      <c r="C49" s="10" t="n">
        <v>10</v>
      </c>
      <c r="D49" s="10" t="n">
        <v>25</v>
      </c>
      <c r="E49" s="17" t="n">
        <v>365</v>
      </c>
      <c r="F49" s="22" t="n">
        <v>0.0003</v>
      </c>
      <c r="G49" s="10" t="n">
        <v>900</v>
      </c>
      <c r="H49" s="12" t="n">
        <v>0.001</v>
      </c>
      <c r="I49" s="18" t="n">
        <v>10950</v>
      </c>
      <c r="J49" s="20" t="n">
        <v>10</v>
      </c>
      <c r="K49" s="19">
        <f>(F49*G49*E49*J49)/(D49*I49)</f>
        <v/>
      </c>
      <c r="L49" s="2">
        <f>(F49*G49*E49*5)/(D49*I49)</f>
        <v/>
      </c>
      <c r="M49" s="2">
        <f>(F49*G49*E49*10)/(D49*I49)</f>
        <v/>
      </c>
      <c r="N49" s="2">
        <f>(F49*G49*E49*15)/(D49*I49)</f>
        <v/>
      </c>
      <c r="O49" s="2">
        <f>(F49*G49*E49*20)/(D49*I49)</f>
        <v/>
      </c>
      <c r="P49" s="2">
        <f>(F49*G49*E49*25)/(D49*I49)</f>
        <v/>
      </c>
      <c r="Q49" s="2">
        <f>(F49*G49*E49*30)/(D49*I49)</f>
        <v/>
      </c>
      <c r="R49" s="2">
        <f>K49/H49</f>
        <v/>
      </c>
      <c r="S49" s="2">
        <f>L49/H49</f>
        <v/>
      </c>
      <c r="T49" s="2">
        <f>M49/H49</f>
        <v/>
      </c>
      <c r="U49" s="2">
        <f>N49/H49</f>
        <v/>
      </c>
      <c r="V49" s="2">
        <f>O49/H49</f>
        <v/>
      </c>
      <c r="W49" s="2">
        <f>P49/H49</f>
        <v/>
      </c>
      <c r="X49" s="2">
        <f>Q49/H49</f>
        <v/>
      </c>
      <c r="Y49" s="5">
        <f>IF(R49&gt;1,"1","2")</f>
        <v/>
      </c>
      <c r="Z49" s="5">
        <f>IF(S49&gt;1,"1","2")</f>
        <v/>
      </c>
      <c r="AA49" s="5">
        <f>IF(T49&gt;1,"1","2")</f>
        <v/>
      </c>
      <c r="AB49" s="5">
        <f>IF(U49&gt;1,"1","2")</f>
        <v/>
      </c>
      <c r="AC49" s="5">
        <f>IF(V49&gt;1,"1","2")</f>
        <v/>
      </c>
      <c r="AD49" s="5">
        <f>IF(W49&gt;1,"1","2")</f>
        <v/>
      </c>
      <c r="AE49" s="5">
        <f>IF(X49&gt;1,"1","2")</f>
        <v/>
      </c>
      <c r="AF49" t="n">
        <v>-5.157325</v>
      </c>
      <c r="AG49" t="n">
        <v>119.420662</v>
      </c>
    </row>
    <row r="50" ht="14.4" customHeight="1">
      <c r="A50" s="14" t="n">
        <v>47</v>
      </c>
      <c r="B50" s="15" t="inlineStr">
        <is>
          <t>Nkf</t>
        </is>
      </c>
      <c r="C50" s="10" t="n">
        <v>10</v>
      </c>
      <c r="D50" s="10" t="n">
        <v>27</v>
      </c>
      <c r="E50" s="17" t="n">
        <v>365</v>
      </c>
      <c r="F50" s="22" t="n">
        <v>0.0003</v>
      </c>
      <c r="G50" s="10" t="n">
        <v>900</v>
      </c>
      <c r="H50" s="12" t="n">
        <v>0.001</v>
      </c>
      <c r="I50" s="18" t="n">
        <v>10950</v>
      </c>
      <c r="J50" s="20" t="n">
        <v>10</v>
      </c>
      <c r="K50" s="19">
        <f>(F50*G50*E50*J50)/(D50*I50)</f>
        <v/>
      </c>
      <c r="L50" s="2">
        <f>(F50*G50*E50*5)/(D50*I50)</f>
        <v/>
      </c>
      <c r="M50" s="2">
        <f>(F50*G50*E50*10)/(D50*I50)</f>
        <v/>
      </c>
      <c r="N50" s="2">
        <f>(F50*G50*E50*15)/(D50*I50)</f>
        <v/>
      </c>
      <c r="O50" s="2">
        <f>(F50*G50*E50*20)/(D50*I50)</f>
        <v/>
      </c>
      <c r="P50" s="2">
        <f>(F50*G50*E50*25)/(D50*I50)</f>
        <v/>
      </c>
      <c r="Q50" s="2">
        <f>(F50*G50*E50*30)/(D50*I50)</f>
        <v/>
      </c>
      <c r="R50" s="2">
        <f>K50/H50</f>
        <v/>
      </c>
      <c r="S50" s="2">
        <f>L50/H50</f>
        <v/>
      </c>
      <c r="T50" s="2">
        <f>M50/H50</f>
        <v/>
      </c>
      <c r="U50" s="2">
        <f>N50/H50</f>
        <v/>
      </c>
      <c r="V50" s="2">
        <f>O50/H50</f>
        <v/>
      </c>
      <c r="W50" s="2">
        <f>P50/H50</f>
        <v/>
      </c>
      <c r="X50" s="2">
        <f>Q50/H50</f>
        <v/>
      </c>
      <c r="Y50" s="5">
        <f>IF(R50&gt;1,"1","2")</f>
        <v/>
      </c>
      <c r="Z50" s="5">
        <f>IF(S50&gt;1,"1","2")</f>
        <v/>
      </c>
      <c r="AA50" s="5">
        <f>IF(T50&gt;1,"1","2")</f>
        <v/>
      </c>
      <c r="AB50" s="5">
        <f>IF(U50&gt;1,"1","2")</f>
        <v/>
      </c>
      <c r="AC50" s="5">
        <f>IF(V50&gt;1,"1","2")</f>
        <v/>
      </c>
      <c r="AD50" s="5">
        <f>IF(W50&gt;1,"1","2")</f>
        <v/>
      </c>
      <c r="AE50" s="5">
        <f>IF(X50&gt;1,"1","2")</f>
        <v/>
      </c>
      <c r="AF50" t="n">
        <v>-5.140099</v>
      </c>
      <c r="AG50" t="n">
        <v>119.413309</v>
      </c>
    </row>
    <row r="51" ht="14.4" customHeight="1">
      <c r="A51" s="14" t="n">
        <v>48</v>
      </c>
      <c r="B51" s="15" t="inlineStr">
        <is>
          <t>Kad</t>
        </is>
      </c>
      <c r="C51" s="10" t="n">
        <v>10</v>
      </c>
      <c r="D51" s="10" t="n">
        <v>33</v>
      </c>
      <c r="E51" s="17" t="n">
        <v>365</v>
      </c>
      <c r="F51" s="22" t="n">
        <v>0.0003</v>
      </c>
      <c r="G51" s="10" t="n">
        <v>900</v>
      </c>
      <c r="H51" s="12" t="n">
        <v>0.001</v>
      </c>
      <c r="I51" s="18" t="n">
        <v>10950</v>
      </c>
      <c r="J51" s="20" t="n">
        <v>6</v>
      </c>
      <c r="K51" s="19">
        <f>(F51*G51*E51*J51)/(D51*I51)</f>
        <v/>
      </c>
      <c r="L51" s="2">
        <f>(F51*G51*E51*5)/(D51*I51)</f>
        <v/>
      </c>
      <c r="M51" s="2">
        <f>(F51*G51*E51*10)/(D51*I51)</f>
        <v/>
      </c>
      <c r="N51" s="2">
        <f>(F51*G51*E51*15)/(D51*I51)</f>
        <v/>
      </c>
      <c r="O51" s="2">
        <f>(F51*G51*E51*20)/(D51*I51)</f>
        <v/>
      </c>
      <c r="P51" s="2">
        <f>(F51*G51*E51*25)/(D51*I51)</f>
        <v/>
      </c>
      <c r="Q51" s="2">
        <f>(F51*G51*E51*30)/(D51*I51)</f>
        <v/>
      </c>
      <c r="R51" s="2">
        <f>K51/H51</f>
        <v/>
      </c>
      <c r="S51" s="2">
        <f>L51/H51</f>
        <v/>
      </c>
      <c r="T51" s="2">
        <f>M51/H51</f>
        <v/>
      </c>
      <c r="U51" s="2">
        <f>N51/H51</f>
        <v/>
      </c>
      <c r="V51" s="2">
        <f>O51/H51</f>
        <v/>
      </c>
      <c r="W51" s="2">
        <f>P51/H51</f>
        <v/>
      </c>
      <c r="X51" s="2">
        <f>Q51/H51</f>
        <v/>
      </c>
      <c r="Y51" s="5">
        <f>IF(R51&gt;1,"1","2")</f>
        <v/>
      </c>
      <c r="Z51" s="5">
        <f>IF(S51&gt;1,"1","2")</f>
        <v/>
      </c>
      <c r="AA51" s="5">
        <f>IF(T51&gt;1,"1","2")</f>
        <v/>
      </c>
      <c r="AB51" s="5">
        <f>IF(U51&gt;1,"1","2")</f>
        <v/>
      </c>
      <c r="AC51" s="5">
        <f>IF(V51&gt;1,"1","2")</f>
        <v/>
      </c>
      <c r="AD51" s="5">
        <f>IF(W51&gt;1,"1","2")</f>
        <v/>
      </c>
      <c r="AE51" s="5">
        <f>IF(X51&gt;1,"1","2")</f>
        <v/>
      </c>
      <c r="AF51" t="n">
        <v>-5.150259</v>
      </c>
      <c r="AG51" t="n">
        <v>119.42511</v>
      </c>
    </row>
    <row r="52" ht="14.4" customHeight="1">
      <c r="A52" s="14" t="n">
        <v>49</v>
      </c>
      <c r="B52" s="15" t="inlineStr">
        <is>
          <t>Kel</t>
        </is>
      </c>
      <c r="C52" s="10" t="n">
        <v>10</v>
      </c>
      <c r="D52" s="10" t="n">
        <v>29</v>
      </c>
      <c r="E52" s="17" t="n">
        <v>365</v>
      </c>
      <c r="F52" s="22" t="n">
        <v>0.0003</v>
      </c>
      <c r="G52" s="10" t="n">
        <v>1500</v>
      </c>
      <c r="H52" s="12" t="n">
        <v>0.001</v>
      </c>
      <c r="I52" s="18" t="n">
        <v>10950</v>
      </c>
      <c r="J52" s="20" t="n">
        <v>8</v>
      </c>
      <c r="K52" s="19">
        <f>(F52*G52*E52*J52)/(D52*I52)</f>
        <v/>
      </c>
      <c r="L52" s="2">
        <f>(F52*G52*E52*5)/(D52*I52)</f>
        <v/>
      </c>
      <c r="M52" s="2">
        <f>(F52*G52*E52*10)/(D52*I52)</f>
        <v/>
      </c>
      <c r="N52" s="2">
        <f>(F52*G52*E52*15)/(D52*I52)</f>
        <v/>
      </c>
      <c r="O52" s="2">
        <f>(F52*G52*E52*20)/(D52*I52)</f>
        <v/>
      </c>
      <c r="P52" s="2">
        <f>(F52*G52*E52*25)/(D52*I52)</f>
        <v/>
      </c>
      <c r="Q52" s="2">
        <f>(F52*G52*E52*30)/(D52*I52)</f>
        <v/>
      </c>
      <c r="R52" s="2">
        <f>K52/H52</f>
        <v/>
      </c>
      <c r="S52" s="2">
        <f>L52/H52</f>
        <v/>
      </c>
      <c r="T52" s="2">
        <f>M52/H52</f>
        <v/>
      </c>
      <c r="U52" s="2">
        <f>N52/H52</f>
        <v/>
      </c>
      <c r="V52" s="2">
        <f>O52/H52</f>
        <v/>
      </c>
      <c r="W52" s="2">
        <f>P52/H52</f>
        <v/>
      </c>
      <c r="X52" s="2">
        <f>Q52/H52</f>
        <v/>
      </c>
      <c r="Y52" s="5">
        <f>IF(R52&gt;1,"1","2")</f>
        <v/>
      </c>
      <c r="Z52" s="5">
        <f>IF(S52&gt;1,"1","2")</f>
        <v/>
      </c>
      <c r="AA52" s="5">
        <f>IF(T52&gt;1,"1","2")</f>
        <v/>
      </c>
      <c r="AB52" s="5">
        <f>IF(U52&gt;1,"1","2")</f>
        <v/>
      </c>
      <c r="AC52" s="5">
        <f>IF(V52&gt;1,"1","2")</f>
        <v/>
      </c>
      <c r="AD52" s="5">
        <f>IF(W52&gt;1,"1","2")</f>
        <v/>
      </c>
      <c r="AE52" s="5">
        <f>IF(X52&gt;1,"1","2")</f>
        <v/>
      </c>
      <c r="AF52" t="n">
        <v>-5.120866</v>
      </c>
      <c r="AG52" t="n">
        <v>119.402726</v>
      </c>
    </row>
    <row r="53" ht="14.4" customHeight="1">
      <c r="A53" s="14" t="n">
        <v>50</v>
      </c>
      <c r="B53" s="15" t="inlineStr">
        <is>
          <t>Waa</t>
        </is>
      </c>
      <c r="C53" s="10" t="n">
        <v>10</v>
      </c>
      <c r="D53" s="10" t="n">
        <v>39</v>
      </c>
      <c r="E53" s="17" t="n">
        <v>365</v>
      </c>
      <c r="F53" s="22" t="n">
        <v>0.0003</v>
      </c>
      <c r="G53" s="10" t="n">
        <v>900</v>
      </c>
      <c r="H53" s="12" t="n">
        <v>0.001</v>
      </c>
      <c r="I53" s="18" t="n">
        <v>10950</v>
      </c>
      <c r="J53" s="20" t="n">
        <v>8</v>
      </c>
      <c r="K53" s="19">
        <f>(F53*G53*E53*J53)/(D53*I53)</f>
        <v/>
      </c>
      <c r="L53" s="2">
        <f>(F53*G53*E53*5)/(D53*I53)</f>
        <v/>
      </c>
      <c r="M53" s="2">
        <f>(F53*G53*E53*10)/(D53*I53)</f>
        <v/>
      </c>
      <c r="N53" s="2">
        <f>(F53*G53*E53*15)/(D53*I53)</f>
        <v/>
      </c>
      <c r="O53" s="2">
        <f>(F53*G53*E53*20)/(D53*I53)</f>
        <v/>
      </c>
      <c r="P53" s="2">
        <f>(F53*G53*E53*25)/(D53*I53)</f>
        <v/>
      </c>
      <c r="Q53" s="2">
        <f>(F53*G53*E53*30)/(D53*I53)</f>
        <v/>
      </c>
      <c r="R53" s="2">
        <f>K53/H53</f>
        <v/>
      </c>
      <c r="S53" s="2">
        <f>L53/H53</f>
        <v/>
      </c>
      <c r="T53" s="2">
        <f>M53/H53</f>
        <v/>
      </c>
      <c r="U53" s="2">
        <f>N53/H53</f>
        <v/>
      </c>
      <c r="V53" s="2">
        <f>O53/H53</f>
        <v/>
      </c>
      <c r="W53" s="2">
        <f>P53/H53</f>
        <v/>
      </c>
      <c r="X53" s="2">
        <f>Q53/H53</f>
        <v/>
      </c>
      <c r="Y53" s="5">
        <f>IF(R53&gt;1,"1","2")</f>
        <v/>
      </c>
      <c r="Z53" s="5">
        <f>IF(S53&gt;1,"1","2")</f>
        <v/>
      </c>
      <c r="AA53" s="5">
        <f>IF(T53&gt;1,"1","2")</f>
        <v/>
      </c>
      <c r="AB53" s="5">
        <f>IF(U53&gt;1,"1","2")</f>
        <v/>
      </c>
      <c r="AC53" s="5">
        <f>IF(V53&gt;1,"1","2")</f>
        <v/>
      </c>
      <c r="AD53" s="5">
        <f>IF(W53&gt;1,"1","2")</f>
        <v/>
      </c>
      <c r="AE53" s="5">
        <f>IF(X53&gt;1,"1","2")</f>
        <v/>
      </c>
      <c r="AF53" t="n">
        <v>-5.135314</v>
      </c>
      <c r="AG53" t="n">
        <v>119.444507</v>
      </c>
    </row>
    <row r="54" ht="14.4" customHeight="1">
      <c r="A54" s="14" t="n">
        <v>51</v>
      </c>
      <c r="B54" s="15" t="inlineStr">
        <is>
          <t>Mai</t>
        </is>
      </c>
      <c r="C54" s="10" t="n">
        <v>10</v>
      </c>
      <c r="D54" s="10" t="n">
        <v>25</v>
      </c>
      <c r="E54" s="17" t="n">
        <v>365</v>
      </c>
      <c r="F54" s="22" t="n">
        <v>0.0003</v>
      </c>
      <c r="G54" s="10" t="n">
        <v>900</v>
      </c>
      <c r="H54" s="12" t="n">
        <v>0.001</v>
      </c>
      <c r="I54" s="18" t="n">
        <v>10950</v>
      </c>
      <c r="J54" s="20" t="n">
        <v>10</v>
      </c>
      <c r="K54" s="19">
        <f>(F54*G54*E54*J54)/(D54*I54)</f>
        <v/>
      </c>
      <c r="L54" s="2">
        <f>(F54*G54*E54*5)/(D54*I54)</f>
        <v/>
      </c>
      <c r="M54" s="2">
        <f>(F54*G54*E54*10)/(D54*I54)</f>
        <v/>
      </c>
      <c r="N54" s="2">
        <f>(F54*G54*E54*15)/(D54*I54)</f>
        <v/>
      </c>
      <c r="O54" s="2">
        <f>(F54*G54*E54*20)/(D54*I54)</f>
        <v/>
      </c>
      <c r="P54" s="2">
        <f>(F54*G54*E54*25)/(D54*I54)</f>
        <v/>
      </c>
      <c r="Q54" s="2">
        <f>(F54*G54*E54*30)/(D54*I54)</f>
        <v/>
      </c>
      <c r="R54" s="2">
        <f>K54/H54</f>
        <v/>
      </c>
      <c r="S54" s="2">
        <f>L54/H54</f>
        <v/>
      </c>
      <c r="T54" s="2">
        <f>M54/H54</f>
        <v/>
      </c>
      <c r="U54" s="2">
        <f>N54/H54</f>
        <v/>
      </c>
      <c r="V54" s="2">
        <f>O54/H54</f>
        <v/>
      </c>
      <c r="W54" s="2">
        <f>P54/H54</f>
        <v/>
      </c>
      <c r="X54" s="2">
        <f>Q54/H54</f>
        <v/>
      </c>
      <c r="Y54" s="5">
        <f>IF(R54&gt;1,"1","2")</f>
        <v/>
      </c>
      <c r="Z54" s="5">
        <f>IF(S54&gt;1,"1","2")</f>
        <v/>
      </c>
      <c r="AA54" s="5">
        <f>IF(T54&gt;1,"1","2")</f>
        <v/>
      </c>
      <c r="AB54" s="5">
        <f>IF(U54&gt;1,"1","2")</f>
        <v/>
      </c>
      <c r="AC54" s="5">
        <f>IF(V54&gt;1,"1","2")</f>
        <v/>
      </c>
      <c r="AD54" s="5">
        <f>IF(W54&gt;1,"1","2")</f>
        <v/>
      </c>
      <c r="AE54" s="5">
        <f>IF(X54&gt;1,"1","2")</f>
        <v/>
      </c>
      <c r="AF54" t="n">
        <v>-5.123454</v>
      </c>
      <c r="AG54" t="n">
        <v>119.406874</v>
      </c>
    </row>
    <row r="55" ht="14.4" customHeight="1">
      <c r="A55" s="14" t="n">
        <v>52</v>
      </c>
      <c r="B55" s="15" t="inlineStr">
        <is>
          <t>Mkl</t>
        </is>
      </c>
      <c r="C55" s="10" t="n">
        <v>10</v>
      </c>
      <c r="D55" s="10" t="n">
        <v>25</v>
      </c>
      <c r="E55" s="17" t="n">
        <v>365</v>
      </c>
      <c r="F55" s="22" t="n">
        <v>0.0003</v>
      </c>
      <c r="G55" s="10" t="n">
        <v>900</v>
      </c>
      <c r="H55" s="12" t="n">
        <v>0.001</v>
      </c>
      <c r="I55" s="18" t="n">
        <v>10950</v>
      </c>
      <c r="J55" s="20" t="n">
        <v>10</v>
      </c>
      <c r="K55" s="19">
        <f>(F55*G55*E55*J55)/(D55*I55)</f>
        <v/>
      </c>
      <c r="L55" s="2">
        <f>(F55*G55*E55*5)/(D55*I55)</f>
        <v/>
      </c>
      <c r="M55" s="2">
        <f>(F55*G55*E55*10)/(D55*I55)</f>
        <v/>
      </c>
      <c r="N55" s="2">
        <f>(F55*G55*E55*15)/(D55*I55)</f>
        <v/>
      </c>
      <c r="O55" s="2">
        <f>(F55*G55*E55*20)/(D55*I55)</f>
        <v/>
      </c>
      <c r="P55" s="2">
        <f>(F55*G55*E55*25)/(D55*I55)</f>
        <v/>
      </c>
      <c r="Q55" s="2">
        <f>(F55*G55*E55*30)/(D55*I55)</f>
        <v/>
      </c>
      <c r="R55" s="2">
        <f>K55/H55</f>
        <v/>
      </c>
      <c r="S55" s="2">
        <f>L55/H55</f>
        <v/>
      </c>
      <c r="T55" s="2">
        <f>M55/H55</f>
        <v/>
      </c>
      <c r="U55" s="2">
        <f>N55/H55</f>
        <v/>
      </c>
      <c r="V55" s="2">
        <f>O55/H55</f>
        <v/>
      </c>
      <c r="W55" s="2">
        <f>P55/H55</f>
        <v/>
      </c>
      <c r="X55" s="2">
        <f>Q55/H55</f>
        <v/>
      </c>
      <c r="Y55" s="5">
        <f>IF(R55&gt;1,"1","2")</f>
        <v/>
      </c>
      <c r="Z55" s="5">
        <f>IF(S55&gt;1,"1","2")</f>
        <v/>
      </c>
      <c r="AA55" s="5">
        <f>IF(T55&gt;1,"1","2")</f>
        <v/>
      </c>
      <c r="AB55" s="5">
        <f>IF(U55&gt;1,"1","2")</f>
        <v/>
      </c>
      <c r="AC55" s="5">
        <f>IF(V55&gt;1,"1","2")</f>
        <v/>
      </c>
      <c r="AD55" s="5">
        <f>IF(W55&gt;1,"1","2")</f>
        <v/>
      </c>
      <c r="AE55" s="5">
        <f>IF(X55&gt;1,"1","2")</f>
        <v/>
      </c>
      <c r="AF55" t="n">
        <v>-5.156386</v>
      </c>
      <c r="AG55" t="n">
        <v>119.447532</v>
      </c>
    </row>
    <row r="56" ht="14.4" customHeight="1">
      <c r="A56" s="14" t="n">
        <v>53</v>
      </c>
      <c r="B56" s="15" t="inlineStr">
        <is>
          <t>Ewi</t>
        </is>
      </c>
      <c r="C56" s="10" t="n">
        <v>10</v>
      </c>
      <c r="D56" s="10" t="n">
        <v>33</v>
      </c>
      <c r="E56" s="17" t="n">
        <v>365</v>
      </c>
      <c r="F56" s="22" t="n">
        <v>0.0003</v>
      </c>
      <c r="G56" s="10" t="n">
        <v>900</v>
      </c>
      <c r="H56" s="12" t="n">
        <v>0.001</v>
      </c>
      <c r="I56" s="18" t="n">
        <v>10950</v>
      </c>
      <c r="J56" s="20" t="n">
        <v>10</v>
      </c>
      <c r="K56" s="19">
        <f>(F56*G56*E56*J56)/(D56*I56)</f>
        <v/>
      </c>
      <c r="L56" s="2">
        <f>(F56*G56*E56*5)/(D56*I56)</f>
        <v/>
      </c>
      <c r="M56" s="2">
        <f>(F56*G56*E56*10)/(D56*I56)</f>
        <v/>
      </c>
      <c r="N56" s="2">
        <f>(F56*G56*E56*15)/(D56*I56)</f>
        <v/>
      </c>
      <c r="O56" s="2">
        <f>(F56*G56*E56*20)/(D56*I56)</f>
        <v/>
      </c>
      <c r="P56" s="2">
        <f>(F56*G56*E56*25)/(D56*I56)</f>
        <v/>
      </c>
      <c r="Q56" s="2">
        <f>(F56*G56*E56*30)/(D56*I56)</f>
        <v/>
      </c>
      <c r="R56" s="2">
        <f>K56/H56</f>
        <v/>
      </c>
      <c r="S56" s="2">
        <f>L56/H56</f>
        <v/>
      </c>
      <c r="T56" s="2">
        <f>M56/H56</f>
        <v/>
      </c>
      <c r="U56" s="2">
        <f>N56/H56</f>
        <v/>
      </c>
      <c r="V56" s="2">
        <f>O56/H56</f>
        <v/>
      </c>
      <c r="W56" s="2">
        <f>P56/H56</f>
        <v/>
      </c>
      <c r="X56" s="2">
        <f>Q56/H56</f>
        <v/>
      </c>
      <c r="Y56" s="5">
        <f>IF(R56&gt;1,"1","2")</f>
        <v/>
      </c>
      <c r="Z56" s="5">
        <f>IF(S56&gt;1,"1","2")</f>
        <v/>
      </c>
      <c r="AA56" s="5">
        <f>IF(T56&gt;1,"1","2")</f>
        <v/>
      </c>
      <c r="AB56" s="5">
        <f>IF(U56&gt;1,"1","2")</f>
        <v/>
      </c>
      <c r="AC56" s="5">
        <f>IF(V56&gt;1,"1","2")</f>
        <v/>
      </c>
      <c r="AD56" s="5">
        <f>IF(W56&gt;1,"1","2")</f>
        <v/>
      </c>
      <c r="AE56" s="5">
        <f>IF(X56&gt;1,"1","2")</f>
        <v/>
      </c>
      <c r="AF56" t="n">
        <v>-5.121363</v>
      </c>
      <c r="AG56" t="n">
        <v>119.427988</v>
      </c>
    </row>
    <row r="57" ht="14.4" customHeight="1">
      <c r="A57" s="14" t="n">
        <v>54</v>
      </c>
      <c r="B57" s="15" t="inlineStr">
        <is>
          <t>Ruh</t>
        </is>
      </c>
      <c r="C57" s="10" t="n">
        <v>10</v>
      </c>
      <c r="D57" s="10" t="n">
        <v>25</v>
      </c>
      <c r="E57" s="17" t="n">
        <v>365</v>
      </c>
      <c r="F57" s="22" t="n">
        <v>0.0003</v>
      </c>
      <c r="G57" s="10" t="n">
        <v>900</v>
      </c>
      <c r="H57" s="12" t="n">
        <v>0.001</v>
      </c>
      <c r="I57" s="18" t="n">
        <v>10950</v>
      </c>
      <c r="J57" s="20" t="n">
        <v>10</v>
      </c>
      <c r="K57" s="19">
        <f>(F57*G57*E57*J57)/(D57*I57)</f>
        <v/>
      </c>
      <c r="L57" s="2">
        <f>(F57*G57*E57*5)/(D57*I57)</f>
        <v/>
      </c>
      <c r="M57" s="2">
        <f>(F57*G57*E57*10)/(D57*I57)</f>
        <v/>
      </c>
      <c r="N57" s="2">
        <f>(F57*G57*E57*15)/(D57*I57)</f>
        <v/>
      </c>
      <c r="O57" s="2">
        <f>(F57*G57*E57*20)/(D57*I57)</f>
        <v/>
      </c>
      <c r="P57" s="2">
        <f>(F57*G57*E57*25)/(D57*I57)</f>
        <v/>
      </c>
      <c r="Q57" s="2">
        <f>(F57*G57*E57*30)/(D57*I57)</f>
        <v/>
      </c>
      <c r="R57" s="2">
        <f>K57/H57</f>
        <v/>
      </c>
      <c r="S57" s="2">
        <f>L57/H57</f>
        <v/>
      </c>
      <c r="T57" s="2">
        <f>M57/H57</f>
        <v/>
      </c>
      <c r="U57" s="2">
        <f>N57/H57</f>
        <v/>
      </c>
      <c r="V57" s="2">
        <f>O57/H57</f>
        <v/>
      </c>
      <c r="W57" s="2">
        <f>P57/H57</f>
        <v/>
      </c>
      <c r="X57" s="2">
        <f>Q57/H57</f>
        <v/>
      </c>
      <c r="Y57" s="5">
        <f>IF(R57&gt;1,"1","2")</f>
        <v/>
      </c>
      <c r="Z57" s="5">
        <f>IF(S57&gt;1,"1","2")</f>
        <v/>
      </c>
      <c r="AA57" s="5">
        <f>IF(T57&gt;1,"1","2")</f>
        <v/>
      </c>
      <c r="AB57" s="5">
        <f>IF(U57&gt;1,"1","2")</f>
        <v/>
      </c>
      <c r="AC57" s="5">
        <f>IF(V57&gt;1,"1","2")</f>
        <v/>
      </c>
      <c r="AD57" s="5">
        <f>IF(W57&gt;1,"1","2")</f>
        <v/>
      </c>
      <c r="AE57" s="5">
        <f>IF(X57&gt;1,"1","2")</f>
        <v/>
      </c>
      <c r="AF57" t="n">
        <v>-5.158297</v>
      </c>
      <c r="AG57" t="n">
        <v>119.429484</v>
      </c>
    </row>
    <row r="58" ht="14.4" customHeight="1">
      <c r="A58" s="14" t="n">
        <v>55</v>
      </c>
      <c r="B58" s="15" t="inlineStr">
        <is>
          <t>Ani</t>
        </is>
      </c>
      <c r="C58" s="10" t="n">
        <v>10</v>
      </c>
      <c r="D58" s="10" t="n">
        <v>25</v>
      </c>
      <c r="E58" s="17" t="n">
        <v>365</v>
      </c>
      <c r="F58" s="22" t="n">
        <v>0.0003</v>
      </c>
      <c r="G58" s="10" t="n">
        <v>1500</v>
      </c>
      <c r="H58" s="12" t="n">
        <v>0.001</v>
      </c>
      <c r="I58" s="18" t="n">
        <v>10950</v>
      </c>
      <c r="J58" s="20" t="n">
        <v>6</v>
      </c>
      <c r="K58" s="19">
        <f>(F58*G58*E58*J58)/(D58*I58)</f>
        <v/>
      </c>
      <c r="L58" s="2">
        <f>(F58*G58*E58*5)/(D58*I58)</f>
        <v/>
      </c>
      <c r="M58" s="2">
        <f>(F58*G58*E58*10)/(D58*I58)</f>
        <v/>
      </c>
      <c r="N58" s="2">
        <f>(F58*G58*E58*15)/(D58*I58)</f>
        <v/>
      </c>
      <c r="O58" s="2">
        <f>(F58*G58*E58*20)/(D58*I58)</f>
        <v/>
      </c>
      <c r="P58" s="2">
        <f>(F58*G58*E58*25)/(D58*I58)</f>
        <v/>
      </c>
      <c r="Q58" s="2">
        <f>(F58*G58*E58*30)/(D58*I58)</f>
        <v/>
      </c>
      <c r="R58" s="2">
        <f>K58/H58</f>
        <v/>
      </c>
      <c r="S58" s="2">
        <f>L58/H58</f>
        <v/>
      </c>
      <c r="T58" s="2">
        <f>M58/H58</f>
        <v/>
      </c>
      <c r="U58" s="2">
        <f>N58/H58</f>
        <v/>
      </c>
      <c r="V58" s="2">
        <f>O58/H58</f>
        <v/>
      </c>
      <c r="W58" s="2">
        <f>P58/H58</f>
        <v/>
      </c>
      <c r="X58" s="2">
        <f>Q58/H58</f>
        <v/>
      </c>
      <c r="Y58" s="5">
        <f>IF(R58&gt;1,"1","2")</f>
        <v/>
      </c>
      <c r="Z58" s="5">
        <f>IF(S58&gt;1,"1","2")</f>
        <v/>
      </c>
      <c r="AA58" s="5">
        <f>IF(T58&gt;1,"1","2")</f>
        <v/>
      </c>
      <c r="AB58" s="5">
        <f>IF(U58&gt;1,"1","2")</f>
        <v/>
      </c>
      <c r="AC58" s="5">
        <f>IF(V58&gt;1,"1","2")</f>
        <v/>
      </c>
      <c r="AD58" s="5">
        <f>IF(W58&gt;1,"1","2")</f>
        <v/>
      </c>
      <c r="AE58" s="5">
        <f>IF(X58&gt;1,"1","2")</f>
        <v/>
      </c>
      <c r="AF58" t="n">
        <v>-5.13677</v>
      </c>
      <c r="AG58" t="n">
        <v>119.410286</v>
      </c>
    </row>
    <row r="59" ht="14.4" customHeight="1">
      <c r="A59" s="14" t="n">
        <v>56</v>
      </c>
      <c r="B59" s="15" t="inlineStr">
        <is>
          <t>Afd</t>
        </is>
      </c>
      <c r="C59" s="10" t="n">
        <v>10</v>
      </c>
      <c r="D59" s="10" t="n">
        <v>49</v>
      </c>
      <c r="E59" s="17" t="n">
        <v>365</v>
      </c>
      <c r="F59" s="22" t="n">
        <v>0.0003</v>
      </c>
      <c r="G59" s="10" t="n">
        <v>2100</v>
      </c>
      <c r="H59" s="12" t="n">
        <v>0.001</v>
      </c>
      <c r="I59" s="18" t="n">
        <v>10950</v>
      </c>
      <c r="J59" s="20" t="n">
        <v>2</v>
      </c>
      <c r="K59" s="19">
        <f>(F59*G59*E59*J59)/(D59*I59)</f>
        <v/>
      </c>
      <c r="L59" s="2">
        <f>(F59*G59*E59*5)/(D59*I59)</f>
        <v/>
      </c>
      <c r="M59" s="2">
        <f>(F59*G59*E59*10)/(D59*I59)</f>
        <v/>
      </c>
      <c r="N59" s="2">
        <f>(F59*G59*E59*15)/(D59*I59)</f>
        <v/>
      </c>
      <c r="O59" s="2">
        <f>(F59*G59*E59*20)/(D59*I59)</f>
        <v/>
      </c>
      <c r="P59" s="2">
        <f>(F59*G59*E59*25)/(D59*I59)</f>
        <v/>
      </c>
      <c r="Q59" s="2">
        <f>(F59*G59*E59*30)/(D59*I59)</f>
        <v/>
      </c>
      <c r="R59" s="2">
        <f>K59/H59</f>
        <v/>
      </c>
      <c r="S59" s="2">
        <f>L59/H59</f>
        <v/>
      </c>
      <c r="T59" s="2">
        <f>M59/H59</f>
        <v/>
      </c>
      <c r="U59" s="2">
        <f>N59/H59</f>
        <v/>
      </c>
      <c r="V59" s="2">
        <f>O59/H59</f>
        <v/>
      </c>
      <c r="W59" s="2">
        <f>P59/H59</f>
        <v/>
      </c>
      <c r="X59" s="2">
        <f>Q59/H59</f>
        <v/>
      </c>
      <c r="Y59" s="5">
        <f>IF(R59&gt;1,"1","2")</f>
        <v/>
      </c>
      <c r="Z59" s="5">
        <f>IF(S59&gt;1,"1","2")</f>
        <v/>
      </c>
      <c r="AA59" s="5">
        <f>IF(T59&gt;1,"1","2")</f>
        <v/>
      </c>
      <c r="AB59" s="5">
        <f>IF(U59&gt;1,"1","2")</f>
        <v/>
      </c>
      <c r="AC59" s="5">
        <f>IF(V59&gt;1,"1","2")</f>
        <v/>
      </c>
      <c r="AD59" s="5">
        <f>IF(W59&gt;1,"1","2")</f>
        <v/>
      </c>
      <c r="AE59" s="5">
        <f>IF(X59&gt;1,"1","2")</f>
        <v/>
      </c>
      <c r="AF59" t="n">
        <v>-5.151033</v>
      </c>
      <c r="AG59" t="n">
        <v>119.446632</v>
      </c>
    </row>
    <row r="60" ht="14.4" customHeight="1">
      <c r="A60" s="14" t="n">
        <v>57</v>
      </c>
      <c r="B60" s="15" t="inlineStr">
        <is>
          <t>Iwg</t>
        </is>
      </c>
      <c r="C60" s="10" t="n">
        <v>10</v>
      </c>
      <c r="D60" s="10" t="n">
        <v>25</v>
      </c>
      <c r="E60" s="17" t="n">
        <v>365</v>
      </c>
      <c r="F60" s="22" t="n">
        <v>0.0003</v>
      </c>
      <c r="G60" s="10" t="n">
        <v>900</v>
      </c>
      <c r="H60" s="12" t="n">
        <v>0.001</v>
      </c>
      <c r="I60" s="18" t="n">
        <v>10950</v>
      </c>
      <c r="J60" s="20" t="n">
        <v>10</v>
      </c>
      <c r="K60" s="19">
        <f>(F60*G60*E60*J60)/(D60*I60)</f>
        <v/>
      </c>
      <c r="L60" s="2">
        <f>(F60*G60*E60*5)/(D60*I60)</f>
        <v/>
      </c>
      <c r="M60" s="2">
        <f>(F60*G60*E60*10)/(D60*I60)</f>
        <v/>
      </c>
      <c r="N60" s="2">
        <f>(F60*G60*E60*15)/(D60*I60)</f>
        <v/>
      </c>
      <c r="O60" s="2">
        <f>(F60*G60*E60*20)/(D60*I60)</f>
        <v/>
      </c>
      <c r="P60" s="2">
        <f>(F60*G60*E60*25)/(D60*I60)</f>
        <v/>
      </c>
      <c r="Q60" s="2">
        <f>(F60*G60*E60*30)/(D60*I60)</f>
        <v/>
      </c>
      <c r="R60" s="2">
        <f>K60/H60</f>
        <v/>
      </c>
      <c r="S60" s="2">
        <f>L60/H60</f>
        <v/>
      </c>
      <c r="T60" s="2">
        <f>M60/H60</f>
        <v/>
      </c>
      <c r="U60" s="2">
        <f>N60/H60</f>
        <v/>
      </c>
      <c r="V60" s="2">
        <f>O60/H60</f>
        <v/>
      </c>
      <c r="W60" s="2">
        <f>P60/H60</f>
        <v/>
      </c>
      <c r="X60" s="2">
        <f>Q60/H60</f>
        <v/>
      </c>
      <c r="Y60" s="5">
        <f>IF(R60&gt;1,"1","2")</f>
        <v/>
      </c>
      <c r="Z60" s="5">
        <f>IF(S60&gt;1,"1","2")</f>
        <v/>
      </c>
      <c r="AA60" s="5">
        <f>IF(T60&gt;1,"1","2")</f>
        <v/>
      </c>
      <c r="AB60" s="5">
        <f>IF(U60&gt;1,"1","2")</f>
        <v/>
      </c>
      <c r="AC60" s="5">
        <f>IF(V60&gt;1,"1","2")</f>
        <v/>
      </c>
      <c r="AD60" s="5">
        <f>IF(W60&gt;1,"1","2")</f>
        <v/>
      </c>
      <c r="AE60" s="5">
        <f>IF(X60&gt;1,"1","2")</f>
        <v/>
      </c>
      <c r="AF60" t="n">
        <v>-5.147688</v>
      </c>
      <c r="AG60" t="n">
        <v>119.428898</v>
      </c>
    </row>
    <row r="61" ht="14.4" customHeight="1">
      <c r="A61" s="14" t="n">
        <v>58</v>
      </c>
      <c r="B61" s="15" t="inlineStr">
        <is>
          <t>Feb</t>
        </is>
      </c>
      <c r="C61" s="10" t="n">
        <v>10</v>
      </c>
      <c r="D61" s="10" t="n">
        <v>27</v>
      </c>
      <c r="E61" s="17" t="n">
        <v>365</v>
      </c>
      <c r="F61" s="22" t="n">
        <v>0.0003</v>
      </c>
      <c r="G61" s="10" t="n">
        <v>900</v>
      </c>
      <c r="H61" s="12" t="n">
        <v>0.001</v>
      </c>
      <c r="I61" s="18" t="n">
        <v>10950</v>
      </c>
      <c r="J61" s="20" t="n">
        <v>10</v>
      </c>
      <c r="K61" s="19">
        <f>(F61*G61*E61*J61)/(D61*I61)</f>
        <v/>
      </c>
      <c r="L61" s="2">
        <f>(F61*G61*E61*5)/(D61*I61)</f>
        <v/>
      </c>
      <c r="M61" s="2">
        <f>(F61*G61*E61*10)/(D61*I61)</f>
        <v/>
      </c>
      <c r="N61" s="2">
        <f>(F61*G61*E61*15)/(D61*I61)</f>
        <v/>
      </c>
      <c r="O61" s="2">
        <f>(F61*G61*E61*20)/(D61*I61)</f>
        <v/>
      </c>
      <c r="P61" s="2">
        <f>(F61*G61*E61*25)/(D61*I61)</f>
        <v/>
      </c>
      <c r="Q61" s="2">
        <f>(F61*G61*E61*30)/(D61*I61)</f>
        <v/>
      </c>
      <c r="R61" s="2">
        <f>K61/H61</f>
        <v/>
      </c>
      <c r="S61" s="2">
        <f>L61/H61</f>
        <v/>
      </c>
      <c r="T61" s="2">
        <f>M61/H61</f>
        <v/>
      </c>
      <c r="U61" s="2">
        <f>N61/H61</f>
        <v/>
      </c>
      <c r="V61" s="2">
        <f>O61/H61</f>
        <v/>
      </c>
      <c r="W61" s="2">
        <f>P61/H61</f>
        <v/>
      </c>
      <c r="X61" s="2">
        <f>Q61/H61</f>
        <v/>
      </c>
      <c r="Y61" s="5">
        <f>IF(R61&gt;1,"1","2")</f>
        <v/>
      </c>
      <c r="Z61" s="5">
        <f>IF(S61&gt;1,"1","2")</f>
        <v/>
      </c>
      <c r="AA61" s="5">
        <f>IF(T61&gt;1,"1","2")</f>
        <v/>
      </c>
      <c r="AB61" s="5">
        <f>IF(U61&gt;1,"1","2")</f>
        <v/>
      </c>
      <c r="AC61" s="5">
        <f>IF(V61&gt;1,"1","2")</f>
        <v/>
      </c>
      <c r="AD61" s="5">
        <f>IF(W61&gt;1,"1","2")</f>
        <v/>
      </c>
      <c r="AE61" s="5">
        <f>IF(X61&gt;1,"1","2")</f>
        <v/>
      </c>
      <c r="AF61" t="n">
        <v>-5.140221</v>
      </c>
      <c r="AG61" t="n">
        <v>119.427835</v>
      </c>
    </row>
    <row r="62" ht="14.4" customHeight="1">
      <c r="A62" s="14" t="n">
        <v>59</v>
      </c>
      <c r="B62" s="15" t="inlineStr">
        <is>
          <t>Ula</t>
        </is>
      </c>
      <c r="C62" s="10" t="n">
        <v>10</v>
      </c>
      <c r="D62" s="10" t="n">
        <v>25</v>
      </c>
      <c r="E62" s="17" t="n">
        <v>365</v>
      </c>
      <c r="F62" s="22" t="n">
        <v>0.0003</v>
      </c>
      <c r="G62" s="10" t="n">
        <v>900</v>
      </c>
      <c r="H62" s="12" t="n">
        <v>0.001</v>
      </c>
      <c r="I62" s="18" t="n">
        <v>10950</v>
      </c>
      <c r="J62" s="20" t="n">
        <v>10</v>
      </c>
      <c r="K62" s="19">
        <f>(F62*G62*E62*J62)/(D62*I62)</f>
        <v/>
      </c>
      <c r="L62" s="2">
        <f>(F62*G62*E62*5)/(D62*I62)</f>
        <v/>
      </c>
      <c r="M62" s="2">
        <f>(F62*G62*E62*10)/(D62*I62)</f>
        <v/>
      </c>
      <c r="N62" s="2">
        <f>(F62*G62*E62*15)/(D62*I62)</f>
        <v/>
      </c>
      <c r="O62" s="2">
        <f>(F62*G62*E62*20)/(D62*I62)</f>
        <v/>
      </c>
      <c r="P62" s="2">
        <f>(F62*G62*E62*25)/(D62*I62)</f>
        <v/>
      </c>
      <c r="Q62" s="2">
        <f>(F62*G62*E62*30)/(D62*I62)</f>
        <v/>
      </c>
      <c r="R62" s="2">
        <f>K62/H62</f>
        <v/>
      </c>
      <c r="S62" s="2">
        <f>L62/H62</f>
        <v/>
      </c>
      <c r="T62" s="2">
        <f>M62/H62</f>
        <v/>
      </c>
      <c r="U62" s="2">
        <f>N62/H62</f>
        <v/>
      </c>
      <c r="V62" s="2">
        <f>O62/H62</f>
        <v/>
      </c>
      <c r="W62" s="2">
        <f>P62/H62</f>
        <v/>
      </c>
      <c r="X62" s="2">
        <f>Q62/H62</f>
        <v/>
      </c>
      <c r="Y62" s="5">
        <f>IF(R62&gt;1,"1","2")</f>
        <v/>
      </c>
      <c r="Z62" s="5">
        <f>IF(S62&gt;1,"1","2")</f>
        <v/>
      </c>
      <c r="AA62" s="5">
        <f>IF(T62&gt;1,"1","2")</f>
        <v/>
      </c>
      <c r="AB62" s="5">
        <f>IF(U62&gt;1,"1","2")</f>
        <v/>
      </c>
      <c r="AC62" s="5">
        <f>IF(V62&gt;1,"1","2")</f>
        <v/>
      </c>
      <c r="AD62" s="5">
        <f>IF(W62&gt;1,"1","2")</f>
        <v/>
      </c>
      <c r="AE62" s="5">
        <f>IF(X62&gt;1,"1","2")</f>
        <v/>
      </c>
      <c r="AF62" t="n">
        <v>-5.12288</v>
      </c>
      <c r="AG62" t="n">
        <v>119.408651</v>
      </c>
    </row>
    <row r="63" ht="14.4" customHeight="1">
      <c r="A63" s="14" t="n">
        <v>60</v>
      </c>
      <c r="B63" s="15" t="inlineStr">
        <is>
          <t>Msa</t>
        </is>
      </c>
      <c r="C63" s="10" t="n">
        <v>10</v>
      </c>
      <c r="D63" s="10" t="n">
        <v>25</v>
      </c>
      <c r="E63" s="17" t="n">
        <v>365</v>
      </c>
      <c r="F63" s="22" t="n">
        <v>0.0003</v>
      </c>
      <c r="G63" s="10" t="n">
        <v>900</v>
      </c>
      <c r="H63" s="12" t="n">
        <v>0.001</v>
      </c>
      <c r="I63" s="18" t="n">
        <v>10950</v>
      </c>
      <c r="J63" s="20" t="n">
        <v>10</v>
      </c>
      <c r="K63" s="19">
        <f>(F63*G63*E63*J63)/(D63*I63)</f>
        <v/>
      </c>
      <c r="L63" s="2">
        <f>(F63*G63*E63*5)/(D63*I63)</f>
        <v/>
      </c>
      <c r="M63" s="2">
        <f>(F63*G63*E63*10)/(D63*I63)</f>
        <v/>
      </c>
      <c r="N63" s="2">
        <f>(F63*G63*E63*15)/(D63*I63)</f>
        <v/>
      </c>
      <c r="O63" s="2">
        <f>(F63*G63*E63*20)/(D63*I63)</f>
        <v/>
      </c>
      <c r="P63" s="2">
        <f>(F63*G63*E63*25)/(D63*I63)</f>
        <v/>
      </c>
      <c r="Q63" s="2">
        <f>(F63*G63*E63*30)/(D63*I63)</f>
        <v/>
      </c>
      <c r="R63" s="2">
        <f>K63/H63</f>
        <v/>
      </c>
      <c r="S63" s="2">
        <f>L63/H63</f>
        <v/>
      </c>
      <c r="T63" s="2">
        <f>M63/H63</f>
        <v/>
      </c>
      <c r="U63" s="2">
        <f>N63/H63</f>
        <v/>
      </c>
      <c r="V63" s="2">
        <f>O63/H63</f>
        <v/>
      </c>
      <c r="W63" s="2">
        <f>P63/H63</f>
        <v/>
      </c>
      <c r="X63" s="2">
        <f>Q63/H63</f>
        <v/>
      </c>
      <c r="Y63" s="5">
        <f>IF(R63&gt;1,"1","2")</f>
        <v/>
      </c>
      <c r="Z63" s="5">
        <f>IF(S63&gt;1,"1","2")</f>
        <v/>
      </c>
      <c r="AA63" s="5">
        <f>IF(T63&gt;1,"1","2")</f>
        <v/>
      </c>
      <c r="AB63" s="5">
        <f>IF(U63&gt;1,"1","2")</f>
        <v/>
      </c>
      <c r="AC63" s="5">
        <f>IF(V63&gt;1,"1","2")</f>
        <v/>
      </c>
      <c r="AD63" s="5">
        <f>IF(W63&gt;1,"1","2")</f>
        <v/>
      </c>
      <c r="AE63" s="5">
        <f>IF(X63&gt;1,"1","2")</f>
        <v/>
      </c>
      <c r="AF63" t="n">
        <v>-5.142194</v>
      </c>
      <c r="AG63" t="n">
        <v>119.414704</v>
      </c>
    </row>
    <row r="64" ht="14.4" customHeight="1">
      <c r="A64" s="14" t="n">
        <v>61</v>
      </c>
      <c r="B64" s="15" t="inlineStr">
        <is>
          <t>Lan</t>
        </is>
      </c>
      <c r="C64" s="10" t="n">
        <v>10</v>
      </c>
      <c r="D64" s="10" t="n">
        <v>30</v>
      </c>
      <c r="E64" s="17" t="n">
        <v>365</v>
      </c>
      <c r="F64" s="22" t="n">
        <v>0.0003</v>
      </c>
      <c r="G64" s="10" t="n">
        <v>900</v>
      </c>
      <c r="H64" s="12" t="n">
        <v>0.001</v>
      </c>
      <c r="I64" s="18" t="n">
        <v>10950</v>
      </c>
      <c r="J64" s="20" t="n">
        <v>10</v>
      </c>
      <c r="K64" s="19">
        <f>(F64*G64*E64*J64)/(D64*I64)</f>
        <v/>
      </c>
      <c r="L64" s="2">
        <f>(F64*G64*E64*5)/(D64*I64)</f>
        <v/>
      </c>
      <c r="M64" s="2">
        <f>(F64*G64*E64*10)/(D64*I64)</f>
        <v/>
      </c>
      <c r="N64" s="2">
        <f>(F64*G64*E64*15)/(D64*I64)</f>
        <v/>
      </c>
      <c r="O64" s="2">
        <f>(F64*G64*E64*20)/(D64*I64)</f>
        <v/>
      </c>
      <c r="P64" s="2">
        <f>(F64*G64*E64*25)/(D64*I64)</f>
        <v/>
      </c>
      <c r="Q64" s="2">
        <f>(F64*G64*E64*30)/(D64*I64)</f>
        <v/>
      </c>
      <c r="R64" s="2">
        <f>K64/H64</f>
        <v/>
      </c>
      <c r="S64" s="2">
        <f>L64/H64</f>
        <v/>
      </c>
      <c r="T64" s="2">
        <f>M64/H64</f>
        <v/>
      </c>
      <c r="U64" s="2">
        <f>N64/H64</f>
        <v/>
      </c>
      <c r="V64" s="2">
        <f>O64/H64</f>
        <v/>
      </c>
      <c r="W64" s="2">
        <f>P64/H64</f>
        <v/>
      </c>
      <c r="X64" s="2">
        <f>Q64/H64</f>
        <v/>
      </c>
      <c r="Y64" s="5">
        <f>IF(R64&gt;1,"1","2")</f>
        <v/>
      </c>
      <c r="Z64" s="5">
        <f>IF(S64&gt;1,"1","2")</f>
        <v/>
      </c>
      <c r="AA64" s="5">
        <f>IF(T64&gt;1,"1","2")</f>
        <v/>
      </c>
      <c r="AB64" s="5">
        <f>IF(U64&gt;1,"1","2")</f>
        <v/>
      </c>
      <c r="AC64" s="5">
        <f>IF(V64&gt;1,"1","2")</f>
        <v/>
      </c>
      <c r="AD64" s="5">
        <f>IF(W64&gt;1,"1","2")</f>
        <v/>
      </c>
      <c r="AE64" s="5">
        <f>IF(X64&gt;1,"1","2")</f>
        <v/>
      </c>
      <c r="AF64" t="n">
        <v>-5.140954</v>
      </c>
      <c r="AG64" t="n">
        <v>119.431511</v>
      </c>
    </row>
    <row r="65" ht="14.4" customHeight="1">
      <c r="A65" s="14" t="n">
        <v>62</v>
      </c>
      <c r="B65" s="15" t="inlineStr">
        <is>
          <t>Fai</t>
        </is>
      </c>
      <c r="C65" s="10" t="n">
        <v>10</v>
      </c>
      <c r="D65" s="10" t="n">
        <v>25</v>
      </c>
      <c r="E65" s="17" t="n">
        <v>365</v>
      </c>
      <c r="F65" s="22" t="n">
        <v>0.0003</v>
      </c>
      <c r="G65" s="10" t="n">
        <v>900</v>
      </c>
      <c r="H65" s="12" t="n">
        <v>0.001</v>
      </c>
      <c r="I65" s="18" t="n">
        <v>10950</v>
      </c>
      <c r="J65" s="20" t="n">
        <v>10</v>
      </c>
      <c r="K65" s="19">
        <f>(F65*G65*E65*J65)/(D65*I65)</f>
        <v/>
      </c>
      <c r="L65" s="2">
        <f>(F65*G65*E65*5)/(D65*I65)</f>
        <v/>
      </c>
      <c r="M65" s="2">
        <f>(F65*G65*E65*10)/(D65*I65)</f>
        <v/>
      </c>
      <c r="N65" s="2">
        <f>(F65*G65*E65*15)/(D65*I65)</f>
        <v/>
      </c>
      <c r="O65" s="2">
        <f>(F65*G65*E65*20)/(D65*I65)</f>
        <v/>
      </c>
      <c r="P65" s="2">
        <f>(F65*G65*E65*25)/(D65*I65)</f>
        <v/>
      </c>
      <c r="Q65" s="2">
        <f>(F65*G65*E65*30)/(D65*I65)</f>
        <v/>
      </c>
      <c r="R65" s="2">
        <f>K65/H65</f>
        <v/>
      </c>
      <c r="S65" s="2">
        <f>L65/H65</f>
        <v/>
      </c>
      <c r="T65" s="2">
        <f>M65/H65</f>
        <v/>
      </c>
      <c r="U65" s="2">
        <f>N65/H65</f>
        <v/>
      </c>
      <c r="V65" s="2">
        <f>O65/H65</f>
        <v/>
      </c>
      <c r="W65" s="2">
        <f>P65/H65</f>
        <v/>
      </c>
      <c r="X65" s="2">
        <f>Q65/H65</f>
        <v/>
      </c>
      <c r="Y65" s="5">
        <f>IF(R65&gt;1,"1","2")</f>
        <v/>
      </c>
      <c r="Z65" s="5">
        <f>IF(S65&gt;1,"1","2")</f>
        <v/>
      </c>
      <c r="AA65" s="5">
        <f>IF(T65&gt;1,"1","2")</f>
        <v/>
      </c>
      <c r="AB65" s="5">
        <f>IF(U65&gt;1,"1","2")</f>
        <v/>
      </c>
      <c r="AC65" s="5">
        <f>IF(V65&gt;1,"1","2")</f>
        <v/>
      </c>
      <c r="AD65" s="5">
        <f>IF(W65&gt;1,"1","2")</f>
        <v/>
      </c>
      <c r="AE65" s="5">
        <f>IF(X65&gt;1,"1","2")</f>
        <v/>
      </c>
      <c r="AF65" t="n">
        <v>-5.14341</v>
      </c>
      <c r="AG65" t="n">
        <v>119.414385</v>
      </c>
    </row>
    <row r="66" ht="14.4" customHeight="1">
      <c r="A66" s="14" t="n">
        <v>63</v>
      </c>
      <c r="B66" s="15" t="inlineStr">
        <is>
          <t>Arm</t>
        </is>
      </c>
      <c r="C66" s="10" t="n">
        <v>10</v>
      </c>
      <c r="D66" s="10" t="n">
        <v>25</v>
      </c>
      <c r="E66" s="17" t="n">
        <v>365</v>
      </c>
      <c r="F66" s="22" t="n">
        <v>0.0003</v>
      </c>
      <c r="G66" s="10" t="n">
        <v>900</v>
      </c>
      <c r="H66" s="12" t="n">
        <v>0.001</v>
      </c>
      <c r="I66" s="18" t="n">
        <v>10950</v>
      </c>
      <c r="J66" s="20" t="n">
        <v>10</v>
      </c>
      <c r="K66" s="19">
        <f>(F66*G66*E66*J66)/(D66*I66)</f>
        <v/>
      </c>
      <c r="L66" s="2">
        <f>(F66*G66*E66*5)/(D66*I66)</f>
        <v/>
      </c>
      <c r="M66" s="2">
        <f>(F66*G66*E66*10)/(D66*I66)</f>
        <v/>
      </c>
      <c r="N66" s="2">
        <f>(F66*G66*E66*15)/(D66*I66)</f>
        <v/>
      </c>
      <c r="O66" s="2">
        <f>(F66*G66*E66*20)/(D66*I66)</f>
        <v/>
      </c>
      <c r="P66" s="2">
        <f>(F66*G66*E66*25)/(D66*I66)</f>
        <v/>
      </c>
      <c r="Q66" s="2">
        <f>(F66*G66*E66*30)/(D66*I66)</f>
        <v/>
      </c>
      <c r="R66" s="2">
        <f>K66/H66</f>
        <v/>
      </c>
      <c r="S66" s="2">
        <f>L66/H66</f>
        <v/>
      </c>
      <c r="T66" s="2">
        <f>M66/H66</f>
        <v/>
      </c>
      <c r="U66" s="2">
        <f>N66/H66</f>
        <v/>
      </c>
      <c r="V66" s="2">
        <f>O66/H66</f>
        <v/>
      </c>
      <c r="W66" s="2">
        <f>P66/H66</f>
        <v/>
      </c>
      <c r="X66" s="2">
        <f>Q66/H66</f>
        <v/>
      </c>
      <c r="Y66" s="5">
        <f>IF(R66&gt;1,"1","2")</f>
        <v/>
      </c>
      <c r="Z66" s="5">
        <f>IF(S66&gt;1,"1","2")</f>
        <v/>
      </c>
      <c r="AA66" s="5">
        <f>IF(T66&gt;1,"1","2")</f>
        <v/>
      </c>
      <c r="AB66" s="5">
        <f>IF(U66&gt;1,"1","2")</f>
        <v/>
      </c>
      <c r="AC66" s="5">
        <f>IF(V66&gt;1,"1","2")</f>
        <v/>
      </c>
      <c r="AD66" s="5">
        <f>IF(W66&gt;1,"1","2")</f>
        <v/>
      </c>
      <c r="AE66" s="5">
        <f>IF(X66&gt;1,"1","2")</f>
        <v/>
      </c>
      <c r="AF66" t="n">
        <v>-5.157168</v>
      </c>
      <c r="AG66" t="n">
        <v>119.421729</v>
      </c>
    </row>
    <row r="67" ht="14.4" customHeight="1">
      <c r="A67" s="14" t="n">
        <v>64</v>
      </c>
      <c r="B67" s="15" t="inlineStr">
        <is>
          <t>Dah</t>
        </is>
      </c>
      <c r="C67" s="10" t="n">
        <v>10</v>
      </c>
      <c r="D67" s="10" t="n">
        <v>30</v>
      </c>
      <c r="E67" s="17" t="n">
        <v>365</v>
      </c>
      <c r="F67" s="22" t="n">
        <v>0.0003</v>
      </c>
      <c r="G67" s="10" t="n">
        <v>900</v>
      </c>
      <c r="H67" s="12" t="n">
        <v>0.001</v>
      </c>
      <c r="I67" s="18" t="n">
        <v>10950</v>
      </c>
      <c r="J67" s="20" t="n">
        <v>10</v>
      </c>
      <c r="K67" s="19">
        <f>(F67*G67*E67*J67)/(D67*I67)</f>
        <v/>
      </c>
      <c r="L67" s="2">
        <f>(F67*G67*E67*5)/(D67*I67)</f>
        <v/>
      </c>
      <c r="M67" s="2">
        <f>(F67*G67*E67*10)/(D67*I67)</f>
        <v/>
      </c>
      <c r="N67" s="2">
        <f>(F67*G67*E67*15)/(D67*I67)</f>
        <v/>
      </c>
      <c r="O67" s="2">
        <f>(F67*G67*E67*20)/(D67*I67)</f>
        <v/>
      </c>
      <c r="P67" s="2">
        <f>(F67*G67*E67*25)/(D67*I67)</f>
        <v/>
      </c>
      <c r="Q67" s="2">
        <f>(F67*G67*E67*30)/(D67*I67)</f>
        <v/>
      </c>
      <c r="R67" s="2">
        <f>K67/H67</f>
        <v/>
      </c>
      <c r="S67" s="2">
        <f>L67/H67</f>
        <v/>
      </c>
      <c r="T67" s="2">
        <f>M67/H67</f>
        <v/>
      </c>
      <c r="U67" s="2">
        <f>N67/H67</f>
        <v/>
      </c>
      <c r="V67" s="2">
        <f>O67/H67</f>
        <v/>
      </c>
      <c r="W67" s="2">
        <f>P67/H67</f>
        <v/>
      </c>
      <c r="X67" s="2">
        <f>Q67/H67</f>
        <v/>
      </c>
      <c r="Y67" s="5">
        <f>IF(R67&gt;1,"1","2")</f>
        <v/>
      </c>
      <c r="Z67" s="5">
        <f>IF(S67&gt;1,"1","2")</f>
        <v/>
      </c>
      <c r="AA67" s="5">
        <f>IF(T67&gt;1,"1","2")</f>
        <v/>
      </c>
      <c r="AB67" s="5">
        <f>IF(U67&gt;1,"1","2")</f>
        <v/>
      </c>
      <c r="AC67" s="5">
        <f>IF(V67&gt;1,"1","2")</f>
        <v/>
      </c>
      <c r="AD67" s="5">
        <f>IF(W67&gt;1,"1","2")</f>
        <v/>
      </c>
      <c r="AE67" s="5">
        <f>IF(X67&gt;1,"1","2")</f>
        <v/>
      </c>
      <c r="AF67" t="n">
        <v>-5.157008</v>
      </c>
      <c r="AG67" t="n">
        <v>119.4383</v>
      </c>
    </row>
    <row r="68" ht="14.4" customHeight="1">
      <c r="A68" s="14" t="n">
        <v>65</v>
      </c>
      <c r="B68" s="15" t="inlineStr">
        <is>
          <t>Rpa</t>
        </is>
      </c>
      <c r="C68" s="10" t="n">
        <v>11</v>
      </c>
      <c r="D68" s="10" t="n">
        <v>33</v>
      </c>
      <c r="E68" s="17" t="n">
        <v>365</v>
      </c>
      <c r="F68" s="22" t="n">
        <v>0.0003</v>
      </c>
      <c r="G68" s="10" t="n">
        <v>900</v>
      </c>
      <c r="H68" s="12" t="n">
        <v>0.001</v>
      </c>
      <c r="I68" s="18" t="n">
        <v>10950</v>
      </c>
      <c r="J68" s="20" t="n">
        <v>11</v>
      </c>
      <c r="K68" s="19">
        <f>(F68*G68*E68*J68)/(D68*I68)</f>
        <v/>
      </c>
      <c r="L68" s="2">
        <f>(F68*G68*E68*5)/(D68*I68)</f>
        <v/>
      </c>
      <c r="M68" s="2">
        <f>(F68*G68*E68*10)/(D68*I68)</f>
        <v/>
      </c>
      <c r="N68" s="2">
        <f>(F68*G68*E68*15)/(D68*I68)</f>
        <v/>
      </c>
      <c r="O68" s="2">
        <f>(F68*G68*E68*20)/(D68*I68)</f>
        <v/>
      </c>
      <c r="P68" s="2">
        <f>(F68*G68*E68*25)/(D68*I68)</f>
        <v/>
      </c>
      <c r="Q68" s="2">
        <f>(F68*G68*E68*30)/(D68*I68)</f>
        <v/>
      </c>
      <c r="R68" s="2">
        <f>K68/H68</f>
        <v/>
      </c>
      <c r="S68" s="2">
        <f>L68/H68</f>
        <v/>
      </c>
      <c r="T68" s="2">
        <f>M68/H68</f>
        <v/>
      </c>
      <c r="U68" s="2">
        <f>N68/H68</f>
        <v/>
      </c>
      <c r="V68" s="2">
        <f>O68/H68</f>
        <v/>
      </c>
      <c r="W68" s="2">
        <f>P68/H68</f>
        <v/>
      </c>
      <c r="X68" s="2">
        <f>Q68/H68</f>
        <v/>
      </c>
      <c r="Y68" s="5">
        <f>IF(R68&gt;1,"1","2")</f>
        <v/>
      </c>
      <c r="Z68" s="5">
        <f>IF(S68&gt;1,"1","2")</f>
        <v/>
      </c>
      <c r="AA68" s="5">
        <f>IF(T68&gt;1,"1","2")</f>
        <v/>
      </c>
      <c r="AB68" s="5">
        <f>IF(U68&gt;1,"1","2")</f>
        <v/>
      </c>
      <c r="AC68" s="5">
        <f>IF(V68&gt;1,"1","2")</f>
        <v/>
      </c>
      <c r="AD68" s="5">
        <f>IF(W68&gt;1,"1","2")</f>
        <v/>
      </c>
      <c r="AE68" s="5">
        <f>IF(X68&gt;1,"1","2")</f>
        <v/>
      </c>
      <c r="AF68" t="n">
        <v>-5.130333</v>
      </c>
      <c r="AG68" t="n">
        <v>119.44704</v>
      </c>
    </row>
    <row r="69" ht="14.4" customHeight="1">
      <c r="A69" s="14" t="n">
        <v>66</v>
      </c>
      <c r="B69" s="15" t="inlineStr">
        <is>
          <t>Aik</t>
        </is>
      </c>
      <c r="C69" s="10" t="n">
        <v>11</v>
      </c>
      <c r="D69" s="10" t="n">
        <v>23</v>
      </c>
      <c r="E69" s="17" t="n">
        <v>365</v>
      </c>
      <c r="F69" s="22" t="n">
        <v>0.0003</v>
      </c>
      <c r="G69" s="10" t="n">
        <v>900</v>
      </c>
      <c r="H69" s="12" t="n">
        <v>0.001</v>
      </c>
      <c r="I69" s="18" t="n">
        <v>10950</v>
      </c>
      <c r="J69" s="20" t="n">
        <v>11</v>
      </c>
      <c r="K69" s="19">
        <f>(F69*G69*E69*J69)/(D69*I69)</f>
        <v/>
      </c>
      <c r="L69" s="2">
        <f>(F69*G69*E69*5)/(D69*I69)</f>
        <v/>
      </c>
      <c r="M69" s="2">
        <f>(F69*G69*E69*10)/(D69*I69)</f>
        <v/>
      </c>
      <c r="N69" s="2">
        <f>(F69*G69*E69*15)/(D69*I69)</f>
        <v/>
      </c>
      <c r="O69" s="2">
        <f>(F69*G69*E69*20)/(D69*I69)</f>
        <v/>
      </c>
      <c r="P69" s="2">
        <f>(F69*G69*E69*25)/(D69*I69)</f>
        <v/>
      </c>
      <c r="Q69" s="2">
        <f>(F69*G69*E69*30)/(D69*I69)</f>
        <v/>
      </c>
      <c r="R69" s="2">
        <f>K69/H69</f>
        <v/>
      </c>
      <c r="S69" s="2">
        <f>L69/H69</f>
        <v/>
      </c>
      <c r="T69" s="2">
        <f>M69/H69</f>
        <v/>
      </c>
      <c r="U69" s="2">
        <f>N69/H69</f>
        <v/>
      </c>
      <c r="V69" s="2">
        <f>O69/H69</f>
        <v/>
      </c>
      <c r="W69" s="2">
        <f>P69/H69</f>
        <v/>
      </c>
      <c r="X69" s="2">
        <f>Q69/H69</f>
        <v/>
      </c>
      <c r="Y69" s="5">
        <f>IF(R69&gt;1,"1","2")</f>
        <v/>
      </c>
      <c r="Z69" s="5">
        <f>IF(S69&gt;1,"1","2")</f>
        <v/>
      </c>
      <c r="AA69" s="5">
        <f>IF(T69&gt;1,"1","2")</f>
        <v/>
      </c>
      <c r="AB69" s="5">
        <f>IF(U69&gt;1,"1","2")</f>
        <v/>
      </c>
      <c r="AC69" s="5">
        <f>IF(V69&gt;1,"1","2")</f>
        <v/>
      </c>
      <c r="AD69" s="5">
        <f>IF(W69&gt;1,"1","2")</f>
        <v/>
      </c>
      <c r="AE69" s="5">
        <f>IF(X69&gt;1,"1","2")</f>
        <v/>
      </c>
      <c r="AF69" t="n">
        <v>-5.13263</v>
      </c>
      <c r="AG69" t="n">
        <v>119.404792</v>
      </c>
    </row>
    <row r="70" ht="14.4" customHeight="1">
      <c r="A70" s="14" t="n">
        <v>67</v>
      </c>
      <c r="B70" s="15" t="inlineStr">
        <is>
          <t>Fa</t>
        </is>
      </c>
      <c r="C70" s="10" t="n">
        <v>11</v>
      </c>
      <c r="D70" s="10" t="n">
        <v>34</v>
      </c>
      <c r="E70" s="17" t="n">
        <v>365</v>
      </c>
      <c r="F70" s="22" t="n">
        <v>0.0003</v>
      </c>
      <c r="G70" s="10" t="n">
        <v>1200</v>
      </c>
      <c r="H70" s="12" t="n">
        <v>0.001</v>
      </c>
      <c r="I70" s="18" t="n">
        <v>10950</v>
      </c>
      <c r="J70" s="20" t="n">
        <v>11</v>
      </c>
      <c r="K70" s="19">
        <f>(F70*G70*E70*J70)/(D70*I70)</f>
        <v/>
      </c>
      <c r="L70" s="2">
        <f>(F70*G70*E70*5)/(D70*I70)</f>
        <v/>
      </c>
      <c r="M70" s="2">
        <f>(F70*G70*E70*10)/(D70*I70)</f>
        <v/>
      </c>
      <c r="N70" s="2">
        <f>(F70*G70*E70*15)/(D70*I70)</f>
        <v/>
      </c>
      <c r="O70" s="2">
        <f>(F70*G70*E70*20)/(D70*I70)</f>
        <v/>
      </c>
      <c r="P70" s="2">
        <f>(F70*G70*E70*25)/(D70*I70)</f>
        <v/>
      </c>
      <c r="Q70" s="2">
        <f>(F70*G70*E70*30)/(D70*I70)</f>
        <v/>
      </c>
      <c r="R70" s="2">
        <f>K70/H70</f>
        <v/>
      </c>
      <c r="S70" s="2">
        <f>L70/H70</f>
        <v/>
      </c>
      <c r="T70" s="2">
        <f>M70/H70</f>
        <v/>
      </c>
      <c r="U70" s="2">
        <f>N70/H70</f>
        <v/>
      </c>
      <c r="V70" s="2">
        <f>O70/H70</f>
        <v/>
      </c>
      <c r="W70" s="2">
        <f>P70/H70</f>
        <v/>
      </c>
      <c r="X70" s="2">
        <f>Q70/H70</f>
        <v/>
      </c>
      <c r="Y70" s="5">
        <f>IF(R70&gt;1,"1","2")</f>
        <v/>
      </c>
      <c r="Z70" s="5">
        <f>IF(S70&gt;1,"1","2")</f>
        <v/>
      </c>
      <c r="AA70" s="5">
        <f>IF(T70&gt;1,"1","2")</f>
        <v/>
      </c>
      <c r="AB70" s="5">
        <f>IF(U70&gt;1,"1","2")</f>
        <v/>
      </c>
      <c r="AC70" s="5">
        <f>IF(V70&gt;1,"1","2")</f>
        <v/>
      </c>
      <c r="AD70" s="5">
        <f>IF(W70&gt;1,"1","2")</f>
        <v/>
      </c>
      <c r="AE70" s="5">
        <f>IF(X70&gt;1,"1","2")</f>
        <v/>
      </c>
      <c r="AF70" t="n">
        <v>-5.123609</v>
      </c>
      <c r="AG70" t="n">
        <v>119.414704</v>
      </c>
    </row>
    <row r="71" ht="14.4" customHeight="1">
      <c r="A71" s="14" t="n">
        <v>68</v>
      </c>
      <c r="B71" s="15" t="inlineStr">
        <is>
          <t>Pan</t>
        </is>
      </c>
      <c r="C71" s="10" t="n">
        <v>11</v>
      </c>
      <c r="D71" s="10" t="n">
        <v>32</v>
      </c>
      <c r="E71" s="17" t="n">
        <v>365</v>
      </c>
      <c r="F71" s="22" t="n">
        <v>0.0003</v>
      </c>
      <c r="G71" s="10" t="n">
        <v>900</v>
      </c>
      <c r="H71" s="12" t="n">
        <v>0.001</v>
      </c>
      <c r="I71" s="18" t="n">
        <v>10950</v>
      </c>
      <c r="J71" s="20" t="n">
        <v>11</v>
      </c>
      <c r="K71" s="19">
        <f>(F71*G71*E71*J71)/(D71*I71)</f>
        <v/>
      </c>
      <c r="L71" s="2">
        <f>(F71*G71*E71*5)/(D71*I71)</f>
        <v/>
      </c>
      <c r="M71" s="2">
        <f>(F71*G71*E71*10)/(D71*I71)</f>
        <v/>
      </c>
      <c r="N71" s="2">
        <f>(F71*G71*E71*15)/(D71*I71)</f>
        <v/>
      </c>
      <c r="O71" s="2">
        <f>(F71*G71*E71*20)/(D71*I71)</f>
        <v/>
      </c>
      <c r="P71" s="2">
        <f>(F71*G71*E71*25)/(D71*I71)</f>
        <v/>
      </c>
      <c r="Q71" s="2">
        <f>(F71*G71*E71*30)/(D71*I71)</f>
        <v/>
      </c>
      <c r="R71" s="2">
        <f>K71/H71</f>
        <v/>
      </c>
      <c r="S71" s="2">
        <f>L71/H71</f>
        <v/>
      </c>
      <c r="T71" s="2">
        <f>M71/H71</f>
        <v/>
      </c>
      <c r="U71" s="2">
        <f>N71/H71</f>
        <v/>
      </c>
      <c r="V71" s="2">
        <f>O71/H71</f>
        <v/>
      </c>
      <c r="W71" s="2">
        <f>P71/H71</f>
        <v/>
      </c>
      <c r="X71" s="2">
        <f>Q71/H71</f>
        <v/>
      </c>
      <c r="Y71" s="5">
        <f>IF(R71&gt;1,"1","2")</f>
        <v/>
      </c>
      <c r="Z71" s="5">
        <f>IF(S71&gt;1,"1","2")</f>
        <v/>
      </c>
      <c r="AA71" s="5">
        <f>IF(T71&gt;1,"1","2")</f>
        <v/>
      </c>
      <c r="AB71" s="5">
        <f>IF(U71&gt;1,"1","2")</f>
        <v/>
      </c>
      <c r="AC71" s="5">
        <f>IF(V71&gt;1,"1","2")</f>
        <v/>
      </c>
      <c r="AD71" s="5">
        <f>IF(W71&gt;1,"1","2")</f>
        <v/>
      </c>
      <c r="AE71" s="5">
        <f>IF(X71&gt;1,"1","2")</f>
        <v/>
      </c>
      <c r="AF71" t="n">
        <v>-5.14705</v>
      </c>
      <c r="AG71" t="n">
        <v>119.431001</v>
      </c>
    </row>
    <row r="72" ht="14.4" customHeight="1">
      <c r="A72" s="14" t="n">
        <v>69</v>
      </c>
      <c r="B72" s="15" t="inlineStr">
        <is>
          <t>Idbp</t>
        </is>
      </c>
      <c r="C72" s="10" t="n">
        <v>11</v>
      </c>
      <c r="D72" s="10" t="n">
        <v>29</v>
      </c>
      <c r="E72" s="17" t="n">
        <v>365</v>
      </c>
      <c r="F72" s="22" t="n">
        <v>0.0003</v>
      </c>
      <c r="G72" s="10" t="n">
        <v>1200</v>
      </c>
      <c r="H72" s="12" t="n">
        <v>0.001</v>
      </c>
      <c r="I72" s="18" t="n">
        <v>10950</v>
      </c>
      <c r="J72" s="20" t="n">
        <v>11</v>
      </c>
      <c r="K72" s="19">
        <f>(F72*G72*E72*J72)/(D72*I72)</f>
        <v/>
      </c>
      <c r="L72" s="2">
        <f>(F72*G72*E72*5)/(D72*I72)</f>
        <v/>
      </c>
      <c r="M72" s="2">
        <f>(F72*G72*E72*10)/(D72*I72)</f>
        <v/>
      </c>
      <c r="N72" s="2">
        <f>(F72*G72*E72*15)/(D72*I72)</f>
        <v/>
      </c>
      <c r="O72" s="2">
        <f>(F72*G72*E72*20)/(D72*I72)</f>
        <v/>
      </c>
      <c r="P72" s="2">
        <f>(F72*G72*E72*25)/(D72*I72)</f>
        <v/>
      </c>
      <c r="Q72" s="2">
        <f>(F72*G72*E72*30)/(D72*I72)</f>
        <v/>
      </c>
      <c r="R72" s="2">
        <f>K72/H72</f>
        <v/>
      </c>
      <c r="S72" s="2">
        <f>L72/H72</f>
        <v/>
      </c>
      <c r="T72" s="2">
        <f>M72/H72</f>
        <v/>
      </c>
      <c r="U72" s="2">
        <f>N72/H72</f>
        <v/>
      </c>
      <c r="V72" s="2">
        <f>O72/H72</f>
        <v/>
      </c>
      <c r="W72" s="2">
        <f>P72/H72</f>
        <v/>
      </c>
      <c r="X72" s="2">
        <f>Q72/H72</f>
        <v/>
      </c>
      <c r="Y72" s="5">
        <f>IF(R72&gt;1,"1","2")</f>
        <v/>
      </c>
      <c r="Z72" s="5">
        <f>IF(S72&gt;1,"1","2")</f>
        <v/>
      </c>
      <c r="AA72" s="5">
        <f>IF(T72&gt;1,"1","2")</f>
        <v/>
      </c>
      <c r="AB72" s="5">
        <f>IF(U72&gt;1,"1","2")</f>
        <v/>
      </c>
      <c r="AC72" s="5">
        <f>IF(V72&gt;1,"1","2")</f>
        <v/>
      </c>
      <c r="AD72" s="5">
        <f>IF(W72&gt;1,"1","2")</f>
        <v/>
      </c>
      <c r="AE72" s="5">
        <f>IF(X72&gt;1,"1","2")</f>
        <v/>
      </c>
      <c r="AF72" t="n">
        <v>-5.157063</v>
      </c>
      <c r="AG72" t="n">
        <v>119.429718</v>
      </c>
    </row>
    <row r="73" ht="14.4" customHeight="1">
      <c r="A73" s="14" t="n">
        <v>70</v>
      </c>
      <c r="B73" s="15" t="inlineStr">
        <is>
          <t>Raf</t>
        </is>
      </c>
      <c r="C73" s="10" t="n">
        <v>11</v>
      </c>
      <c r="D73" s="10" t="n">
        <v>29</v>
      </c>
      <c r="E73" s="17" t="n">
        <v>365</v>
      </c>
      <c r="F73" s="22" t="n">
        <v>0.0003</v>
      </c>
      <c r="G73" s="10" t="n">
        <v>1200</v>
      </c>
      <c r="H73" s="12" t="n">
        <v>0.001</v>
      </c>
      <c r="I73" s="18" t="n">
        <v>10950</v>
      </c>
      <c r="J73" s="20" t="n">
        <v>11</v>
      </c>
      <c r="K73" s="19">
        <f>(F73*G73*E73*J73)/(D73*I73)</f>
        <v/>
      </c>
      <c r="L73" s="2">
        <f>(F73*G73*E73*5)/(D73*I73)</f>
        <v/>
      </c>
      <c r="M73" s="2">
        <f>(F73*G73*E73*10)/(D73*I73)</f>
        <v/>
      </c>
      <c r="N73" s="2">
        <f>(F73*G73*E73*15)/(D73*I73)</f>
        <v/>
      </c>
      <c r="O73" s="2">
        <f>(F73*G73*E73*20)/(D73*I73)</f>
        <v/>
      </c>
      <c r="P73" s="2">
        <f>(F73*G73*E73*25)/(D73*I73)</f>
        <v/>
      </c>
      <c r="Q73" s="2">
        <f>(F73*G73*E73*30)/(D73*I73)</f>
        <v/>
      </c>
      <c r="R73" s="2">
        <f>K73/H73</f>
        <v/>
      </c>
      <c r="S73" s="2">
        <f>L73/H73</f>
        <v/>
      </c>
      <c r="T73" s="2">
        <f>M73/H73</f>
        <v/>
      </c>
      <c r="U73" s="2">
        <f>N73/H73</f>
        <v/>
      </c>
      <c r="V73" s="2">
        <f>O73/H73</f>
        <v/>
      </c>
      <c r="W73" s="2">
        <f>P73/H73</f>
        <v/>
      </c>
      <c r="X73" s="2">
        <f>Q73/H73</f>
        <v/>
      </c>
      <c r="Y73" s="5">
        <f>IF(R73&gt;1,"1","2")</f>
        <v/>
      </c>
      <c r="Z73" s="5">
        <f>IF(S73&gt;1,"1","2")</f>
        <v/>
      </c>
      <c r="AA73" s="5">
        <f>IF(T73&gt;1,"1","2")</f>
        <v/>
      </c>
      <c r="AB73" s="5">
        <f>IF(U73&gt;1,"1","2")</f>
        <v/>
      </c>
      <c r="AC73" s="5">
        <f>IF(V73&gt;1,"1","2")</f>
        <v/>
      </c>
      <c r="AD73" s="5">
        <f>IF(W73&gt;1,"1","2")</f>
        <v/>
      </c>
      <c r="AE73" s="5">
        <f>IF(X73&gt;1,"1","2")</f>
        <v/>
      </c>
      <c r="AF73" t="n">
        <v>-5.148807</v>
      </c>
      <c r="AG73" t="n">
        <v>119.425107</v>
      </c>
    </row>
    <row r="74" ht="14.4" customHeight="1">
      <c r="A74" s="14" t="n">
        <v>71</v>
      </c>
      <c r="B74" s="15" t="inlineStr">
        <is>
          <t>Igp</t>
        </is>
      </c>
      <c r="C74" s="10" t="n">
        <v>11</v>
      </c>
      <c r="D74" s="10" t="n">
        <v>20</v>
      </c>
      <c r="E74" s="17" t="n">
        <v>365</v>
      </c>
      <c r="F74" s="22" t="n">
        <v>0.0003</v>
      </c>
      <c r="G74" s="10" t="n">
        <v>900</v>
      </c>
      <c r="H74" s="12" t="n">
        <v>0.001</v>
      </c>
      <c r="I74" s="18" t="n">
        <v>10950</v>
      </c>
      <c r="J74" s="20" t="n">
        <v>1</v>
      </c>
      <c r="K74" s="19">
        <f>(F74*G74*E74*J74)/(D74*I74)</f>
        <v/>
      </c>
      <c r="L74" s="2">
        <f>(F74*G74*E74*5)/(D74*I74)</f>
        <v/>
      </c>
      <c r="M74" s="2">
        <f>(F74*G74*E74*10)/(D74*I74)</f>
        <v/>
      </c>
      <c r="N74" s="2">
        <f>(F74*G74*E74*15)/(D74*I74)</f>
        <v/>
      </c>
      <c r="O74" s="2">
        <f>(F74*G74*E74*20)/(D74*I74)</f>
        <v/>
      </c>
      <c r="P74" s="2">
        <f>(F74*G74*E74*25)/(D74*I74)</f>
        <v/>
      </c>
      <c r="Q74" s="2">
        <f>(F74*G74*E74*30)/(D74*I74)</f>
        <v/>
      </c>
      <c r="R74" s="2">
        <f>K74/H74</f>
        <v/>
      </c>
      <c r="S74" s="2">
        <f>L74/H74</f>
        <v/>
      </c>
      <c r="T74" s="2">
        <f>M74/H74</f>
        <v/>
      </c>
      <c r="U74" s="2">
        <f>N74/H74</f>
        <v/>
      </c>
      <c r="V74" s="2">
        <f>O74/H74</f>
        <v/>
      </c>
      <c r="W74" s="2">
        <f>P74/H74</f>
        <v/>
      </c>
      <c r="X74" s="2">
        <f>Q74/H74</f>
        <v/>
      </c>
      <c r="Y74" s="5">
        <f>IF(R74&gt;1,"1","2")</f>
        <v/>
      </c>
      <c r="Z74" s="5">
        <f>IF(S74&gt;1,"1","2")</f>
        <v/>
      </c>
      <c r="AA74" s="5">
        <f>IF(T74&gt;1,"1","2")</f>
        <v/>
      </c>
      <c r="AB74" s="5">
        <f>IF(U74&gt;1,"1","2")</f>
        <v/>
      </c>
      <c r="AC74" s="5">
        <f>IF(V74&gt;1,"1","2")</f>
        <v/>
      </c>
      <c r="AD74" s="5">
        <f>IF(W74&gt;1,"1","2")</f>
        <v/>
      </c>
      <c r="AE74" s="5">
        <f>IF(X74&gt;1,"1","2")</f>
        <v/>
      </c>
      <c r="AF74" t="n">
        <v>-5.125611</v>
      </c>
      <c r="AG74" t="n">
        <v>119.425764</v>
      </c>
    </row>
    <row r="75" ht="14.4" customHeight="1">
      <c r="A75" s="14" t="n">
        <v>72</v>
      </c>
      <c r="B75" s="15" t="inlineStr">
        <is>
          <t>Kbi</t>
        </is>
      </c>
      <c r="C75" s="10" t="n">
        <v>11</v>
      </c>
      <c r="D75" s="10" t="n">
        <v>26</v>
      </c>
      <c r="E75" s="17" t="n">
        <v>365</v>
      </c>
      <c r="F75" s="22" t="n">
        <v>0.0003</v>
      </c>
      <c r="G75" s="10" t="n">
        <v>900</v>
      </c>
      <c r="H75" s="12" t="n">
        <v>0.001</v>
      </c>
      <c r="I75" s="18" t="n">
        <v>10950</v>
      </c>
      <c r="J75" s="20" t="n">
        <v>1</v>
      </c>
      <c r="K75" s="19">
        <f>(F75*G75*E75*J75)/(D75*I75)</f>
        <v/>
      </c>
      <c r="L75" s="2">
        <f>(F75*G75*E75*5)/(D75*I75)</f>
        <v/>
      </c>
      <c r="M75" s="2">
        <f>(F75*G75*E75*10)/(D75*I75)</f>
        <v/>
      </c>
      <c r="N75" s="2">
        <f>(F75*G75*E75*15)/(D75*I75)</f>
        <v/>
      </c>
      <c r="O75" s="2">
        <f>(F75*G75*E75*20)/(D75*I75)</f>
        <v/>
      </c>
      <c r="P75" s="2">
        <f>(F75*G75*E75*25)/(D75*I75)</f>
        <v/>
      </c>
      <c r="Q75" s="2">
        <f>(F75*G75*E75*30)/(D75*I75)</f>
        <v/>
      </c>
      <c r="R75" s="2">
        <f>K75/H75</f>
        <v/>
      </c>
      <c r="S75" s="2">
        <f>L75/H75</f>
        <v/>
      </c>
      <c r="T75" s="2">
        <f>M75/H75</f>
        <v/>
      </c>
      <c r="U75" s="2">
        <f>N75/H75</f>
        <v/>
      </c>
      <c r="V75" s="2">
        <f>O75/H75</f>
        <v/>
      </c>
      <c r="W75" s="2">
        <f>P75/H75</f>
        <v/>
      </c>
      <c r="X75" s="2">
        <f>Q75/H75</f>
        <v/>
      </c>
      <c r="Y75" s="5">
        <f>IF(R75&gt;1,"1","2")</f>
        <v/>
      </c>
      <c r="Z75" s="5">
        <f>IF(S75&gt;1,"1","2")</f>
        <v/>
      </c>
      <c r="AA75" s="5">
        <f>IF(T75&gt;1,"1","2")</f>
        <v/>
      </c>
      <c r="AB75" s="5">
        <f>IF(U75&gt;1,"1","2")</f>
        <v/>
      </c>
      <c r="AC75" s="5">
        <f>IF(V75&gt;1,"1","2")</f>
        <v/>
      </c>
      <c r="AD75" s="5">
        <f>IF(W75&gt;1,"1","2")</f>
        <v/>
      </c>
      <c r="AE75" s="5">
        <f>IF(X75&gt;1,"1","2")</f>
        <v/>
      </c>
      <c r="AF75" t="n">
        <v>-5.141966</v>
      </c>
      <c r="AG75" t="n">
        <v>119.421831</v>
      </c>
    </row>
    <row r="76" ht="14.4" customHeight="1">
      <c r="A76" s="14" t="n">
        <v>73</v>
      </c>
      <c r="B76" s="15" t="inlineStr">
        <is>
          <t>Iwp</t>
        </is>
      </c>
      <c r="C76" s="10" t="n">
        <v>11</v>
      </c>
      <c r="D76" s="10" t="n">
        <v>31</v>
      </c>
      <c r="E76" s="17" t="n">
        <v>365</v>
      </c>
      <c r="F76" s="22" t="n">
        <v>0.0003</v>
      </c>
      <c r="G76" s="10" t="n">
        <v>1200</v>
      </c>
      <c r="H76" s="12" t="n">
        <v>0.001</v>
      </c>
      <c r="I76" s="18" t="n">
        <v>10950</v>
      </c>
      <c r="J76" s="20" t="n">
        <v>11</v>
      </c>
      <c r="K76" s="19">
        <f>(F76*G76*E76*J76)/(D76*I76)</f>
        <v/>
      </c>
      <c r="L76" s="2">
        <f>(F76*G76*E76*5)/(D76*I76)</f>
        <v/>
      </c>
      <c r="M76" s="2">
        <f>(F76*G76*E76*10)/(D76*I76)</f>
        <v/>
      </c>
      <c r="N76" s="2">
        <f>(F76*G76*E76*15)/(D76*I76)</f>
        <v/>
      </c>
      <c r="O76" s="2">
        <f>(F76*G76*E76*20)/(D76*I76)</f>
        <v/>
      </c>
      <c r="P76" s="2">
        <f>(F76*G76*E76*25)/(D76*I76)</f>
        <v/>
      </c>
      <c r="Q76" s="2">
        <f>(F76*G76*E76*30)/(D76*I76)</f>
        <v/>
      </c>
      <c r="R76" s="2">
        <f>K76/H76</f>
        <v/>
      </c>
      <c r="S76" s="2">
        <f>L76/H76</f>
        <v/>
      </c>
      <c r="T76" s="2">
        <f>M76/H76</f>
        <v/>
      </c>
      <c r="U76" s="2">
        <f>N76/H76</f>
        <v/>
      </c>
      <c r="V76" s="2">
        <f>O76/H76</f>
        <v/>
      </c>
      <c r="W76" s="2">
        <f>P76/H76</f>
        <v/>
      </c>
      <c r="X76" s="2">
        <f>Q76/H76</f>
        <v/>
      </c>
      <c r="Y76" s="5">
        <f>IF(R76&gt;1,"1","2")</f>
        <v/>
      </c>
      <c r="Z76" s="5">
        <f>IF(S76&gt;1,"1","2")</f>
        <v/>
      </c>
      <c r="AA76" s="5">
        <f>IF(T76&gt;1,"1","2")</f>
        <v/>
      </c>
      <c r="AB76" s="5">
        <f>IF(U76&gt;1,"1","2")</f>
        <v/>
      </c>
      <c r="AC76" s="5">
        <f>IF(V76&gt;1,"1","2")</f>
        <v/>
      </c>
      <c r="AD76" s="5">
        <f>IF(W76&gt;1,"1","2")</f>
        <v/>
      </c>
      <c r="AE76" s="5">
        <f>IF(X76&gt;1,"1","2")</f>
        <v/>
      </c>
      <c r="AF76" t="n">
        <v>-5.145178</v>
      </c>
      <c r="AG76" t="n">
        <v>119.447509</v>
      </c>
    </row>
    <row r="77" ht="14.4" customHeight="1">
      <c r="A77" s="14" t="n">
        <v>74</v>
      </c>
      <c r="B77" s="15" t="inlineStr">
        <is>
          <t>Suk</t>
        </is>
      </c>
      <c r="C77" s="10" t="n">
        <v>11</v>
      </c>
      <c r="D77" s="10" t="n">
        <v>28</v>
      </c>
      <c r="E77" s="17" t="n">
        <v>365</v>
      </c>
      <c r="F77" s="22" t="n">
        <v>0.0003</v>
      </c>
      <c r="G77" s="10" t="n">
        <v>1200</v>
      </c>
      <c r="H77" s="12" t="n">
        <v>0.001</v>
      </c>
      <c r="I77" s="18" t="n">
        <v>10950</v>
      </c>
      <c r="J77" s="20" t="n">
        <v>11</v>
      </c>
      <c r="K77" s="19">
        <f>(F77*G77*E77*J77)/(D77*I77)</f>
        <v/>
      </c>
      <c r="L77" s="2">
        <f>(F77*G77*E77*5)/(D77*I77)</f>
        <v/>
      </c>
      <c r="M77" s="2">
        <f>(F77*G77*E77*10)/(D77*I77)</f>
        <v/>
      </c>
      <c r="N77" s="2">
        <f>(F77*G77*E77*15)/(D77*I77)</f>
        <v/>
      </c>
      <c r="O77" s="2">
        <f>(F77*G77*E77*20)/(D77*I77)</f>
        <v/>
      </c>
      <c r="P77" s="2">
        <f>(F77*G77*E77*25)/(D77*I77)</f>
        <v/>
      </c>
      <c r="Q77" s="2">
        <f>(F77*G77*E77*30)/(D77*I77)</f>
        <v/>
      </c>
      <c r="R77" s="2">
        <f>K77/H77</f>
        <v/>
      </c>
      <c r="S77" s="2">
        <f>L77/H77</f>
        <v/>
      </c>
      <c r="T77" s="2">
        <f>M77/H77</f>
        <v/>
      </c>
      <c r="U77" s="2">
        <f>N77/H77</f>
        <v/>
      </c>
      <c r="V77" s="2">
        <f>O77/H77</f>
        <v/>
      </c>
      <c r="W77" s="2">
        <f>P77/H77</f>
        <v/>
      </c>
      <c r="X77" s="2">
        <f>Q77/H77</f>
        <v/>
      </c>
      <c r="Y77" s="5">
        <f>IF(R77&gt;1,"1","2")</f>
        <v/>
      </c>
      <c r="Z77" s="5">
        <f>IF(S77&gt;1,"1","2")</f>
        <v/>
      </c>
      <c r="AA77" s="5">
        <f>IF(T77&gt;1,"1","2")</f>
        <v/>
      </c>
      <c r="AB77" s="5">
        <f>IF(U77&gt;1,"1","2")</f>
        <v/>
      </c>
      <c r="AC77" s="5">
        <f>IF(V77&gt;1,"1","2")</f>
        <v/>
      </c>
      <c r="AD77" s="5">
        <f>IF(W77&gt;1,"1","2")</f>
        <v/>
      </c>
      <c r="AE77" s="5">
        <f>IF(X77&gt;1,"1","2")</f>
        <v/>
      </c>
      <c r="AF77" t="n">
        <v>-5.128035</v>
      </c>
      <c r="AG77" t="n">
        <v>119.416295</v>
      </c>
    </row>
    <row r="78" ht="14.4" customHeight="1">
      <c r="A78" s="14" t="n">
        <v>75</v>
      </c>
      <c r="B78" s="15" t="inlineStr">
        <is>
          <t>Tyr</t>
        </is>
      </c>
      <c r="C78" s="10" t="n">
        <v>11</v>
      </c>
      <c r="D78" s="10" t="n">
        <v>35</v>
      </c>
      <c r="E78" s="17" t="n">
        <v>365</v>
      </c>
      <c r="F78" s="22" t="n">
        <v>0.0003</v>
      </c>
      <c r="G78" s="10" t="n">
        <v>900</v>
      </c>
      <c r="H78" s="12" t="n">
        <v>0.001</v>
      </c>
      <c r="I78" s="18" t="n">
        <v>10950</v>
      </c>
      <c r="J78" s="20" t="n">
        <v>6</v>
      </c>
      <c r="K78" s="19">
        <f>(F78*G78*E78*J78)/(D78*I78)</f>
        <v/>
      </c>
      <c r="L78" s="2">
        <f>(F78*G78*E78*5)/(D78*I78)</f>
        <v/>
      </c>
      <c r="M78" s="2">
        <f>(F78*G78*E78*10)/(D78*I78)</f>
        <v/>
      </c>
      <c r="N78" s="2">
        <f>(F78*G78*E78*15)/(D78*I78)</f>
        <v/>
      </c>
      <c r="O78" s="2">
        <f>(F78*G78*E78*20)/(D78*I78)</f>
        <v/>
      </c>
      <c r="P78" s="2">
        <f>(F78*G78*E78*25)/(D78*I78)</f>
        <v/>
      </c>
      <c r="Q78" s="2">
        <f>(F78*G78*E78*30)/(D78*I78)</f>
        <v/>
      </c>
      <c r="R78" s="2">
        <f>K78/H78</f>
        <v/>
      </c>
      <c r="S78" s="2">
        <f>L78/H78</f>
        <v/>
      </c>
      <c r="T78" s="2">
        <f>M78/H78</f>
        <v/>
      </c>
      <c r="U78" s="2">
        <f>N78/H78</f>
        <v/>
      </c>
      <c r="V78" s="2">
        <f>O78/H78</f>
        <v/>
      </c>
      <c r="W78" s="2">
        <f>P78/H78</f>
        <v/>
      </c>
      <c r="X78" s="2">
        <f>Q78/H78</f>
        <v/>
      </c>
      <c r="Y78" s="5">
        <f>IF(R78&gt;1,"1","2")</f>
        <v/>
      </c>
      <c r="Z78" s="5">
        <f>IF(S78&gt;1,"1","2")</f>
        <v/>
      </c>
      <c r="AA78" s="5">
        <f>IF(T78&gt;1,"1","2")</f>
        <v/>
      </c>
      <c r="AB78" s="5">
        <f>IF(U78&gt;1,"1","2")</f>
        <v/>
      </c>
      <c r="AC78" s="5">
        <f>IF(V78&gt;1,"1","2")</f>
        <v/>
      </c>
      <c r="AD78" s="5">
        <f>IF(W78&gt;1,"1","2")</f>
        <v/>
      </c>
      <c r="AE78" s="5">
        <f>IF(X78&gt;1,"1","2")</f>
        <v/>
      </c>
      <c r="AF78" t="n">
        <v>-5.127421</v>
      </c>
      <c r="AG78" t="n">
        <v>119.404801</v>
      </c>
    </row>
    <row r="79" ht="14.4" customHeight="1">
      <c r="A79" s="14" t="n">
        <v>76</v>
      </c>
      <c r="B79" s="15" t="inlineStr">
        <is>
          <t>Iwd</t>
        </is>
      </c>
      <c r="C79" s="10" t="n">
        <v>11</v>
      </c>
      <c r="D79" s="10" t="n">
        <v>31</v>
      </c>
      <c r="E79" s="17" t="n">
        <v>365</v>
      </c>
      <c r="F79" s="22" t="n">
        <v>0.0003</v>
      </c>
      <c r="G79" s="10" t="n">
        <v>1200</v>
      </c>
      <c r="H79" s="12" t="n">
        <v>0.001</v>
      </c>
      <c r="I79" s="18" t="n">
        <v>10950</v>
      </c>
      <c r="J79" s="20" t="n">
        <v>11</v>
      </c>
      <c r="K79" s="19">
        <f>(F79*G79*E79*J79)/(D79*I79)</f>
        <v/>
      </c>
      <c r="L79" s="2">
        <f>(F79*G79*E79*5)/(D79*I79)</f>
        <v/>
      </c>
      <c r="M79" s="2">
        <f>(F79*G79*E79*10)/(D79*I79)</f>
        <v/>
      </c>
      <c r="N79" s="2">
        <f>(F79*G79*E79*15)/(D79*I79)</f>
        <v/>
      </c>
      <c r="O79" s="2">
        <f>(F79*G79*E79*20)/(D79*I79)</f>
        <v/>
      </c>
      <c r="P79" s="2">
        <f>(F79*G79*E79*25)/(D79*I79)</f>
        <v/>
      </c>
      <c r="Q79" s="2">
        <f>(F79*G79*E79*30)/(D79*I79)</f>
        <v/>
      </c>
      <c r="R79" s="2">
        <f>K79/H79</f>
        <v/>
      </c>
      <c r="S79" s="2">
        <f>L79/H79</f>
        <v/>
      </c>
      <c r="T79" s="2">
        <f>M79/H79</f>
        <v/>
      </c>
      <c r="U79" s="2">
        <f>N79/H79</f>
        <v/>
      </c>
      <c r="V79" s="2">
        <f>O79/H79</f>
        <v/>
      </c>
      <c r="W79" s="2">
        <f>P79/H79</f>
        <v/>
      </c>
      <c r="X79" s="2">
        <f>Q79/H79</f>
        <v/>
      </c>
      <c r="Y79" s="5">
        <f>IF(R79&gt;1,"1","2")</f>
        <v/>
      </c>
      <c r="Z79" s="5">
        <f>IF(S79&gt;1,"1","2")</f>
        <v/>
      </c>
      <c r="AA79" s="5">
        <f>IF(T79&gt;1,"1","2")</f>
        <v/>
      </c>
      <c r="AB79" s="5">
        <f>IF(U79&gt;1,"1","2")</f>
        <v/>
      </c>
      <c r="AC79" s="5">
        <f>IF(V79&gt;1,"1","2")</f>
        <v/>
      </c>
      <c r="AD79" s="5">
        <f>IF(W79&gt;1,"1","2")</f>
        <v/>
      </c>
      <c r="AE79" s="5">
        <f>IF(X79&gt;1,"1","2")</f>
        <v/>
      </c>
      <c r="AF79" t="n">
        <v>-5.154187</v>
      </c>
      <c r="AG79" t="n">
        <v>119.417476</v>
      </c>
    </row>
    <row r="80" ht="14.4" customHeight="1">
      <c r="A80" s="14" t="n">
        <v>77</v>
      </c>
      <c r="B80" s="15" t="inlineStr">
        <is>
          <t>Gbt</t>
        </is>
      </c>
      <c r="C80" s="10" t="n">
        <v>11</v>
      </c>
      <c r="D80" s="10" t="n">
        <v>20</v>
      </c>
      <c r="E80" s="17" t="n">
        <v>365</v>
      </c>
      <c r="F80" s="22" t="n">
        <v>0.0003</v>
      </c>
      <c r="G80" s="10" t="n">
        <v>900</v>
      </c>
      <c r="H80" s="12" t="n">
        <v>0.001</v>
      </c>
      <c r="I80" s="18" t="n">
        <v>10950</v>
      </c>
      <c r="J80" s="20" t="n">
        <v>1</v>
      </c>
      <c r="K80" s="19">
        <f>(F80*G80*E80*J80)/(D80*I80)</f>
        <v/>
      </c>
      <c r="L80" s="2">
        <f>(F80*G80*E80*5)/(D80*I80)</f>
        <v/>
      </c>
      <c r="M80" s="2">
        <f>(F80*G80*E80*10)/(D80*I80)</f>
        <v/>
      </c>
      <c r="N80" s="2">
        <f>(F80*G80*E80*15)/(D80*I80)</f>
        <v/>
      </c>
      <c r="O80" s="2">
        <f>(F80*G80*E80*20)/(D80*I80)</f>
        <v/>
      </c>
      <c r="P80" s="2">
        <f>(F80*G80*E80*25)/(D80*I80)</f>
        <v/>
      </c>
      <c r="Q80" s="2">
        <f>(F80*G80*E80*30)/(D80*I80)</f>
        <v/>
      </c>
      <c r="R80" s="2">
        <f>K80/H80</f>
        <v/>
      </c>
      <c r="S80" s="2">
        <f>L80/H80</f>
        <v/>
      </c>
      <c r="T80" s="2">
        <f>M80/H80</f>
        <v/>
      </c>
      <c r="U80" s="2">
        <f>N80/H80</f>
        <v/>
      </c>
      <c r="V80" s="2">
        <f>O80/H80</f>
        <v/>
      </c>
      <c r="W80" s="2">
        <f>P80/H80</f>
        <v/>
      </c>
      <c r="X80" s="2">
        <f>Q80/H80</f>
        <v/>
      </c>
      <c r="Y80" s="5">
        <f>IF(R80&gt;1,"1","2")</f>
        <v/>
      </c>
      <c r="Z80" s="5">
        <f>IF(S80&gt;1,"1","2")</f>
        <v/>
      </c>
      <c r="AA80" s="5">
        <f>IF(T80&gt;1,"1","2")</f>
        <v/>
      </c>
      <c r="AB80" s="5">
        <f>IF(U80&gt;1,"1","2")</f>
        <v/>
      </c>
      <c r="AC80" s="5">
        <f>IF(V80&gt;1,"1","2")</f>
        <v/>
      </c>
      <c r="AD80" s="5">
        <f>IF(W80&gt;1,"1","2")</f>
        <v/>
      </c>
      <c r="AE80" s="5">
        <f>IF(X80&gt;1,"1","2")</f>
        <v/>
      </c>
      <c r="AF80" t="n">
        <v>-5.14914</v>
      </c>
      <c r="AG80" t="n">
        <v>119.427095</v>
      </c>
    </row>
    <row r="81" ht="14.4" customHeight="1">
      <c r="A81" s="14" t="n">
        <v>78</v>
      </c>
      <c r="B81" s="15" t="inlineStr">
        <is>
          <t>Put</t>
        </is>
      </c>
      <c r="C81" s="10" t="n">
        <v>11</v>
      </c>
      <c r="D81" s="10" t="n">
        <v>33</v>
      </c>
      <c r="E81" s="17" t="n">
        <v>365</v>
      </c>
      <c r="F81" s="22" t="n">
        <v>0.0003</v>
      </c>
      <c r="G81" s="10" t="n">
        <v>900</v>
      </c>
      <c r="H81" s="12" t="n">
        <v>0.001</v>
      </c>
      <c r="I81" s="18" t="n">
        <v>10950</v>
      </c>
      <c r="J81" s="20" t="n">
        <v>11</v>
      </c>
      <c r="K81" s="19">
        <f>(F81*G81*E81*J81)/(D81*I81)</f>
        <v/>
      </c>
      <c r="L81" s="2">
        <f>(F81*G81*E81*5)/(D81*I81)</f>
        <v/>
      </c>
      <c r="M81" s="2">
        <f>(F81*G81*E81*10)/(D81*I81)</f>
        <v/>
      </c>
      <c r="N81" s="2">
        <f>(F81*G81*E81*15)/(D81*I81)</f>
        <v/>
      </c>
      <c r="O81" s="2">
        <f>(F81*G81*E81*20)/(D81*I81)</f>
        <v/>
      </c>
      <c r="P81" s="2">
        <f>(F81*G81*E81*25)/(D81*I81)</f>
        <v/>
      </c>
      <c r="Q81" s="2">
        <f>(F81*G81*E81*30)/(D81*I81)</f>
        <v/>
      </c>
      <c r="R81" s="2">
        <f>K81/H81</f>
        <v/>
      </c>
      <c r="S81" s="2">
        <f>L81/H81</f>
        <v/>
      </c>
      <c r="T81" s="2">
        <f>M81/H81</f>
        <v/>
      </c>
      <c r="U81" s="2">
        <f>N81/H81</f>
        <v/>
      </c>
      <c r="V81" s="2">
        <f>O81/H81</f>
        <v/>
      </c>
      <c r="W81" s="2">
        <f>P81/H81</f>
        <v/>
      </c>
      <c r="X81" s="2">
        <f>Q81/H81</f>
        <v/>
      </c>
      <c r="Y81" s="5">
        <f>IF(R81&gt;1,"1","2")</f>
        <v/>
      </c>
      <c r="Z81" s="5">
        <f>IF(S81&gt;1,"1","2")</f>
        <v/>
      </c>
      <c r="AA81" s="5">
        <f>IF(T81&gt;1,"1","2")</f>
        <v/>
      </c>
      <c r="AB81" s="5">
        <f>IF(U81&gt;1,"1","2")</f>
        <v/>
      </c>
      <c r="AC81" s="5">
        <f>IF(V81&gt;1,"1","2")</f>
        <v/>
      </c>
      <c r="AD81" s="5">
        <f>IF(W81&gt;1,"1","2")</f>
        <v/>
      </c>
      <c r="AE81" s="5">
        <f>IF(X81&gt;1,"1","2")</f>
        <v/>
      </c>
      <c r="AF81" t="n">
        <v>-5.139762</v>
      </c>
      <c r="AG81" t="n">
        <v>119.422664</v>
      </c>
    </row>
    <row r="82" ht="14.4" customHeight="1">
      <c r="A82" s="14" t="n">
        <v>79</v>
      </c>
      <c r="B82" s="15" t="inlineStr">
        <is>
          <t>Bak</t>
        </is>
      </c>
      <c r="C82" s="10" t="n">
        <v>11</v>
      </c>
      <c r="D82" s="10" t="n">
        <v>32</v>
      </c>
      <c r="E82" s="17" t="n">
        <v>365</v>
      </c>
      <c r="F82" s="22" t="n">
        <v>0.0003</v>
      </c>
      <c r="G82" s="10" t="n">
        <v>900</v>
      </c>
      <c r="H82" s="12" t="n">
        <v>0.001</v>
      </c>
      <c r="I82" s="18" t="n">
        <v>10950</v>
      </c>
      <c r="J82" s="20" t="n">
        <v>11</v>
      </c>
      <c r="K82" s="19">
        <f>(F82*G82*E82*J82)/(D82*I82)</f>
        <v/>
      </c>
      <c r="L82" s="2">
        <f>(F82*G82*E82*5)/(D82*I82)</f>
        <v/>
      </c>
      <c r="M82" s="2">
        <f>(F82*G82*E82*10)/(D82*I82)</f>
        <v/>
      </c>
      <c r="N82" s="2">
        <f>(F82*G82*E82*15)/(D82*I82)</f>
        <v/>
      </c>
      <c r="O82" s="2">
        <f>(F82*G82*E82*20)/(D82*I82)</f>
        <v/>
      </c>
      <c r="P82" s="2">
        <f>(F82*G82*E82*25)/(D82*I82)</f>
        <v/>
      </c>
      <c r="Q82" s="2">
        <f>(F82*G82*E82*30)/(D82*I82)</f>
        <v/>
      </c>
      <c r="R82" s="2">
        <f>K82/H82</f>
        <v/>
      </c>
      <c r="S82" s="2">
        <f>L82/H82</f>
        <v/>
      </c>
      <c r="T82" s="2">
        <f>M82/H82</f>
        <v/>
      </c>
      <c r="U82" s="2">
        <f>N82/H82</f>
        <v/>
      </c>
      <c r="V82" s="2">
        <f>O82/H82</f>
        <v/>
      </c>
      <c r="W82" s="2">
        <f>P82/H82</f>
        <v/>
      </c>
      <c r="X82" s="2">
        <f>Q82/H82</f>
        <v/>
      </c>
      <c r="Y82" s="5">
        <f>IF(R82&gt;1,"1","2")</f>
        <v/>
      </c>
      <c r="Z82" s="5">
        <f>IF(S82&gt;1,"1","2")</f>
        <v/>
      </c>
      <c r="AA82" s="5">
        <f>IF(T82&gt;1,"1","2")</f>
        <v/>
      </c>
      <c r="AB82" s="5">
        <f>IF(U82&gt;1,"1","2")</f>
        <v/>
      </c>
      <c r="AC82" s="5">
        <f>IF(V82&gt;1,"1","2")</f>
        <v/>
      </c>
      <c r="AD82" s="5">
        <f>IF(W82&gt;1,"1","2")</f>
        <v/>
      </c>
      <c r="AE82" s="5">
        <f>IF(X82&gt;1,"1","2")</f>
        <v/>
      </c>
      <c r="AF82" t="n">
        <v>-5.154211</v>
      </c>
      <c r="AG82" t="n">
        <v>119.424495</v>
      </c>
    </row>
    <row r="83" ht="14.4" customHeight="1">
      <c r="A83" s="14" t="n">
        <v>80</v>
      </c>
      <c r="B83" s="15" t="inlineStr">
        <is>
          <t>Aik</t>
        </is>
      </c>
      <c r="C83" s="10" t="n">
        <v>11</v>
      </c>
      <c r="D83" s="10" t="n">
        <v>23</v>
      </c>
      <c r="E83" s="17" t="n">
        <v>365</v>
      </c>
      <c r="F83" s="22" t="n">
        <v>0.0003</v>
      </c>
      <c r="G83" s="10" t="n">
        <v>900</v>
      </c>
      <c r="H83" s="12" t="n">
        <v>0.001</v>
      </c>
      <c r="I83" s="18" t="n">
        <v>10950</v>
      </c>
      <c r="J83" s="20" t="n">
        <v>11</v>
      </c>
      <c r="K83" s="19">
        <f>(F83*G83*E83*J83)/(D83*I83)</f>
        <v/>
      </c>
      <c r="L83" s="2">
        <f>(F83*G83*E83*5)/(D83*I83)</f>
        <v/>
      </c>
      <c r="M83" s="2">
        <f>(F83*G83*E83*10)/(D83*I83)</f>
        <v/>
      </c>
      <c r="N83" s="2">
        <f>(F83*G83*E83*15)/(D83*I83)</f>
        <v/>
      </c>
      <c r="O83" s="2">
        <f>(F83*G83*E83*20)/(D83*I83)</f>
        <v/>
      </c>
      <c r="P83" s="2">
        <f>(F83*G83*E83*25)/(D83*I83)</f>
        <v/>
      </c>
      <c r="Q83" s="2">
        <f>(F83*G83*E83*30)/(D83*I83)</f>
        <v/>
      </c>
      <c r="R83" s="2">
        <f>K83/H83</f>
        <v/>
      </c>
      <c r="S83" s="2">
        <f>L83/H83</f>
        <v/>
      </c>
      <c r="T83" s="2">
        <f>M83/H83</f>
        <v/>
      </c>
      <c r="U83" s="2">
        <f>N83/H83</f>
        <v/>
      </c>
      <c r="V83" s="2">
        <f>O83/H83</f>
        <v/>
      </c>
      <c r="W83" s="2">
        <f>P83/H83</f>
        <v/>
      </c>
      <c r="X83" s="2">
        <f>Q83/H83</f>
        <v/>
      </c>
      <c r="Y83" s="5">
        <f>IF(R83&gt;1,"1","2")</f>
        <v/>
      </c>
      <c r="Z83" s="5">
        <f>IF(S83&gt;1,"1","2")</f>
        <v/>
      </c>
      <c r="AA83" s="5">
        <f>IF(T83&gt;1,"1","2")</f>
        <v/>
      </c>
      <c r="AB83" s="5">
        <f>IF(U83&gt;1,"1","2")</f>
        <v/>
      </c>
      <c r="AC83" s="5">
        <f>IF(V83&gt;1,"1","2")</f>
        <v/>
      </c>
      <c r="AD83" s="5">
        <f>IF(W83&gt;1,"1","2")</f>
        <v/>
      </c>
      <c r="AE83" s="5">
        <f>IF(X83&gt;1,"1","2")</f>
        <v/>
      </c>
      <c r="AF83" t="n">
        <v>-5.140154</v>
      </c>
      <c r="AG83" t="n">
        <v>119.442838</v>
      </c>
    </row>
    <row r="84" ht="14.4" customHeight="1">
      <c r="A84" s="14" t="n">
        <v>81</v>
      </c>
      <c r="B84" s="15" t="inlineStr">
        <is>
          <t>Aul</t>
        </is>
      </c>
      <c r="C84" s="10" t="n">
        <v>11</v>
      </c>
      <c r="D84" s="10" t="n">
        <v>34</v>
      </c>
      <c r="E84" s="17" t="n">
        <v>365</v>
      </c>
      <c r="F84" s="22" t="n">
        <v>0.0003</v>
      </c>
      <c r="G84" s="10" t="n">
        <v>1200</v>
      </c>
      <c r="H84" s="12" t="n">
        <v>0.001</v>
      </c>
      <c r="I84" s="18" t="n">
        <v>10950</v>
      </c>
      <c r="J84" s="20" t="n">
        <v>11</v>
      </c>
      <c r="K84" s="19">
        <f>(F84*G84*E84*J84)/(D84*I84)</f>
        <v/>
      </c>
      <c r="L84" s="2">
        <f>(F84*G84*E84*5)/(D84*I84)</f>
        <v/>
      </c>
      <c r="M84" s="2">
        <f>(F84*G84*E84*10)/(D84*I84)</f>
        <v/>
      </c>
      <c r="N84" s="2">
        <f>(F84*G84*E84*15)/(D84*I84)</f>
        <v/>
      </c>
      <c r="O84" s="2">
        <f>(F84*G84*E84*20)/(D84*I84)</f>
        <v/>
      </c>
      <c r="P84" s="2">
        <f>(F84*G84*E84*25)/(D84*I84)</f>
        <v/>
      </c>
      <c r="Q84" s="2">
        <f>(F84*G84*E84*30)/(D84*I84)</f>
        <v/>
      </c>
      <c r="R84" s="2">
        <f>K84/H84</f>
        <v/>
      </c>
      <c r="S84" s="2">
        <f>L84/H84</f>
        <v/>
      </c>
      <c r="T84" s="2">
        <f>M84/H84</f>
        <v/>
      </c>
      <c r="U84" s="2">
        <f>N84/H84</f>
        <v/>
      </c>
      <c r="V84" s="2">
        <f>O84/H84</f>
        <v/>
      </c>
      <c r="W84" s="2">
        <f>P84/H84</f>
        <v/>
      </c>
      <c r="X84" s="2">
        <f>Q84/H84</f>
        <v/>
      </c>
      <c r="Y84" s="5">
        <f>IF(R84&gt;1,"1","2")</f>
        <v/>
      </c>
      <c r="Z84" s="5">
        <f>IF(S84&gt;1,"1","2")</f>
        <v/>
      </c>
      <c r="AA84" s="5">
        <f>IF(T84&gt;1,"1","2")</f>
        <v/>
      </c>
      <c r="AB84" s="5">
        <f>IF(U84&gt;1,"1","2")</f>
        <v/>
      </c>
      <c r="AC84" s="5">
        <f>IF(V84&gt;1,"1","2")</f>
        <v/>
      </c>
      <c r="AD84" s="5">
        <f>IF(W84&gt;1,"1","2")</f>
        <v/>
      </c>
      <c r="AE84" s="5">
        <f>IF(X84&gt;1,"1","2")</f>
        <v/>
      </c>
      <c r="AF84" t="n">
        <v>-5.130739</v>
      </c>
      <c r="AG84" t="n">
        <v>119.445703</v>
      </c>
    </row>
    <row r="85" ht="14.4" customHeight="1">
      <c r="A85" s="14" t="n">
        <v>82</v>
      </c>
      <c r="B85" s="15" t="inlineStr">
        <is>
          <t>Ari</t>
        </is>
      </c>
      <c r="C85" s="10" t="n">
        <v>11</v>
      </c>
      <c r="D85" s="10" t="n">
        <v>32</v>
      </c>
      <c r="E85" s="17" t="n">
        <v>365</v>
      </c>
      <c r="F85" s="22" t="n">
        <v>0.0003</v>
      </c>
      <c r="G85" s="10" t="n">
        <v>900</v>
      </c>
      <c r="H85" s="12" t="n">
        <v>0.001</v>
      </c>
      <c r="I85" s="18" t="n">
        <v>10950</v>
      </c>
      <c r="J85" s="20" t="n">
        <v>11</v>
      </c>
      <c r="K85" s="19">
        <f>(F85*G85*E85*J85)/(D85*I85)</f>
        <v/>
      </c>
      <c r="L85" s="2">
        <f>(F85*G85*E85*5)/(D85*I85)</f>
        <v/>
      </c>
      <c r="M85" s="2">
        <f>(F85*G85*E85*10)/(D85*I85)</f>
        <v/>
      </c>
      <c r="N85" s="2">
        <f>(F85*G85*E85*15)/(D85*I85)</f>
        <v/>
      </c>
      <c r="O85" s="2">
        <f>(F85*G85*E85*20)/(D85*I85)</f>
        <v/>
      </c>
      <c r="P85" s="2">
        <f>(F85*G85*E85*25)/(D85*I85)</f>
        <v/>
      </c>
      <c r="Q85" s="2">
        <f>(F85*G85*E85*30)/(D85*I85)</f>
        <v/>
      </c>
      <c r="R85" s="2">
        <f>K85/H85</f>
        <v/>
      </c>
      <c r="S85" s="2">
        <f>L85/H85</f>
        <v/>
      </c>
      <c r="T85" s="2">
        <f>M85/H85</f>
        <v/>
      </c>
      <c r="U85" s="2">
        <f>N85/H85</f>
        <v/>
      </c>
      <c r="V85" s="2">
        <f>O85/H85</f>
        <v/>
      </c>
      <c r="W85" s="2">
        <f>P85/H85</f>
        <v/>
      </c>
      <c r="X85" s="2">
        <f>Q85/H85</f>
        <v/>
      </c>
      <c r="Y85" s="5">
        <f>IF(R85&gt;1,"1","2")</f>
        <v/>
      </c>
      <c r="Z85" s="5">
        <f>IF(S85&gt;1,"1","2")</f>
        <v/>
      </c>
      <c r="AA85" s="5">
        <f>IF(T85&gt;1,"1","2")</f>
        <v/>
      </c>
      <c r="AB85" s="5">
        <f>IF(U85&gt;1,"1","2")</f>
        <v/>
      </c>
      <c r="AC85" s="5">
        <f>IF(V85&gt;1,"1","2")</f>
        <v/>
      </c>
      <c r="AD85" s="5">
        <f>IF(W85&gt;1,"1","2")</f>
        <v/>
      </c>
      <c r="AE85" s="5">
        <f>IF(X85&gt;1,"1","2")</f>
        <v/>
      </c>
      <c r="AF85" t="n">
        <v>-5.152016</v>
      </c>
      <c r="AG85" t="n">
        <v>119.430753</v>
      </c>
    </row>
    <row r="86" ht="14.4" customHeight="1">
      <c r="A86" s="14" t="n">
        <v>83</v>
      </c>
      <c r="B86" s="15" t="inlineStr">
        <is>
          <t>Tia</t>
        </is>
      </c>
      <c r="C86" s="10" t="n">
        <v>11</v>
      </c>
      <c r="D86" s="10" t="n">
        <v>35</v>
      </c>
      <c r="E86" s="17" t="n">
        <v>365</v>
      </c>
      <c r="F86" s="22" t="n">
        <v>0.0003</v>
      </c>
      <c r="G86" s="10" t="n">
        <v>900</v>
      </c>
      <c r="H86" s="12" t="n">
        <v>0.001</v>
      </c>
      <c r="I86" s="18" t="n">
        <v>10950</v>
      </c>
      <c r="J86" s="20" t="n">
        <v>6</v>
      </c>
      <c r="K86" s="19">
        <f>(F86*G86*E86*J86)/(D86*I86)</f>
        <v/>
      </c>
      <c r="L86" s="2">
        <f>(F86*G86*E86*5)/(D86*I86)</f>
        <v/>
      </c>
      <c r="M86" s="2">
        <f>(F86*G86*E86*10)/(D86*I86)</f>
        <v/>
      </c>
      <c r="N86" s="2">
        <f>(F86*G86*E86*15)/(D86*I86)</f>
        <v/>
      </c>
      <c r="O86" s="2">
        <f>(F86*G86*E86*20)/(D86*I86)</f>
        <v/>
      </c>
      <c r="P86" s="2">
        <f>(F86*G86*E86*25)/(D86*I86)</f>
        <v/>
      </c>
      <c r="Q86" s="2">
        <f>(F86*G86*E86*30)/(D86*I86)</f>
        <v/>
      </c>
      <c r="R86" s="2">
        <f>K86/H86</f>
        <v/>
      </c>
      <c r="S86" s="2">
        <f>L86/H86</f>
        <v/>
      </c>
      <c r="T86" s="2">
        <f>M86/H86</f>
        <v/>
      </c>
      <c r="U86" s="2">
        <f>N86/H86</f>
        <v/>
      </c>
      <c r="V86" s="2">
        <f>O86/H86</f>
        <v/>
      </c>
      <c r="W86" s="2">
        <f>P86/H86</f>
        <v/>
      </c>
      <c r="X86" s="2">
        <f>Q86/H86</f>
        <v/>
      </c>
      <c r="Y86" s="5">
        <f>IF(R86&gt;1,"1","2")</f>
        <v/>
      </c>
      <c r="Z86" s="5">
        <f>IF(S86&gt;1,"1","2")</f>
        <v/>
      </c>
      <c r="AA86" s="5">
        <f>IF(T86&gt;1,"1","2")</f>
        <v/>
      </c>
      <c r="AB86" s="5">
        <f>IF(U86&gt;1,"1","2")</f>
        <v/>
      </c>
      <c r="AC86" s="5">
        <f>IF(V86&gt;1,"1","2")</f>
        <v/>
      </c>
      <c r="AD86" s="5">
        <f>IF(W86&gt;1,"1","2")</f>
        <v/>
      </c>
      <c r="AE86" s="5">
        <f>IF(X86&gt;1,"1","2")</f>
        <v/>
      </c>
      <c r="AF86" t="n">
        <v>-5.128339</v>
      </c>
      <c r="AG86" t="n">
        <v>119.401552</v>
      </c>
    </row>
    <row r="87" ht="14.4" customHeight="1">
      <c r="A87" s="14" t="n">
        <v>84</v>
      </c>
      <c r="B87" s="15" t="inlineStr">
        <is>
          <t>Aft</t>
        </is>
      </c>
      <c r="C87" s="10" t="n">
        <v>12</v>
      </c>
      <c r="D87" s="10" t="n">
        <v>28</v>
      </c>
      <c r="E87" s="17" t="n">
        <v>365</v>
      </c>
      <c r="F87" s="22" t="n">
        <v>0.0003</v>
      </c>
      <c r="G87" s="10" t="n">
        <v>900</v>
      </c>
      <c r="H87" s="12" t="n">
        <v>0.001</v>
      </c>
      <c r="I87" s="18" t="n">
        <v>10950</v>
      </c>
      <c r="J87" s="20" t="n">
        <v>12</v>
      </c>
      <c r="K87" s="19">
        <f>(F87*G87*E87*J87)/(D87*I87)</f>
        <v/>
      </c>
      <c r="L87" s="2">
        <f>(F87*G87*E87*5)/(D87*I87)</f>
        <v/>
      </c>
      <c r="M87" s="2">
        <f>(F87*G87*E87*10)/(D87*I87)</f>
        <v/>
      </c>
      <c r="N87" s="2">
        <f>(F87*G87*E87*15)/(D87*I87)</f>
        <v/>
      </c>
      <c r="O87" s="2">
        <f>(F87*G87*E87*20)/(D87*I87)</f>
        <v/>
      </c>
      <c r="P87" s="2">
        <f>(F87*G87*E87*25)/(D87*I87)</f>
        <v/>
      </c>
      <c r="Q87" s="2">
        <f>(F87*G87*E87*30)/(D87*I87)</f>
        <v/>
      </c>
      <c r="R87" s="2">
        <f>K87/H87</f>
        <v/>
      </c>
      <c r="S87" s="2">
        <f>L87/H87</f>
        <v/>
      </c>
      <c r="T87" s="2">
        <f>M87/H87</f>
        <v/>
      </c>
      <c r="U87" s="2">
        <f>N87/H87</f>
        <v/>
      </c>
      <c r="V87" s="2">
        <f>O87/H87</f>
        <v/>
      </c>
      <c r="W87" s="2">
        <f>P87/H87</f>
        <v/>
      </c>
      <c r="X87" s="2">
        <f>Q87/H87</f>
        <v/>
      </c>
      <c r="Y87" s="5">
        <f>IF(R87&gt;1,"1","2")</f>
        <v/>
      </c>
      <c r="Z87" s="5">
        <f>IF(S87&gt;1,"1","2")</f>
        <v/>
      </c>
      <c r="AA87" s="5">
        <f>IF(T87&gt;1,"1","2")</f>
        <v/>
      </c>
      <c r="AB87" s="5">
        <f>IF(U87&gt;1,"1","2")</f>
        <v/>
      </c>
      <c r="AC87" s="5">
        <f>IF(V87&gt;1,"1","2")</f>
        <v/>
      </c>
      <c r="AD87" s="5">
        <f>IF(W87&gt;1,"1","2")</f>
        <v/>
      </c>
      <c r="AE87" s="5">
        <f>IF(X87&gt;1,"1","2")</f>
        <v/>
      </c>
      <c r="AF87" t="n">
        <v>-5.154162</v>
      </c>
      <c r="AG87" t="n">
        <v>119.409459</v>
      </c>
    </row>
    <row r="88" ht="14.4" customHeight="1">
      <c r="A88" s="14" t="n">
        <v>85</v>
      </c>
      <c r="B88" s="15" t="inlineStr">
        <is>
          <t>NM</t>
        </is>
      </c>
      <c r="C88" s="10" t="n">
        <v>12</v>
      </c>
      <c r="D88" s="10" t="n">
        <v>28</v>
      </c>
      <c r="E88" s="17" t="n">
        <v>365</v>
      </c>
      <c r="F88" s="22" t="n">
        <v>0.0003</v>
      </c>
      <c r="G88" s="10" t="n">
        <v>900</v>
      </c>
      <c r="H88" s="12" t="n">
        <v>0.001</v>
      </c>
      <c r="I88" s="18" t="n">
        <v>10950</v>
      </c>
      <c r="J88" s="20" t="n">
        <v>12</v>
      </c>
      <c r="K88" s="19">
        <f>(F88*G88*E88*J88)/(D88*I88)</f>
        <v/>
      </c>
      <c r="L88" s="2">
        <f>(F88*G88*E88*5)/(D88*I88)</f>
        <v/>
      </c>
      <c r="M88" s="2">
        <f>(F88*G88*E88*10)/(D88*I88)</f>
        <v/>
      </c>
      <c r="N88" s="2">
        <f>(F88*G88*E88*15)/(D88*I88)</f>
        <v/>
      </c>
      <c r="O88" s="2">
        <f>(F88*G88*E88*20)/(D88*I88)</f>
        <v/>
      </c>
      <c r="P88" s="2">
        <f>(F88*G88*E88*25)/(D88*I88)</f>
        <v/>
      </c>
      <c r="Q88" s="2">
        <f>(F88*G88*E88*30)/(D88*I88)</f>
        <v/>
      </c>
      <c r="R88" s="2">
        <f>K88/H88</f>
        <v/>
      </c>
      <c r="S88" s="2">
        <f>L88/H88</f>
        <v/>
      </c>
      <c r="T88" s="2">
        <f>M88/H88</f>
        <v/>
      </c>
      <c r="U88" s="2">
        <f>N88/H88</f>
        <v/>
      </c>
      <c r="V88" s="2">
        <f>O88/H88</f>
        <v/>
      </c>
      <c r="W88" s="2">
        <f>P88/H88</f>
        <v/>
      </c>
      <c r="X88" s="2">
        <f>Q88/H88</f>
        <v/>
      </c>
      <c r="Y88" s="5">
        <f>IF(R88&gt;1,"1","2")</f>
        <v/>
      </c>
      <c r="Z88" s="5">
        <f>IF(S88&gt;1,"1","2")</f>
        <v/>
      </c>
      <c r="AA88" s="5">
        <f>IF(T88&gt;1,"1","2")</f>
        <v/>
      </c>
      <c r="AB88" s="5">
        <f>IF(U88&gt;1,"1","2")</f>
        <v/>
      </c>
      <c r="AC88" s="5">
        <f>IF(V88&gt;1,"1","2")</f>
        <v/>
      </c>
      <c r="AD88" s="5">
        <f>IF(W88&gt;1,"1","2")</f>
        <v/>
      </c>
      <c r="AE88" s="5">
        <f>IF(X88&gt;1,"1","2")</f>
        <v/>
      </c>
      <c r="AF88" t="n">
        <v>-5.1441</v>
      </c>
      <c r="AG88" t="n">
        <v>119.409476</v>
      </c>
    </row>
    <row r="89" ht="14.4" customHeight="1">
      <c r="A89" s="14" t="n">
        <v>86</v>
      </c>
      <c r="B89" s="15" t="inlineStr">
        <is>
          <t>Cna</t>
        </is>
      </c>
      <c r="C89" s="10" t="n">
        <v>12</v>
      </c>
      <c r="D89" s="10" t="n">
        <v>40</v>
      </c>
      <c r="E89" s="17" t="n">
        <v>365</v>
      </c>
      <c r="F89" s="22" t="n">
        <v>0.0003</v>
      </c>
      <c r="G89" s="10" t="n">
        <v>1800</v>
      </c>
      <c r="H89" s="12" t="n">
        <v>0.001</v>
      </c>
      <c r="I89" s="18" t="n">
        <v>10950</v>
      </c>
      <c r="J89" s="20" t="n">
        <v>5</v>
      </c>
      <c r="K89" s="19">
        <f>(F89*G89*E89*J89)/(D89*I89)</f>
        <v/>
      </c>
      <c r="L89" s="2">
        <f>(F89*G89*E89*5)/(D89*I89)</f>
        <v/>
      </c>
      <c r="M89" s="2">
        <f>(F89*G89*E89*10)/(D89*I89)</f>
        <v/>
      </c>
      <c r="N89" s="2">
        <f>(F89*G89*E89*15)/(D89*I89)</f>
        <v/>
      </c>
      <c r="O89" s="2">
        <f>(F89*G89*E89*20)/(D89*I89)</f>
        <v/>
      </c>
      <c r="P89" s="2">
        <f>(F89*G89*E89*25)/(D89*I89)</f>
        <v/>
      </c>
      <c r="Q89" s="2">
        <f>(F89*G89*E89*30)/(D89*I89)</f>
        <v/>
      </c>
      <c r="R89" s="2">
        <f>K89/H89</f>
        <v/>
      </c>
      <c r="S89" s="2">
        <f>L89/H89</f>
        <v/>
      </c>
      <c r="T89" s="2">
        <f>M89/H89</f>
        <v/>
      </c>
      <c r="U89" s="2">
        <f>N89/H89</f>
        <v/>
      </c>
      <c r="V89" s="2">
        <f>O89/H89</f>
        <v/>
      </c>
      <c r="W89" s="2">
        <f>P89/H89</f>
        <v/>
      </c>
      <c r="X89" s="2">
        <f>Q89/H89</f>
        <v/>
      </c>
      <c r="Y89" s="5">
        <f>IF(R89&gt;1,"1","2")</f>
        <v/>
      </c>
      <c r="Z89" s="5">
        <f>IF(S89&gt;1,"1","2")</f>
        <v/>
      </c>
      <c r="AA89" s="5">
        <f>IF(T89&gt;1,"1","2")</f>
        <v/>
      </c>
      <c r="AB89" s="5">
        <f>IF(U89&gt;1,"1","2")</f>
        <v/>
      </c>
      <c r="AC89" s="5">
        <f>IF(V89&gt;1,"1","2")</f>
        <v/>
      </c>
      <c r="AD89" s="5">
        <f>IF(W89&gt;1,"1","2")</f>
        <v/>
      </c>
      <c r="AE89" s="5">
        <f>IF(X89&gt;1,"1","2")</f>
        <v/>
      </c>
      <c r="AF89" t="n">
        <v>-5.156756</v>
      </c>
      <c r="AG89" t="n">
        <v>119.43034</v>
      </c>
    </row>
    <row r="90" ht="14.4" customHeight="1">
      <c r="A90" s="14" t="n">
        <v>87</v>
      </c>
      <c r="B90" s="15" t="inlineStr">
        <is>
          <t>Srp</t>
        </is>
      </c>
      <c r="C90" s="10" t="n">
        <v>12</v>
      </c>
      <c r="D90" s="10" t="n">
        <v>23</v>
      </c>
      <c r="E90" s="17" t="n">
        <v>365</v>
      </c>
      <c r="F90" s="22" t="n">
        <v>0.0003</v>
      </c>
      <c r="G90" s="10" t="n">
        <v>900</v>
      </c>
      <c r="H90" s="12" t="n">
        <v>0.001</v>
      </c>
      <c r="I90" s="18" t="n">
        <v>10950</v>
      </c>
      <c r="J90" s="20" t="n">
        <v>12</v>
      </c>
      <c r="K90" s="19">
        <f>(F90*G90*E90*J90)/(D90*I90)</f>
        <v/>
      </c>
      <c r="L90" s="2">
        <f>(F90*G90*E90*5)/(D90*I90)</f>
        <v/>
      </c>
      <c r="M90" s="2">
        <f>(F90*G90*E90*10)/(D90*I90)</f>
        <v/>
      </c>
      <c r="N90" s="2">
        <f>(F90*G90*E90*15)/(D90*I90)</f>
        <v/>
      </c>
      <c r="O90" s="2">
        <f>(F90*G90*E90*20)/(D90*I90)</f>
        <v/>
      </c>
      <c r="P90" s="2">
        <f>(F90*G90*E90*25)/(D90*I90)</f>
        <v/>
      </c>
      <c r="Q90" s="2">
        <f>(F90*G90*E90*30)/(D90*I90)</f>
        <v/>
      </c>
      <c r="R90" s="2">
        <f>K90/H90</f>
        <v/>
      </c>
      <c r="S90" s="2">
        <f>L90/H90</f>
        <v/>
      </c>
      <c r="T90" s="2">
        <f>M90/H90</f>
        <v/>
      </c>
      <c r="U90" s="2">
        <f>N90/H90</f>
        <v/>
      </c>
      <c r="V90" s="2">
        <f>O90/H90</f>
        <v/>
      </c>
      <c r="W90" s="2">
        <f>P90/H90</f>
        <v/>
      </c>
      <c r="X90" s="2">
        <f>Q90/H90</f>
        <v/>
      </c>
      <c r="Y90" s="5">
        <f>IF(R90&gt;1,"1","2")</f>
        <v/>
      </c>
      <c r="Z90" s="5">
        <f>IF(S90&gt;1,"1","2")</f>
        <v/>
      </c>
      <c r="AA90" s="5">
        <f>IF(T90&gt;1,"1","2")</f>
        <v/>
      </c>
      <c r="AB90" s="5">
        <f>IF(U90&gt;1,"1","2")</f>
        <v/>
      </c>
      <c r="AC90" s="5">
        <f>IF(V90&gt;1,"1","2")</f>
        <v/>
      </c>
      <c r="AD90" s="5">
        <f>IF(W90&gt;1,"1","2")</f>
        <v/>
      </c>
      <c r="AE90" s="5">
        <f>IF(X90&gt;1,"1","2")</f>
        <v/>
      </c>
      <c r="AF90" t="n">
        <v>-5.151853</v>
      </c>
      <c r="AG90" t="n">
        <v>119.404635</v>
      </c>
    </row>
    <row r="91" ht="14.4" customHeight="1">
      <c r="A91" s="14" t="n">
        <v>88</v>
      </c>
      <c r="B91" s="15" t="inlineStr">
        <is>
          <t>Srp</t>
        </is>
      </c>
      <c r="C91" s="10" t="n">
        <v>12</v>
      </c>
      <c r="D91" s="10" t="n">
        <v>23</v>
      </c>
      <c r="E91" s="17" t="n">
        <v>365</v>
      </c>
      <c r="F91" s="22" t="n">
        <v>0.0003</v>
      </c>
      <c r="G91" s="10" t="n">
        <v>900</v>
      </c>
      <c r="H91" s="12" t="n">
        <v>0.001</v>
      </c>
      <c r="I91" s="18" t="n">
        <v>10950</v>
      </c>
      <c r="J91" s="20" t="n">
        <v>12</v>
      </c>
      <c r="K91" s="19">
        <f>(F91*G91*E91*J91)/(D91*I91)</f>
        <v/>
      </c>
      <c r="L91" s="2">
        <f>(F91*G91*E91*5)/(D91*I91)</f>
        <v/>
      </c>
      <c r="M91" s="2">
        <f>(F91*G91*E91*10)/(D91*I91)</f>
        <v/>
      </c>
      <c r="N91" s="2">
        <f>(F91*G91*E91*15)/(D91*I91)</f>
        <v/>
      </c>
      <c r="O91" s="2">
        <f>(F91*G91*E91*20)/(D91*I91)</f>
        <v/>
      </c>
      <c r="P91" s="2">
        <f>(F91*G91*E91*25)/(D91*I91)</f>
        <v/>
      </c>
      <c r="Q91" s="2">
        <f>(F91*G91*E91*30)/(D91*I91)</f>
        <v/>
      </c>
      <c r="R91" s="2">
        <f>K91/H91</f>
        <v/>
      </c>
      <c r="S91" s="2">
        <f>L91/H91</f>
        <v/>
      </c>
      <c r="T91" s="2">
        <f>M91/H91</f>
        <v/>
      </c>
      <c r="U91" s="2">
        <f>N91/H91</f>
        <v/>
      </c>
      <c r="V91" s="2">
        <f>O91/H91</f>
        <v/>
      </c>
      <c r="W91" s="2">
        <f>P91/H91</f>
        <v/>
      </c>
      <c r="X91" s="2">
        <f>Q91/H91</f>
        <v/>
      </c>
      <c r="Y91" s="5">
        <f>IF(R91&gt;1,"1","2")</f>
        <v/>
      </c>
      <c r="Z91" s="5">
        <f>IF(S91&gt;1,"1","2")</f>
        <v/>
      </c>
      <c r="AA91" s="5">
        <f>IF(T91&gt;1,"1","2")</f>
        <v/>
      </c>
      <c r="AB91" s="5">
        <f>IF(U91&gt;1,"1","2")</f>
        <v/>
      </c>
      <c r="AC91" s="5">
        <f>IF(V91&gt;1,"1","2")</f>
        <v/>
      </c>
      <c r="AD91" s="5">
        <f>IF(W91&gt;1,"1","2")</f>
        <v/>
      </c>
      <c r="AE91" s="5">
        <f>IF(X91&gt;1,"1","2")</f>
        <v/>
      </c>
      <c r="AF91" t="n">
        <v>-5.156659</v>
      </c>
      <c r="AG91" t="n">
        <v>119.408619</v>
      </c>
    </row>
    <row r="92" ht="14.4" customHeight="1">
      <c r="A92" s="14" t="n">
        <v>89</v>
      </c>
      <c r="B92" s="15" t="inlineStr">
        <is>
          <t>Mhp</t>
        </is>
      </c>
      <c r="C92" s="10" t="n">
        <v>12</v>
      </c>
      <c r="D92" s="10" t="n">
        <v>25</v>
      </c>
      <c r="E92" s="17" t="n">
        <v>365</v>
      </c>
      <c r="F92" s="22" t="n">
        <v>0.0003</v>
      </c>
      <c r="G92" s="10" t="n">
        <v>1200</v>
      </c>
      <c r="H92" s="12" t="n">
        <v>0.001</v>
      </c>
      <c r="I92" s="18" t="n">
        <v>10950</v>
      </c>
      <c r="J92" s="20" t="n">
        <v>12</v>
      </c>
      <c r="K92" s="19">
        <f>(F92*G92*E92*J92)/(D92*I92)</f>
        <v/>
      </c>
      <c r="L92" s="2">
        <f>(F92*G92*E92*5)/(D92*I92)</f>
        <v/>
      </c>
      <c r="M92" s="2">
        <f>(F92*G92*E92*10)/(D92*I92)</f>
        <v/>
      </c>
      <c r="N92" s="2">
        <f>(F92*G92*E92*15)/(D92*I92)</f>
        <v/>
      </c>
      <c r="O92" s="2">
        <f>(F92*G92*E92*20)/(D92*I92)</f>
        <v/>
      </c>
      <c r="P92" s="2">
        <f>(F92*G92*E92*25)/(D92*I92)</f>
        <v/>
      </c>
      <c r="Q92" s="2">
        <f>(F92*G92*E92*30)/(D92*I92)</f>
        <v/>
      </c>
      <c r="R92" s="2">
        <f>K92/H92</f>
        <v/>
      </c>
      <c r="S92" s="2">
        <f>L92/H92</f>
        <v/>
      </c>
      <c r="T92" s="2">
        <f>M92/H92</f>
        <v/>
      </c>
      <c r="U92" s="2">
        <f>N92/H92</f>
        <v/>
      </c>
      <c r="V92" s="2">
        <f>O92/H92</f>
        <v/>
      </c>
      <c r="W92" s="2">
        <f>P92/H92</f>
        <v/>
      </c>
      <c r="X92" s="2">
        <f>Q92/H92</f>
        <v/>
      </c>
      <c r="Y92" s="5">
        <f>IF(R92&gt;1,"1","2")</f>
        <v/>
      </c>
      <c r="Z92" s="5">
        <f>IF(S92&gt;1,"1","2")</f>
        <v/>
      </c>
      <c r="AA92" s="5">
        <f>IF(T92&gt;1,"1","2")</f>
        <v/>
      </c>
      <c r="AB92" s="5">
        <f>IF(U92&gt;1,"1","2")</f>
        <v/>
      </c>
      <c r="AC92" s="5">
        <f>IF(V92&gt;1,"1","2")</f>
        <v/>
      </c>
      <c r="AD92" s="5">
        <f>IF(W92&gt;1,"1","2")</f>
        <v/>
      </c>
      <c r="AE92" s="5">
        <f>IF(X92&gt;1,"1","2")</f>
        <v/>
      </c>
      <c r="AF92" t="n">
        <v>-5.143158</v>
      </c>
      <c r="AG92" t="n">
        <v>119.428246</v>
      </c>
    </row>
    <row r="93" ht="14.4" customHeight="1">
      <c r="A93" s="14" t="n">
        <v>90</v>
      </c>
      <c r="B93" s="15" t="inlineStr">
        <is>
          <t>Ydh</t>
        </is>
      </c>
      <c r="C93" s="10" t="n">
        <v>12</v>
      </c>
      <c r="D93" s="10" t="n">
        <v>28</v>
      </c>
      <c r="E93" s="17" t="n">
        <v>365</v>
      </c>
      <c r="F93" s="22" t="n">
        <v>0.0003</v>
      </c>
      <c r="G93" s="10" t="n">
        <v>1800</v>
      </c>
      <c r="H93" s="12" t="n">
        <v>0.001</v>
      </c>
      <c r="I93" s="18" t="n">
        <v>10950</v>
      </c>
      <c r="J93" s="20" t="n">
        <v>12</v>
      </c>
      <c r="K93" s="19">
        <f>(F93*G93*E93*J93)/(D93*I93)</f>
        <v/>
      </c>
      <c r="L93" s="2">
        <f>(F93*G93*E93*5)/(D93*I93)</f>
        <v/>
      </c>
      <c r="M93" s="2">
        <f>(F93*G93*E93*10)/(D93*I93)</f>
        <v/>
      </c>
      <c r="N93" s="2">
        <f>(F93*G93*E93*15)/(D93*I93)</f>
        <v/>
      </c>
      <c r="O93" s="2">
        <f>(F93*G93*E93*20)/(D93*I93)</f>
        <v/>
      </c>
      <c r="P93" s="2">
        <f>(F93*G93*E93*25)/(D93*I93)</f>
        <v/>
      </c>
      <c r="Q93" s="2">
        <f>(F93*G93*E93*30)/(D93*I93)</f>
        <v/>
      </c>
      <c r="R93" s="2">
        <f>K93/H93</f>
        <v/>
      </c>
      <c r="S93" s="2">
        <f>L93/H93</f>
        <v/>
      </c>
      <c r="T93" s="2">
        <f>M93/H93</f>
        <v/>
      </c>
      <c r="U93" s="2">
        <f>N93/H93</f>
        <v/>
      </c>
      <c r="V93" s="2">
        <f>O93/H93</f>
        <v/>
      </c>
      <c r="W93" s="2">
        <f>P93/H93</f>
        <v/>
      </c>
      <c r="X93" s="2">
        <f>Q93/H93</f>
        <v/>
      </c>
      <c r="Y93" s="5">
        <f>IF(R93&gt;1,"1","2")</f>
        <v/>
      </c>
      <c r="Z93" s="5">
        <f>IF(S93&gt;1,"1","2")</f>
        <v/>
      </c>
      <c r="AA93" s="5">
        <f>IF(T93&gt;1,"1","2")</f>
        <v/>
      </c>
      <c r="AB93" s="5">
        <f>IF(U93&gt;1,"1","2")</f>
        <v/>
      </c>
      <c r="AC93" s="5">
        <f>IF(V93&gt;1,"1","2")</f>
        <v/>
      </c>
      <c r="AD93" s="5">
        <f>IF(W93&gt;1,"1","2")</f>
        <v/>
      </c>
      <c r="AE93" s="5">
        <f>IF(X93&gt;1,"1","2")</f>
        <v/>
      </c>
      <c r="AF93" t="n">
        <v>-5.123506</v>
      </c>
      <c r="AG93" t="n">
        <v>119.424717</v>
      </c>
    </row>
    <row r="94" ht="14.4" customHeight="1">
      <c r="A94" s="14" t="n">
        <v>91</v>
      </c>
      <c r="B94" s="15" t="inlineStr">
        <is>
          <t>Nur</t>
        </is>
      </c>
      <c r="C94" s="10" t="n">
        <v>12</v>
      </c>
      <c r="D94" s="10" t="n">
        <v>28</v>
      </c>
      <c r="E94" s="17" t="n">
        <v>365</v>
      </c>
      <c r="F94" s="22" t="n">
        <v>0.0003</v>
      </c>
      <c r="G94" s="10" t="n">
        <v>900</v>
      </c>
      <c r="H94" s="12" t="n">
        <v>0.001</v>
      </c>
      <c r="I94" s="18" t="n">
        <v>10950</v>
      </c>
      <c r="J94" s="20" t="n">
        <v>12</v>
      </c>
      <c r="K94" s="19">
        <f>(F94*G94*E94*J94)/(D94*I94)</f>
        <v/>
      </c>
      <c r="L94" s="2">
        <f>(F94*G94*E94*5)/(D94*I94)</f>
        <v/>
      </c>
      <c r="M94" s="2">
        <f>(F94*G94*E94*10)/(D94*I94)</f>
        <v/>
      </c>
      <c r="N94" s="2">
        <f>(F94*G94*E94*15)/(D94*I94)</f>
        <v/>
      </c>
      <c r="O94" s="2">
        <f>(F94*G94*E94*20)/(D94*I94)</f>
        <v/>
      </c>
      <c r="P94" s="2">
        <f>(F94*G94*E94*25)/(D94*I94)</f>
        <v/>
      </c>
      <c r="Q94" s="2">
        <f>(F94*G94*E94*30)/(D94*I94)</f>
        <v/>
      </c>
      <c r="R94" s="2">
        <f>K94/H94</f>
        <v/>
      </c>
      <c r="S94" s="2">
        <f>L94/H94</f>
        <v/>
      </c>
      <c r="T94" s="2">
        <f>M94/H94</f>
        <v/>
      </c>
      <c r="U94" s="2">
        <f>N94/H94</f>
        <v/>
      </c>
      <c r="V94" s="2">
        <f>O94/H94</f>
        <v/>
      </c>
      <c r="W94" s="2">
        <f>P94/H94</f>
        <v/>
      </c>
      <c r="X94" s="2">
        <f>Q94/H94</f>
        <v/>
      </c>
      <c r="Y94" s="5">
        <f>IF(R94&gt;1,"1","2")</f>
        <v/>
      </c>
      <c r="Z94" s="5">
        <f>IF(S94&gt;1,"1","2")</f>
        <v/>
      </c>
      <c r="AA94" s="5">
        <f>IF(T94&gt;1,"1","2")</f>
        <v/>
      </c>
      <c r="AB94" s="5">
        <f>IF(U94&gt;1,"1","2")</f>
        <v/>
      </c>
      <c r="AC94" s="5">
        <f>IF(V94&gt;1,"1","2")</f>
        <v/>
      </c>
      <c r="AD94" s="5">
        <f>IF(W94&gt;1,"1","2")</f>
        <v/>
      </c>
      <c r="AE94" s="5">
        <f>IF(X94&gt;1,"1","2")</f>
        <v/>
      </c>
      <c r="AF94" t="n">
        <v>-5.138128</v>
      </c>
      <c r="AG94" t="n">
        <v>119.406206</v>
      </c>
    </row>
    <row r="95" ht="14.4" customHeight="1">
      <c r="A95" s="14" t="n">
        <v>92</v>
      </c>
      <c r="B95" s="15" t="inlineStr">
        <is>
          <t>Cah</t>
        </is>
      </c>
      <c r="C95" s="10" t="n">
        <v>12</v>
      </c>
      <c r="D95" s="10" t="n">
        <v>40</v>
      </c>
      <c r="E95" s="17" t="n">
        <v>365</v>
      </c>
      <c r="F95" s="22" t="n">
        <v>0.0003</v>
      </c>
      <c r="G95" s="10" t="n">
        <v>1800</v>
      </c>
      <c r="H95" s="12" t="n">
        <v>0.001</v>
      </c>
      <c r="I95" s="18" t="n">
        <v>10950</v>
      </c>
      <c r="J95" s="20" t="n">
        <v>5</v>
      </c>
      <c r="K95" s="19">
        <f>(F95*G95*E95*J95)/(D95*I95)</f>
        <v/>
      </c>
      <c r="L95" s="2">
        <f>(F95*G95*E95*5)/(D95*I95)</f>
        <v/>
      </c>
      <c r="M95" s="2">
        <f>(F95*G95*E95*10)/(D95*I95)</f>
        <v/>
      </c>
      <c r="N95" s="2">
        <f>(F95*G95*E95*15)/(D95*I95)</f>
        <v/>
      </c>
      <c r="O95" s="2">
        <f>(F95*G95*E95*20)/(D95*I95)</f>
        <v/>
      </c>
      <c r="P95" s="2">
        <f>(F95*G95*E95*25)/(D95*I95)</f>
        <v/>
      </c>
      <c r="Q95" s="2">
        <f>(F95*G95*E95*30)/(D95*I95)</f>
        <v/>
      </c>
      <c r="R95" s="2">
        <f>K95/H95</f>
        <v/>
      </c>
      <c r="S95" s="2">
        <f>L95/H95</f>
        <v/>
      </c>
      <c r="T95" s="2">
        <f>M95/H95</f>
        <v/>
      </c>
      <c r="U95" s="2">
        <f>N95/H95</f>
        <v/>
      </c>
      <c r="V95" s="2">
        <f>O95/H95</f>
        <v/>
      </c>
      <c r="W95" s="2">
        <f>P95/H95</f>
        <v/>
      </c>
      <c r="X95" s="2">
        <f>Q95/H95</f>
        <v/>
      </c>
      <c r="Y95" s="5">
        <f>IF(R95&gt;1,"1","2")</f>
        <v/>
      </c>
      <c r="Z95" s="5">
        <f>IF(S95&gt;1,"1","2")</f>
        <v/>
      </c>
      <c r="AA95" s="5">
        <f>IF(T95&gt;1,"1","2")</f>
        <v/>
      </c>
      <c r="AB95" s="5">
        <f>IF(U95&gt;1,"1","2")</f>
        <v/>
      </c>
      <c r="AC95" s="5">
        <f>IF(V95&gt;1,"1","2")</f>
        <v/>
      </c>
      <c r="AD95" s="5">
        <f>IF(W95&gt;1,"1","2")</f>
        <v/>
      </c>
      <c r="AE95" s="5">
        <f>IF(X95&gt;1,"1","2")</f>
        <v/>
      </c>
      <c r="AF95" t="n">
        <v>-5.129594</v>
      </c>
      <c r="AG95" t="n">
        <v>119.425691</v>
      </c>
    </row>
    <row r="96" ht="14.4" customHeight="1">
      <c r="A96" s="14" t="n">
        <v>93</v>
      </c>
      <c r="B96" s="15" t="inlineStr">
        <is>
          <t>Srl</t>
        </is>
      </c>
      <c r="C96" s="10" t="n">
        <v>12</v>
      </c>
      <c r="D96" s="10" t="n">
        <v>23</v>
      </c>
      <c r="E96" s="17" t="n">
        <v>365</v>
      </c>
      <c r="F96" s="22" t="n">
        <v>0.0003</v>
      </c>
      <c r="G96" s="10" t="n">
        <v>900</v>
      </c>
      <c r="H96" s="12" t="n">
        <v>0.001</v>
      </c>
      <c r="I96" s="18" t="n">
        <v>10950</v>
      </c>
      <c r="J96" s="20" t="n">
        <v>12</v>
      </c>
      <c r="K96" s="19">
        <f>(F96*G96*E96*J96)/(D96*I96)</f>
        <v/>
      </c>
      <c r="L96" s="2">
        <f>(F96*G96*E96*5)/(D96*I96)</f>
        <v/>
      </c>
      <c r="M96" s="2">
        <f>(F96*G96*E96*10)/(D96*I96)</f>
        <v/>
      </c>
      <c r="N96" s="2">
        <f>(F96*G96*E96*15)/(D96*I96)</f>
        <v/>
      </c>
      <c r="O96" s="2">
        <f>(F96*G96*E96*20)/(D96*I96)</f>
        <v/>
      </c>
      <c r="P96" s="2">
        <f>(F96*G96*E96*25)/(D96*I96)</f>
        <v/>
      </c>
      <c r="Q96" s="2">
        <f>(F96*G96*E96*30)/(D96*I96)</f>
        <v/>
      </c>
      <c r="R96" s="2">
        <f>K96/H96</f>
        <v/>
      </c>
      <c r="S96" s="2">
        <f>L96/H96</f>
        <v/>
      </c>
      <c r="T96" s="2">
        <f>M96/H96</f>
        <v/>
      </c>
      <c r="U96" s="2">
        <f>N96/H96</f>
        <v/>
      </c>
      <c r="V96" s="2">
        <f>O96/H96</f>
        <v/>
      </c>
      <c r="W96" s="2">
        <f>P96/H96</f>
        <v/>
      </c>
      <c r="X96" s="2">
        <f>Q96/H96</f>
        <v/>
      </c>
      <c r="Y96" s="5">
        <f>IF(R96&gt;1,"1","2")</f>
        <v/>
      </c>
      <c r="Z96" s="5">
        <f>IF(S96&gt;1,"1","2")</f>
        <v/>
      </c>
      <c r="AA96" s="5">
        <f>IF(T96&gt;1,"1","2")</f>
        <v/>
      </c>
      <c r="AB96" s="5">
        <f>IF(U96&gt;1,"1","2")</f>
        <v/>
      </c>
      <c r="AC96" s="5">
        <f>IF(V96&gt;1,"1","2")</f>
        <v/>
      </c>
      <c r="AD96" s="5">
        <f>IF(W96&gt;1,"1","2")</f>
        <v/>
      </c>
      <c r="AE96" s="5">
        <f>IF(X96&gt;1,"1","2")</f>
        <v/>
      </c>
      <c r="AF96" t="n">
        <v>-5.145176</v>
      </c>
      <c r="AG96" t="n">
        <v>119.445381</v>
      </c>
    </row>
    <row r="97" ht="14.4" customHeight="1">
      <c r="A97" s="14" t="n">
        <v>94</v>
      </c>
      <c r="B97" s="15" t="inlineStr">
        <is>
          <t>Afn</t>
        </is>
      </c>
      <c r="C97" s="10" t="n">
        <v>12</v>
      </c>
      <c r="D97" s="10" t="n">
        <v>25</v>
      </c>
      <c r="E97" s="17" t="n">
        <v>365</v>
      </c>
      <c r="F97" s="22" t="n">
        <v>0.0003</v>
      </c>
      <c r="G97" s="10" t="n">
        <v>900</v>
      </c>
      <c r="H97" s="12" t="n">
        <v>0.001</v>
      </c>
      <c r="I97" s="18" t="n">
        <v>10950</v>
      </c>
      <c r="J97" s="20" t="n">
        <v>12</v>
      </c>
      <c r="K97" s="19">
        <f>(F97*G97*E97*J97)/(D97*I97)</f>
        <v/>
      </c>
      <c r="L97" s="2">
        <f>(F97*G97*E97*5)/(D97*I97)</f>
        <v/>
      </c>
      <c r="M97" s="2">
        <f>(F97*G97*E97*10)/(D97*I97)</f>
        <v/>
      </c>
      <c r="N97" s="2">
        <f>(F97*G97*E97*15)/(D97*I97)</f>
        <v/>
      </c>
      <c r="O97" s="2">
        <f>(F97*G97*E97*20)/(D97*I97)</f>
        <v/>
      </c>
      <c r="P97" s="2">
        <f>(F97*G97*E97*25)/(D97*I97)</f>
        <v/>
      </c>
      <c r="Q97" s="2">
        <f>(F97*G97*E97*30)/(D97*I97)</f>
        <v/>
      </c>
      <c r="R97" s="2">
        <f>K97/H97</f>
        <v/>
      </c>
      <c r="S97" s="2">
        <f>L97/H97</f>
        <v/>
      </c>
      <c r="T97" s="2">
        <f>M97/H97</f>
        <v/>
      </c>
      <c r="U97" s="2">
        <f>N97/H97</f>
        <v/>
      </c>
      <c r="V97" s="2">
        <f>O97/H97</f>
        <v/>
      </c>
      <c r="W97" s="2">
        <f>P97/H97</f>
        <v/>
      </c>
      <c r="X97" s="2">
        <f>Q97/H97</f>
        <v/>
      </c>
      <c r="Y97" s="5">
        <f>IF(R97&gt;1,"1","2")</f>
        <v/>
      </c>
      <c r="Z97" s="5">
        <f>IF(S97&gt;1,"1","2")</f>
        <v/>
      </c>
      <c r="AA97" s="5">
        <f>IF(T97&gt;1,"1","2")</f>
        <v/>
      </c>
      <c r="AB97" s="5">
        <f>IF(U97&gt;1,"1","2")</f>
        <v/>
      </c>
      <c r="AC97" s="5">
        <f>IF(V97&gt;1,"1","2")</f>
        <v/>
      </c>
      <c r="AD97" s="5">
        <f>IF(W97&gt;1,"1","2")</f>
        <v/>
      </c>
      <c r="AE97" s="5">
        <f>IF(X97&gt;1,"1","2")</f>
        <v/>
      </c>
      <c r="AF97" t="n">
        <v>-5.152219</v>
      </c>
      <c r="AG97" t="n">
        <v>119.440304</v>
      </c>
    </row>
    <row r="98" ht="14.4" customHeight="1">
      <c r="A98" s="14" t="n">
        <v>95</v>
      </c>
      <c r="B98" s="15" t="inlineStr">
        <is>
          <t>Mad</t>
        </is>
      </c>
      <c r="C98" s="10" t="n">
        <v>12</v>
      </c>
      <c r="D98" s="10" t="n">
        <v>28</v>
      </c>
      <c r="E98" s="17" t="n">
        <v>365</v>
      </c>
      <c r="F98" s="22" t="n">
        <v>0.0003</v>
      </c>
      <c r="G98" s="10" t="n">
        <v>900</v>
      </c>
      <c r="H98" s="12" t="n">
        <v>0.001</v>
      </c>
      <c r="I98" s="18" t="n">
        <v>10950</v>
      </c>
      <c r="J98" s="20" t="n">
        <v>12</v>
      </c>
      <c r="K98" s="19">
        <f>(F98*G98*E98*J98)/(D98*I98)</f>
        <v/>
      </c>
      <c r="L98" s="2">
        <f>(F98*G98*E98*5)/(D98*I98)</f>
        <v/>
      </c>
      <c r="M98" s="2">
        <f>(F98*G98*E98*10)/(D98*I98)</f>
        <v/>
      </c>
      <c r="N98" s="2">
        <f>(F98*G98*E98*15)/(D98*I98)</f>
        <v/>
      </c>
      <c r="O98" s="2">
        <f>(F98*G98*E98*20)/(D98*I98)</f>
        <v/>
      </c>
      <c r="P98" s="2">
        <f>(F98*G98*E98*25)/(D98*I98)</f>
        <v/>
      </c>
      <c r="Q98" s="2">
        <f>(F98*G98*E98*30)/(D98*I98)</f>
        <v/>
      </c>
      <c r="R98" s="2">
        <f>K98/H98</f>
        <v/>
      </c>
      <c r="S98" s="2">
        <f>L98/H98</f>
        <v/>
      </c>
      <c r="T98" s="2">
        <f>M98/H98</f>
        <v/>
      </c>
      <c r="U98" s="2">
        <f>N98/H98</f>
        <v/>
      </c>
      <c r="V98" s="2">
        <f>O98/H98</f>
        <v/>
      </c>
      <c r="W98" s="2">
        <f>P98/H98</f>
        <v/>
      </c>
      <c r="X98" s="2">
        <f>Q98/H98</f>
        <v/>
      </c>
      <c r="Y98" s="5">
        <f>IF(R98&gt;1,"1","2")</f>
        <v/>
      </c>
      <c r="Z98" s="5">
        <f>IF(S98&gt;1,"1","2")</f>
        <v/>
      </c>
      <c r="AA98" s="5">
        <f>IF(T98&gt;1,"1","2")</f>
        <v/>
      </c>
      <c r="AB98" s="5">
        <f>IF(U98&gt;1,"1","2")</f>
        <v/>
      </c>
      <c r="AC98" s="5">
        <f>IF(V98&gt;1,"1","2")</f>
        <v/>
      </c>
      <c r="AD98" s="5">
        <f>IF(W98&gt;1,"1","2")</f>
        <v/>
      </c>
      <c r="AE98" s="5">
        <f>IF(X98&gt;1,"1","2")</f>
        <v/>
      </c>
      <c r="AF98" t="n">
        <v>-5.145744</v>
      </c>
      <c r="AG98" t="n">
        <v>119.441558</v>
      </c>
    </row>
    <row r="99" ht="14.4" customHeight="1">
      <c r="A99" s="14" t="n">
        <v>96</v>
      </c>
      <c r="B99" s="15" t="inlineStr">
        <is>
          <t>Nas</t>
        </is>
      </c>
      <c r="C99" s="10" t="n">
        <v>12</v>
      </c>
      <c r="D99" s="10" t="n">
        <v>40</v>
      </c>
      <c r="E99" s="17" t="n">
        <v>365</v>
      </c>
      <c r="F99" s="22" t="n">
        <v>0.0003</v>
      </c>
      <c r="G99" s="10" t="n">
        <v>1800</v>
      </c>
      <c r="H99" s="12" t="n">
        <v>0.001</v>
      </c>
      <c r="I99" s="18" t="n">
        <v>10950</v>
      </c>
      <c r="J99" s="20" t="n">
        <v>5</v>
      </c>
      <c r="K99" s="19">
        <f>(F99*G99*E99*J99)/(D99*I99)</f>
        <v/>
      </c>
      <c r="L99" s="2">
        <f>(F99*G99*E99*5)/(D99*I99)</f>
        <v/>
      </c>
      <c r="M99" s="2">
        <f>(F99*G99*E99*10)/(D99*I99)</f>
        <v/>
      </c>
      <c r="N99" s="2">
        <f>(F99*G99*E99*15)/(D99*I99)</f>
        <v/>
      </c>
      <c r="O99" s="2">
        <f>(F99*G99*E99*20)/(D99*I99)</f>
        <v/>
      </c>
      <c r="P99" s="2">
        <f>(F99*G99*E99*25)/(D99*I99)</f>
        <v/>
      </c>
      <c r="Q99" s="2">
        <f>(F99*G99*E99*30)/(D99*I99)</f>
        <v/>
      </c>
      <c r="R99" s="2">
        <f>K99/H99</f>
        <v/>
      </c>
      <c r="S99" s="2">
        <f>L99/H99</f>
        <v/>
      </c>
      <c r="T99" s="2">
        <f>M99/H99</f>
        <v/>
      </c>
      <c r="U99" s="2">
        <f>N99/H99</f>
        <v/>
      </c>
      <c r="V99" s="2">
        <f>O99/H99</f>
        <v/>
      </c>
      <c r="W99" s="2">
        <f>P99/H99</f>
        <v/>
      </c>
      <c r="X99" s="2">
        <f>Q99/H99</f>
        <v/>
      </c>
      <c r="Y99" s="5">
        <f>IF(R99&gt;1,"1","2")</f>
        <v/>
      </c>
      <c r="Z99" s="5">
        <f>IF(S99&gt;1,"1","2")</f>
        <v/>
      </c>
      <c r="AA99" s="5">
        <f>IF(T99&gt;1,"1","2")</f>
        <v/>
      </c>
      <c r="AB99" s="5">
        <f>IF(U99&gt;1,"1","2")</f>
        <v/>
      </c>
      <c r="AC99" s="5">
        <f>IF(V99&gt;1,"1","2")</f>
        <v/>
      </c>
      <c r="AD99" s="5">
        <f>IF(W99&gt;1,"1","2")</f>
        <v/>
      </c>
      <c r="AE99" s="5">
        <f>IF(X99&gt;1,"1","2")</f>
        <v/>
      </c>
      <c r="AF99" t="n">
        <v>-5.143841</v>
      </c>
      <c r="AG99" t="n">
        <v>119.410004</v>
      </c>
    </row>
    <row r="100" ht="14.4" customHeight="1">
      <c r="A100" s="14" t="n">
        <v>97</v>
      </c>
      <c r="B100" s="15" t="inlineStr">
        <is>
          <t>Dat</t>
        </is>
      </c>
      <c r="C100" s="10" t="n">
        <v>12</v>
      </c>
      <c r="D100" s="10" t="n">
        <v>28</v>
      </c>
      <c r="E100" s="17" t="n">
        <v>365</v>
      </c>
      <c r="F100" s="22" t="n">
        <v>0.0003</v>
      </c>
      <c r="G100" s="10" t="n">
        <v>900</v>
      </c>
      <c r="H100" s="12" t="n">
        <v>0.001</v>
      </c>
      <c r="I100" s="18" t="n">
        <v>10950</v>
      </c>
      <c r="J100" s="20" t="n">
        <v>12</v>
      </c>
      <c r="K100" s="19">
        <f>(F100*G100*E100*J100)/(D100*I100)</f>
        <v/>
      </c>
      <c r="L100" s="2">
        <f>(F100*G100*E100*5)/(D100*I100)</f>
        <v/>
      </c>
      <c r="M100" s="2">
        <f>(F100*G100*E100*10)/(D100*I100)</f>
        <v/>
      </c>
      <c r="N100" s="2">
        <f>(F100*G100*E100*15)/(D100*I100)</f>
        <v/>
      </c>
      <c r="O100" s="2">
        <f>(F100*G100*E100*20)/(D100*I100)</f>
        <v/>
      </c>
      <c r="P100" s="2">
        <f>(F100*G100*E100*25)/(D100*I100)</f>
        <v/>
      </c>
      <c r="Q100" s="2">
        <f>(F100*G100*E100*30)/(D100*I100)</f>
        <v/>
      </c>
      <c r="R100" s="2">
        <f>K100/H100</f>
        <v/>
      </c>
      <c r="S100" s="2">
        <f>L100/H100</f>
        <v/>
      </c>
      <c r="T100" s="2">
        <f>M100/H100</f>
        <v/>
      </c>
      <c r="U100" s="2">
        <f>N100/H100</f>
        <v/>
      </c>
      <c r="V100" s="2">
        <f>O100/H100</f>
        <v/>
      </c>
      <c r="W100" s="2">
        <f>P100/H100</f>
        <v/>
      </c>
      <c r="X100" s="2">
        <f>Q100/H100</f>
        <v/>
      </c>
      <c r="Y100" s="5">
        <f>IF(R100&gt;1,"1","2")</f>
        <v/>
      </c>
      <c r="Z100" s="5">
        <f>IF(S100&gt;1,"1","2")</f>
        <v/>
      </c>
      <c r="AA100" s="5">
        <f>IF(T100&gt;1,"1","2")</f>
        <v/>
      </c>
      <c r="AB100" s="5">
        <f>IF(U100&gt;1,"1","2")</f>
        <v/>
      </c>
      <c r="AC100" s="5">
        <f>IF(V100&gt;1,"1","2")</f>
        <v/>
      </c>
      <c r="AD100" s="5">
        <f>IF(W100&gt;1,"1","2")</f>
        <v/>
      </c>
      <c r="AE100" s="5">
        <f>IF(X100&gt;1,"1","2")</f>
        <v/>
      </c>
      <c r="AF100" t="n">
        <v>-5.154173</v>
      </c>
      <c r="AG100" t="n">
        <v>119.422746</v>
      </c>
    </row>
    <row r="101" ht="14.4" customHeight="1">
      <c r="A101" s="14" t="n">
        <v>98</v>
      </c>
      <c r="B101" s="15" t="inlineStr">
        <is>
          <t>Nas</t>
        </is>
      </c>
      <c r="C101" s="10" t="n">
        <v>12</v>
      </c>
      <c r="D101" s="10" t="n">
        <v>40</v>
      </c>
      <c r="E101" s="17" t="n">
        <v>365</v>
      </c>
      <c r="F101" s="22" t="n">
        <v>0.0003</v>
      </c>
      <c r="G101" s="10" t="n">
        <v>1800</v>
      </c>
      <c r="H101" s="12" t="n">
        <v>0.001</v>
      </c>
      <c r="I101" s="18" t="n">
        <v>10950</v>
      </c>
      <c r="J101" s="20" t="n">
        <v>5</v>
      </c>
      <c r="K101" s="19">
        <f>(F101*G101*E101*J101)/(D101*I101)</f>
        <v/>
      </c>
      <c r="L101" s="2">
        <f>(F101*G101*E101*5)/(D101*I101)</f>
        <v/>
      </c>
      <c r="M101" s="2">
        <f>(F101*G101*E101*10)/(D101*I101)</f>
        <v/>
      </c>
      <c r="N101" s="2">
        <f>(F101*G101*E101*15)/(D101*I101)</f>
        <v/>
      </c>
      <c r="O101" s="2">
        <f>(F101*G101*E101*20)/(D101*I101)</f>
        <v/>
      </c>
      <c r="P101" s="2">
        <f>(F101*G101*E101*25)/(D101*I101)</f>
        <v/>
      </c>
      <c r="Q101" s="2">
        <f>(F101*G101*E101*30)/(D101*I101)</f>
        <v/>
      </c>
      <c r="R101" s="2">
        <f>K101/H101</f>
        <v/>
      </c>
      <c r="S101" s="2">
        <f>L101/H101</f>
        <v/>
      </c>
      <c r="T101" s="2">
        <f>M101/H101</f>
        <v/>
      </c>
      <c r="U101" s="2">
        <f>N101/H101</f>
        <v/>
      </c>
      <c r="V101" s="2">
        <f>O101/H101</f>
        <v/>
      </c>
      <c r="W101" s="2">
        <f>P101/H101</f>
        <v/>
      </c>
      <c r="X101" s="2">
        <f>Q101/H101</f>
        <v/>
      </c>
      <c r="Y101" s="5">
        <f>IF(R101&gt;1,"1","2")</f>
        <v/>
      </c>
      <c r="Z101" s="5">
        <f>IF(S101&gt;1,"1","2")</f>
        <v/>
      </c>
      <c r="AA101" s="5">
        <f>IF(T101&gt;1,"1","2")</f>
        <v/>
      </c>
      <c r="AB101" s="5">
        <f>IF(U101&gt;1,"1","2")</f>
        <v/>
      </c>
      <c r="AC101" s="5">
        <f>IF(V101&gt;1,"1","2")</f>
        <v/>
      </c>
      <c r="AD101" s="5">
        <f>IF(W101&gt;1,"1","2")</f>
        <v/>
      </c>
      <c r="AE101" s="5">
        <f>IF(X101&gt;1,"1","2")</f>
        <v/>
      </c>
      <c r="AF101" t="n">
        <v>-5.136754</v>
      </c>
      <c r="AG101" t="n">
        <v>119.409738</v>
      </c>
    </row>
    <row r="102" ht="14.4" customHeight="1">
      <c r="A102" s="14" t="n">
        <v>99</v>
      </c>
      <c r="B102" s="15" t="inlineStr">
        <is>
          <t>Dan</t>
        </is>
      </c>
      <c r="C102" s="10" t="n">
        <v>12</v>
      </c>
      <c r="D102" s="10" t="n">
        <v>28</v>
      </c>
      <c r="E102" s="17" t="n">
        <v>365</v>
      </c>
      <c r="F102" s="22" t="n">
        <v>0.0003</v>
      </c>
      <c r="G102" s="10" t="n">
        <v>1800</v>
      </c>
      <c r="H102" s="12" t="n">
        <v>0.001</v>
      </c>
      <c r="I102" s="18" t="n">
        <v>10950</v>
      </c>
      <c r="J102" s="20" t="n">
        <v>12</v>
      </c>
      <c r="K102" s="19">
        <f>(F102*G102*E102*J102)/(D102*I102)</f>
        <v/>
      </c>
      <c r="L102" s="2">
        <f>(F102*G102*E102*5)/(D102*I102)</f>
        <v/>
      </c>
      <c r="M102" s="2">
        <f>(F102*G102*E102*10)/(D102*I102)</f>
        <v/>
      </c>
      <c r="N102" s="2">
        <f>(F102*G102*E102*15)/(D102*I102)</f>
        <v/>
      </c>
      <c r="O102" s="2">
        <f>(F102*G102*E102*20)/(D102*I102)</f>
        <v/>
      </c>
      <c r="P102" s="2">
        <f>(F102*G102*E102*25)/(D102*I102)</f>
        <v/>
      </c>
      <c r="Q102" s="2">
        <f>(F102*G102*E102*30)/(D102*I102)</f>
        <v/>
      </c>
      <c r="R102" s="2">
        <f>K102/H102</f>
        <v/>
      </c>
      <c r="S102" s="2">
        <f>L102/H102</f>
        <v/>
      </c>
      <c r="T102" s="2">
        <f>M102/H102</f>
        <v/>
      </c>
      <c r="U102" s="2">
        <f>N102/H102</f>
        <v/>
      </c>
      <c r="V102" s="2">
        <f>O102/H102</f>
        <v/>
      </c>
      <c r="W102" s="2">
        <f>P102/H102</f>
        <v/>
      </c>
      <c r="X102" s="2">
        <f>Q102/H102</f>
        <v/>
      </c>
      <c r="Y102" s="5">
        <f>IF(R102&gt;1,"1","2")</f>
        <v/>
      </c>
      <c r="Z102" s="5">
        <f>IF(S102&gt;1,"1","2")</f>
        <v/>
      </c>
      <c r="AA102" s="5">
        <f>IF(T102&gt;1,"1","2")</f>
        <v/>
      </c>
      <c r="AB102" s="5">
        <f>IF(U102&gt;1,"1","2")</f>
        <v/>
      </c>
      <c r="AC102" s="5">
        <f>IF(V102&gt;1,"1","2")</f>
        <v/>
      </c>
      <c r="AD102" s="5">
        <f>IF(W102&gt;1,"1","2")</f>
        <v/>
      </c>
      <c r="AE102" s="5">
        <f>IF(X102&gt;1,"1","2")</f>
        <v/>
      </c>
      <c r="AF102" t="n">
        <v>-5.154073</v>
      </c>
      <c r="AG102" t="n">
        <v>119.430798</v>
      </c>
    </row>
    <row r="103" ht="14.4" customHeight="1">
      <c r="A103" s="14" t="n">
        <v>100</v>
      </c>
      <c r="B103" s="15" t="inlineStr">
        <is>
          <t>Adm</t>
        </is>
      </c>
      <c r="C103" s="10" t="n">
        <v>12</v>
      </c>
      <c r="D103" s="10" t="n">
        <v>28</v>
      </c>
      <c r="E103" s="17" t="n">
        <v>365</v>
      </c>
      <c r="F103" s="22" t="n">
        <v>0.0003</v>
      </c>
      <c r="G103" s="10" t="n">
        <v>900</v>
      </c>
      <c r="H103" s="12" t="n">
        <v>0.001</v>
      </c>
      <c r="I103" s="18" t="n">
        <v>10950</v>
      </c>
      <c r="J103" s="20" t="n">
        <v>12</v>
      </c>
      <c r="K103" s="19">
        <f>(F103*G103*E103*J103)/(D103*I103)</f>
        <v/>
      </c>
      <c r="L103" s="2">
        <f>(F103*G103*E103*5)/(D103*I103)</f>
        <v/>
      </c>
      <c r="M103" s="2">
        <f>(F103*G103*E103*10)/(D103*I103)</f>
        <v/>
      </c>
      <c r="N103" s="2">
        <f>(F103*G103*E103*15)/(D103*I103)</f>
        <v/>
      </c>
      <c r="O103" s="2">
        <f>(F103*G103*E103*20)/(D103*I103)</f>
        <v/>
      </c>
      <c r="P103" s="2">
        <f>(F103*G103*E103*25)/(D103*I103)</f>
        <v/>
      </c>
      <c r="Q103" s="2">
        <f>(F103*G103*E103*30)/(D103*I103)</f>
        <v/>
      </c>
      <c r="R103" s="2">
        <f>K103/H103</f>
        <v/>
      </c>
      <c r="S103" s="2">
        <f>L103/H103</f>
        <v/>
      </c>
      <c r="T103" s="2">
        <f>M103/H103</f>
        <v/>
      </c>
      <c r="U103" s="2">
        <f>N103/H103</f>
        <v/>
      </c>
      <c r="V103" s="2">
        <f>O103/H103</f>
        <v/>
      </c>
      <c r="W103" s="2">
        <f>P103/H103</f>
        <v/>
      </c>
      <c r="X103" s="2">
        <f>Q103/H103</f>
        <v/>
      </c>
      <c r="Y103" s="5">
        <f>IF(R103&gt;1,"1","2")</f>
        <v/>
      </c>
      <c r="Z103" s="5">
        <f>IF(S103&gt;1,"1","2")</f>
        <v/>
      </c>
      <c r="AA103" s="5">
        <f>IF(T103&gt;1,"1","2")</f>
        <v/>
      </c>
      <c r="AB103" s="5">
        <f>IF(U103&gt;1,"1","2")</f>
        <v/>
      </c>
      <c r="AC103" s="5">
        <f>IF(V103&gt;1,"1","2")</f>
        <v/>
      </c>
      <c r="AD103" s="5">
        <f>IF(W103&gt;1,"1","2")</f>
        <v/>
      </c>
      <c r="AE103" s="5">
        <f>IF(X103&gt;1,"1","2")</f>
        <v/>
      </c>
      <c r="AF103" t="n">
        <v>-5.120838</v>
      </c>
      <c r="AG103" t="n">
        <v>119.422815</v>
      </c>
    </row>
    <row r="104"/>
    <row r="105">
      <c r="A105" s="3" t="inlineStr">
        <is>
          <t>Interpretasi RQ</t>
        </is>
      </c>
      <c r="AF105" t="n">
        <v>-5.124876</v>
      </c>
      <c r="AG105" t="n">
        <v>119.417456</v>
      </c>
    </row>
    <row r="106">
      <c r="A106" s="3" t="inlineStr">
        <is>
          <t>1: Tidak aman</t>
        </is>
      </c>
      <c r="AF106" t="n">
        <v>-5.131573</v>
      </c>
      <c r="AG106" t="n">
        <v>119.445055</v>
      </c>
    </row>
    <row r="107">
      <c r="A107" s="3" t="inlineStr">
        <is>
          <t>2: Aman</t>
        </is>
      </c>
      <c r="AF107" t="n">
        <v>-5.150141</v>
      </c>
      <c r="AG107" t="n">
        <v>119.429064</v>
      </c>
    </row>
  </sheetData>
  <mergeCells count="31">
    <mergeCell ref="AB1:AB2"/>
    <mergeCell ref="AD1:AD2"/>
    <mergeCell ref="J1:J2"/>
    <mergeCell ref="C1:C2"/>
    <mergeCell ref="E1:E2"/>
    <mergeCell ref="K1:K2"/>
    <mergeCell ref="V1:V2"/>
    <mergeCell ref="M1:M2"/>
    <mergeCell ref="O1:O2"/>
    <mergeCell ref="Q1:Q2"/>
    <mergeCell ref="W1:W2"/>
    <mergeCell ref="Y1:Y2"/>
    <mergeCell ref="B1:B2"/>
    <mergeCell ref="AC1:AC2"/>
    <mergeCell ref="L1:L2"/>
    <mergeCell ref="AE1:AE2"/>
    <mergeCell ref="N1:N2"/>
    <mergeCell ref="T1:T2"/>
    <mergeCell ref="X1:X2"/>
    <mergeCell ref="G1:G2"/>
    <mergeCell ref="I1:I2"/>
    <mergeCell ref="Z1:Z2"/>
    <mergeCell ref="S1:S2"/>
    <mergeCell ref="U1:U2"/>
    <mergeCell ref="D1:D2"/>
    <mergeCell ref="R1:R2"/>
    <mergeCell ref="F1:F2"/>
    <mergeCell ref="H1:H2"/>
    <mergeCell ref="AA1:AA2"/>
    <mergeCell ref="P1:P2"/>
    <mergeCell ref="A1:A2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B10" sqref="B10"/>
    </sheetView>
  </sheetViews>
  <sheetFormatPr baseColWidth="8" defaultRowHeight="14.4"/>
  <sheetData>
    <row r="1">
      <c r="A1" t="inlineStr">
        <is>
          <t>Keterangan:</t>
        </is>
      </c>
    </row>
    <row r="3">
      <c r="A3" s="3" t="inlineStr">
        <is>
          <t>Wb  : Berat Badan Responden (kg)</t>
        </is>
      </c>
      <c r="B3" s="3" t="n"/>
      <c r="C3" s="3" t="n"/>
      <c r="D3" s="3" t="n"/>
      <c r="E3" s="3" t="n"/>
      <c r="F3" s="3" t="n"/>
      <c r="G3" s="3" t="n"/>
    </row>
    <row r="4">
      <c r="A4" s="3" t="inlineStr">
        <is>
          <t>Dt   : Durasi Pajanan (tahun)</t>
        </is>
      </c>
      <c r="B4" s="3" t="n"/>
      <c r="C4" s="3" t="n"/>
      <c r="D4" s="3" t="n"/>
      <c r="E4" s="3" t="n"/>
      <c r="F4" s="3" t="n"/>
      <c r="G4" s="3" t="n"/>
    </row>
    <row r="5">
      <c r="A5" s="3" t="inlineStr">
        <is>
          <t>f      : Frekuensi Pajanan (hari/tahun)</t>
        </is>
      </c>
      <c r="B5" s="3" t="n"/>
      <c r="C5" s="3" t="n"/>
      <c r="D5" s="3" t="n"/>
      <c r="E5" s="3" t="n"/>
      <c r="F5" s="3" t="n"/>
      <c r="G5" s="3" t="n"/>
    </row>
    <row r="6">
      <c r="A6" s="3" t="inlineStr">
        <is>
          <t>C    :   konsentrasi agen kimia pada air  (mg/L)</t>
        </is>
      </c>
      <c r="B6" s="3" t="n"/>
      <c r="C6" s="3" t="n"/>
      <c r="D6" s="3" t="n"/>
      <c r="E6" s="3" t="n"/>
      <c r="F6" s="3" t="n"/>
      <c r="G6" s="3" t="n"/>
    </row>
    <row r="7">
      <c r="A7" s="4" t="inlineStr">
        <is>
          <t>R     : Laju Asupan (L/hari)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RfD : Dosis Acuan dari EPA-US (mg/L/hari)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tavg : Periode Waktu Rata - Rata (30 tahun x 365 hari/tahun)</t>
        </is>
      </c>
      <c r="B9" s="4" t="n"/>
      <c r="C9" s="4" t="n"/>
      <c r="D9" s="4" t="n"/>
      <c r="E9" s="4" t="n"/>
      <c r="F9" s="4" t="n"/>
      <c r="G9" s="4" t="n"/>
    </row>
    <row r="10">
      <c r="A10" s="4" t="inlineStr">
        <is>
          <t>I      : Asupan / Intake (mg/kg/hari)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RQ  : Risiko Non Karsinogenik</t>
        </is>
      </c>
      <c r="B11" s="4" t="n"/>
      <c r="C11" s="4" t="n"/>
      <c r="D11" s="4" t="n"/>
      <c r="E11" s="4" t="n"/>
      <c r="F11" s="4" t="n"/>
      <c r="G11" s="4" t="n"/>
    </row>
    <row r="12">
      <c r="A12" t="inlineStr">
        <is>
          <t>Interpretasi RQ</t>
        </is>
      </c>
    </row>
    <row r="13">
      <c r="A13" t="inlineStr">
        <is>
          <t>1: Tidak aman</t>
        </is>
      </c>
    </row>
    <row r="14">
      <c r="A14" t="inlineStr">
        <is>
          <t>2: Aman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M7" sqref="M7"/>
    </sheetView>
  </sheetViews>
  <sheetFormatPr baseColWidth="8" defaultRowHeight="14.4"/>
  <cols>
    <col width="15.109375" customWidth="1" min="1" max="1"/>
  </cols>
  <sheetData>
    <row r="1" ht="15" customHeight="1">
      <c r="A1" s="23" t="inlineStr">
        <is>
          <t>I_Cd_30</t>
        </is>
      </c>
      <c r="B1" s="23" t="inlineStr">
        <is>
          <t>I_ Cd_25</t>
        </is>
      </c>
      <c r="C1" s="23" t="inlineStr">
        <is>
          <t>I_ Cd_20</t>
        </is>
      </c>
      <c r="D1" s="23" t="inlineStr">
        <is>
          <t>I_ Cd_15</t>
        </is>
      </c>
      <c r="E1" s="23" t="inlineStr">
        <is>
          <t>I_ Cd_10</t>
        </is>
      </c>
      <c r="F1" s="23" t="inlineStr">
        <is>
          <t>I_ Cd_5</t>
        </is>
      </c>
      <c r="H1" s="26" t="inlineStr">
        <is>
          <t>Wb</t>
        </is>
      </c>
      <c r="I1" s="31" t="n"/>
    </row>
    <row r="2">
      <c r="A2" s="23" t="inlineStr">
        <is>
          <t xml:space="preserve"> I_Pb_30</t>
        </is>
      </c>
      <c r="B2" s="23" t="inlineStr">
        <is>
          <t xml:space="preserve"> I_Pb_25</t>
        </is>
      </c>
      <c r="C2" s="23" t="inlineStr">
        <is>
          <t xml:space="preserve"> I_Pb_20</t>
        </is>
      </c>
      <c r="D2" s="23" t="inlineStr">
        <is>
          <t xml:space="preserve"> I_Pb_15</t>
        </is>
      </c>
      <c r="E2" s="23" t="inlineStr">
        <is>
          <t xml:space="preserve"> I_Pb_10</t>
        </is>
      </c>
      <c r="F2" s="23" t="inlineStr">
        <is>
          <t xml:space="preserve"> I_Pb_5</t>
        </is>
      </c>
      <c r="H2" s="26" t="inlineStr">
        <is>
          <t>f</t>
        </is>
      </c>
      <c r="I2" s="31" t="n"/>
    </row>
    <row r="3">
      <c r="A3" s="23" t="inlineStr">
        <is>
          <t>I_CrVI_30</t>
        </is>
      </c>
      <c r="B3" s="23" t="inlineStr">
        <is>
          <t>I_CrVI_25</t>
        </is>
      </c>
      <c r="C3" s="23" t="inlineStr">
        <is>
          <t>I_CrVI_20</t>
        </is>
      </c>
      <c r="D3" s="23" t="inlineStr">
        <is>
          <t>I_CrVI_15</t>
        </is>
      </c>
      <c r="E3" s="23" t="inlineStr">
        <is>
          <t>I_CrVI_10</t>
        </is>
      </c>
      <c r="F3" s="23" t="inlineStr">
        <is>
          <t>I_CrVI_5</t>
        </is>
      </c>
      <c r="H3" s="23" t="inlineStr">
        <is>
          <t>C</t>
        </is>
      </c>
      <c r="I3" s="31" t="n"/>
    </row>
    <row r="4">
      <c r="A4" s="23" t="inlineStr">
        <is>
          <t>I_Ni_30</t>
        </is>
      </c>
      <c r="B4" s="23" t="inlineStr">
        <is>
          <t>I_Ni_25</t>
        </is>
      </c>
      <c r="C4" s="23" t="inlineStr">
        <is>
          <t>I_Ni_20</t>
        </is>
      </c>
      <c r="D4" s="23" t="inlineStr">
        <is>
          <t>I_Ni_15</t>
        </is>
      </c>
      <c r="E4" s="23" t="inlineStr">
        <is>
          <t>I_Ni_10</t>
        </is>
      </c>
      <c r="F4" s="23" t="inlineStr">
        <is>
          <t>I_Ni_5</t>
        </is>
      </c>
      <c r="H4" s="23" t="inlineStr">
        <is>
          <t>R</t>
        </is>
      </c>
      <c r="I4" s="31" t="n"/>
    </row>
    <row r="5">
      <c r="A5" s="23" t="inlineStr">
        <is>
          <t>ECR_Cd</t>
        </is>
      </c>
      <c r="B5" s="23" t="inlineStr">
        <is>
          <t>ECR_Cd</t>
        </is>
      </c>
      <c r="C5" s="23" t="inlineStr">
        <is>
          <t>ECR_Cd</t>
        </is>
      </c>
      <c r="D5" s="23" t="inlineStr">
        <is>
          <t>ECR_Cd_15</t>
        </is>
      </c>
      <c r="E5" s="23" t="inlineStr">
        <is>
          <t>ECR_Cd</t>
        </is>
      </c>
      <c r="F5" s="23" t="inlineStr">
        <is>
          <t>ECR_Cd</t>
        </is>
      </c>
      <c r="H5" s="23" t="inlineStr">
        <is>
          <t>RfD</t>
        </is>
      </c>
      <c r="I5" s="31" t="n"/>
    </row>
    <row r="6">
      <c r="A6" s="23" t="inlineStr">
        <is>
          <t>ECR_Pb_30</t>
        </is>
      </c>
      <c r="B6" s="23" t="inlineStr">
        <is>
          <t>ECR_Pb_25</t>
        </is>
      </c>
      <c r="C6" s="23" t="inlineStr">
        <is>
          <t>ECR_Pb_20</t>
        </is>
      </c>
      <c r="D6" s="23" t="inlineStr">
        <is>
          <t>ECR_Pb_15</t>
        </is>
      </c>
      <c r="E6" s="23" t="inlineStr">
        <is>
          <t>ECR_Pb_10</t>
        </is>
      </c>
      <c r="F6" s="23" t="inlineStr">
        <is>
          <t>ECR_Pb_5</t>
        </is>
      </c>
      <c r="H6" s="26" t="inlineStr">
        <is>
          <t>tavg</t>
        </is>
      </c>
      <c r="I6" s="31" t="n"/>
    </row>
    <row r="7">
      <c r="A7" s="23" t="inlineStr">
        <is>
          <t>ECR_CrVI_30</t>
        </is>
      </c>
      <c r="B7" s="23" t="inlineStr">
        <is>
          <t>ECR_CrVI_25</t>
        </is>
      </c>
      <c r="C7" s="23" t="inlineStr">
        <is>
          <t>ECR_CrVI_20</t>
        </is>
      </c>
      <c r="D7" s="23" t="inlineStr">
        <is>
          <t>ECR_CrVI_15</t>
        </is>
      </c>
      <c r="E7" s="23" t="inlineStr">
        <is>
          <t>ECR_CrVI_10</t>
        </is>
      </c>
      <c r="F7" s="23" t="inlineStr">
        <is>
          <t>ECR_CrVI_5</t>
        </is>
      </c>
      <c r="H7" s="23" t="inlineStr">
        <is>
          <t>Intake__Dt_5th</t>
        </is>
      </c>
      <c r="I7" s="31" t="n"/>
    </row>
    <row r="8">
      <c r="A8" s="23" t="inlineStr">
        <is>
          <t>ECR_Ni_30</t>
        </is>
      </c>
      <c r="B8" s="23" t="inlineStr">
        <is>
          <t>ECR_Ni_25</t>
        </is>
      </c>
      <c r="C8" s="23" t="inlineStr">
        <is>
          <t>ECR_Ni_20</t>
        </is>
      </c>
      <c r="D8" s="23" t="inlineStr">
        <is>
          <t>ECR_Ni_15</t>
        </is>
      </c>
      <c r="E8" s="23" t="inlineStr">
        <is>
          <t>ECR_Ni_10</t>
        </is>
      </c>
      <c r="F8" s="23" t="inlineStr">
        <is>
          <t>ECR_Ni_5</t>
        </is>
      </c>
      <c r="H8" s="23" t="inlineStr">
        <is>
          <t>Intake__Dt_10th</t>
        </is>
      </c>
      <c r="I8" s="31" t="n"/>
    </row>
    <row r="9">
      <c r="A9" s="23" t="inlineStr">
        <is>
          <t>ECR_Cd</t>
        </is>
      </c>
      <c r="B9" s="23" t="inlineStr">
        <is>
          <t>ECR_Cd</t>
        </is>
      </c>
      <c r="C9" s="23" t="inlineStr">
        <is>
          <t>ECR_Cd</t>
        </is>
      </c>
      <c r="D9" s="23" t="inlineStr">
        <is>
          <t>ECR_Cd</t>
        </is>
      </c>
      <c r="E9" s="23" t="inlineStr">
        <is>
          <t>ECR_Cd</t>
        </is>
      </c>
      <c r="F9" s="23" t="inlineStr">
        <is>
          <t>ECR_Cd</t>
        </is>
      </c>
      <c r="H9" s="23" t="inlineStr">
        <is>
          <t>Intake__Dt_15th</t>
        </is>
      </c>
      <c r="I9" s="31" t="n"/>
    </row>
    <row r="10">
      <c r="A10" s="23" t="inlineStr">
        <is>
          <t>ECR_Pb_30</t>
        </is>
      </c>
      <c r="B10" s="23" t="inlineStr">
        <is>
          <t>ECR_Pb_25</t>
        </is>
      </c>
      <c r="C10" s="23" t="inlineStr">
        <is>
          <t>ECR_Pb_20</t>
        </is>
      </c>
      <c r="D10" s="23" t="inlineStr">
        <is>
          <t>ECR_Pb_15</t>
        </is>
      </c>
      <c r="E10" s="23" t="inlineStr">
        <is>
          <t>ECR_Pb_10</t>
        </is>
      </c>
      <c r="F10" s="23" t="inlineStr">
        <is>
          <t>ECR_Pb_5</t>
        </is>
      </c>
      <c r="H10" s="23" t="inlineStr">
        <is>
          <t>Intake__Dt_20th</t>
        </is>
      </c>
      <c r="I10" s="31" t="n"/>
    </row>
    <row r="11">
      <c r="A11" s="23" t="inlineStr">
        <is>
          <t>ECR_CrVI_30</t>
        </is>
      </c>
      <c r="B11" s="23" t="inlineStr">
        <is>
          <t>ECR_CrVI_25</t>
        </is>
      </c>
      <c r="C11" s="23" t="inlineStr">
        <is>
          <t>ECR_CrVI_20</t>
        </is>
      </c>
      <c r="D11" s="23" t="inlineStr">
        <is>
          <t>ECR_CrVI_15</t>
        </is>
      </c>
      <c r="E11" s="23" t="inlineStr">
        <is>
          <t>ECR_CrVI_10</t>
        </is>
      </c>
      <c r="F11" s="23" t="inlineStr">
        <is>
          <t>ECR_CrVI_5</t>
        </is>
      </c>
      <c r="H11" s="23" t="inlineStr">
        <is>
          <t>Intake__Dt_25th</t>
        </is>
      </c>
      <c r="I11" s="31" t="n"/>
    </row>
    <row r="12">
      <c r="A12" s="23" t="inlineStr">
        <is>
          <t>ECR_Ni_30</t>
        </is>
      </c>
      <c r="B12" s="23" t="inlineStr">
        <is>
          <t>ECR_Ni_25</t>
        </is>
      </c>
      <c r="C12" s="23" t="inlineStr">
        <is>
          <t>ECR_Ni_20</t>
        </is>
      </c>
      <c r="D12" s="23" t="inlineStr">
        <is>
          <t>ECR_Ni_15</t>
        </is>
      </c>
      <c r="E12" s="23" t="inlineStr">
        <is>
          <t>ECR_Ni_10</t>
        </is>
      </c>
      <c r="F12" s="23" t="inlineStr">
        <is>
          <t>ECR_Ni_5</t>
        </is>
      </c>
      <c r="H12" s="23" t="inlineStr">
        <is>
          <t>Intake__Dt_30th</t>
        </is>
      </c>
      <c r="I12" s="31" t="n"/>
    </row>
    <row r="13">
      <c r="H13" s="23" t="inlineStr">
        <is>
          <t>RQ__Dt_5th</t>
        </is>
      </c>
      <c r="I13" s="31" t="n"/>
    </row>
    <row r="14">
      <c r="H14" s="23" t="inlineStr">
        <is>
          <t>RQ__Dt_10th</t>
        </is>
      </c>
      <c r="I14" s="31" t="n"/>
    </row>
    <row r="15">
      <c r="H15" s="23" t="inlineStr">
        <is>
          <t>RQ__Dt_15th</t>
        </is>
      </c>
      <c r="I15" s="31" t="n"/>
    </row>
    <row r="16">
      <c r="H16" s="23" t="inlineStr">
        <is>
          <t>RQ__Dt_20th</t>
        </is>
      </c>
      <c r="I16" s="31" t="n"/>
    </row>
    <row r="17">
      <c r="H17" s="23" t="inlineStr">
        <is>
          <t>RQ__Dt_25th</t>
        </is>
      </c>
      <c r="I17" s="31" t="n"/>
    </row>
    <row r="18">
      <c r="H18" s="23" t="inlineStr">
        <is>
          <t>RQ__Dt_30th</t>
        </is>
      </c>
      <c r="I18" s="31" t="n"/>
    </row>
    <row r="19">
      <c r="H19" s="23" t="inlineStr">
        <is>
          <t>Interpretasi_RQ__5_tahun</t>
        </is>
      </c>
      <c r="I19" s="31" t="n"/>
    </row>
    <row r="20">
      <c r="H20" s="23" t="inlineStr">
        <is>
          <t>Interpretasi_RQ__10_tahun</t>
        </is>
      </c>
      <c r="I20" s="31" t="n"/>
    </row>
    <row r="21">
      <c r="H21" s="23" t="inlineStr">
        <is>
          <t>Interpretasi_RQ__15_tahun</t>
        </is>
      </c>
      <c r="I21" s="31" t="n"/>
    </row>
    <row r="22">
      <c r="H22" s="23" t="inlineStr">
        <is>
          <t>Interpretasi_RQ__20_tahun</t>
        </is>
      </c>
      <c r="I22" s="31" t="n"/>
    </row>
    <row r="23">
      <c r="H23" s="23" t="inlineStr">
        <is>
          <t>Interpretasi_RQ__25_tahun</t>
        </is>
      </c>
      <c r="I23" s="31" t="n"/>
    </row>
    <row r="24">
      <c r="H24" s="23" t="inlineStr">
        <is>
          <t>Interpretasi_RQ__30_tahun</t>
        </is>
      </c>
      <c r="I24" s="31" t="n"/>
    </row>
  </sheetData>
  <mergeCells count="24">
    <mergeCell ref="H20:I20"/>
    <mergeCell ref="H10:I10"/>
    <mergeCell ref="H1:I1"/>
    <mergeCell ref="H4:I4"/>
    <mergeCell ref="H9:I9"/>
    <mergeCell ref="H21:I21"/>
    <mergeCell ref="H6:I6"/>
    <mergeCell ref="H17:I17"/>
    <mergeCell ref="H11:I11"/>
    <mergeCell ref="H2:I2"/>
    <mergeCell ref="H16:I16"/>
    <mergeCell ref="H7:I7"/>
    <mergeCell ref="H19:I19"/>
    <mergeCell ref="H22:I22"/>
    <mergeCell ref="H13:I13"/>
    <mergeCell ref="H3:I3"/>
    <mergeCell ref="H12:I12"/>
    <mergeCell ref="H8:I8"/>
    <mergeCell ref="H24:I24"/>
    <mergeCell ref="H15:I15"/>
    <mergeCell ref="H18:I18"/>
    <mergeCell ref="H5:I5"/>
    <mergeCell ref="H23:I23"/>
    <mergeCell ref="H14:I14"/>
  </mergeCells>
  <pageMargins left="0.7" right="0.7" top="0.75" bottom="0.75" header="0.3" footer="0.3"/>
  <pageSetup orientation="portrait" horizontalDpi="4294967292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2022-03-15T08:59:07Z</dcterms:created>
  <dcterms:modified xmlns:dcterms="http://purl.org/dc/terms/" xmlns:xsi="http://www.w3.org/2001/XMLSchema-instance" xsi:type="dcterms:W3CDTF">2026-06-29T07:46:45Z</dcterms:modified>
  <cp:lastModifiedBy>hadi nata</cp:lastModifiedBy>
</cp:coreProperties>
</file>