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Nata\Project\HERA-test\hera-monitoring\Referensi\"/>
    </mc:Choice>
  </mc:AlternateContent>
  <xr:revisionPtr revIDLastSave="0" documentId="13_ncr:1_{2CF8C25C-3972-40CF-82A8-FB0493A8CF8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Q Chromium" sheetId="24" r:id="rId1"/>
    <sheet name="RQ Timbal" sheetId="23" r:id="rId2"/>
    <sheet name=" RQ Nikel" sheetId="22" r:id="rId3"/>
    <sheet name="RQ Arsen" sheetId="9" r:id="rId4"/>
    <sheet name=" RQ Cadmium" sheetId="21" r:id="rId5"/>
    <sheet name="keterangan" sheetId="11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24" l="1"/>
  <c r="L6" i="22"/>
  <c r="Q103" i="24"/>
  <c r="P103" i="24"/>
  <c r="W103" i="24" s="1"/>
  <c r="AD103" i="24" s="1"/>
  <c r="O103" i="24"/>
  <c r="V103" i="24" s="1"/>
  <c r="AC103" i="24" s="1"/>
  <c r="N103" i="24"/>
  <c r="U103" i="24" s="1"/>
  <c r="AB103" i="24" s="1"/>
  <c r="M103" i="24"/>
  <c r="T103" i="24" s="1"/>
  <c r="AA103" i="24" s="1"/>
  <c r="L103" i="24"/>
  <c r="S103" i="24" s="1"/>
  <c r="Z103" i="24" s="1"/>
  <c r="K103" i="24"/>
  <c r="R103" i="24" s="1"/>
  <c r="Y103" i="24" s="1"/>
  <c r="Q102" i="24"/>
  <c r="X102" i="24" s="1"/>
  <c r="AE102" i="24" s="1"/>
  <c r="P102" i="24"/>
  <c r="W102" i="24" s="1"/>
  <c r="AD102" i="24" s="1"/>
  <c r="O102" i="24"/>
  <c r="V102" i="24" s="1"/>
  <c r="AC102" i="24" s="1"/>
  <c r="N102" i="24"/>
  <c r="U102" i="24" s="1"/>
  <c r="AB102" i="24" s="1"/>
  <c r="M102" i="24"/>
  <c r="T102" i="24" s="1"/>
  <c r="AA102" i="24" s="1"/>
  <c r="L102" i="24"/>
  <c r="S102" i="24" s="1"/>
  <c r="Z102" i="24" s="1"/>
  <c r="K102" i="24"/>
  <c r="Q101" i="24"/>
  <c r="X101" i="24" s="1"/>
  <c r="AE101" i="24" s="1"/>
  <c r="P101" i="24"/>
  <c r="W101" i="24" s="1"/>
  <c r="AD101" i="24" s="1"/>
  <c r="O101" i="24"/>
  <c r="V101" i="24" s="1"/>
  <c r="AC101" i="24" s="1"/>
  <c r="N101" i="24"/>
  <c r="U101" i="24" s="1"/>
  <c r="AB101" i="24" s="1"/>
  <c r="M101" i="24"/>
  <c r="T101" i="24" s="1"/>
  <c r="AA101" i="24" s="1"/>
  <c r="L101" i="24"/>
  <c r="S101" i="24" s="1"/>
  <c r="Z101" i="24" s="1"/>
  <c r="K101" i="24"/>
  <c r="R101" i="24" s="1"/>
  <c r="Y101" i="24" s="1"/>
  <c r="Q100" i="24"/>
  <c r="X100" i="24" s="1"/>
  <c r="AE100" i="24" s="1"/>
  <c r="P100" i="24"/>
  <c r="W100" i="24" s="1"/>
  <c r="AD100" i="24" s="1"/>
  <c r="O100" i="24"/>
  <c r="V100" i="24" s="1"/>
  <c r="AC100" i="24" s="1"/>
  <c r="N100" i="24"/>
  <c r="U100" i="24" s="1"/>
  <c r="AB100" i="24" s="1"/>
  <c r="M100" i="24"/>
  <c r="L100" i="24"/>
  <c r="K100" i="24"/>
  <c r="R100" i="24" s="1"/>
  <c r="Y100" i="24" s="1"/>
  <c r="Q99" i="24"/>
  <c r="X99" i="24" s="1"/>
  <c r="AE99" i="24" s="1"/>
  <c r="P99" i="24"/>
  <c r="W99" i="24" s="1"/>
  <c r="AD99" i="24" s="1"/>
  <c r="O99" i="24"/>
  <c r="V99" i="24" s="1"/>
  <c r="AC99" i="24" s="1"/>
  <c r="N99" i="24"/>
  <c r="U99" i="24" s="1"/>
  <c r="AB99" i="24" s="1"/>
  <c r="M99" i="24"/>
  <c r="L99" i="24"/>
  <c r="S99" i="24" s="1"/>
  <c r="Z99" i="24" s="1"/>
  <c r="K99" i="24"/>
  <c r="R99" i="24" s="1"/>
  <c r="Y99" i="24" s="1"/>
  <c r="Q98" i="24"/>
  <c r="X98" i="24" s="1"/>
  <c r="AE98" i="24" s="1"/>
  <c r="P98" i="24"/>
  <c r="W98" i="24" s="1"/>
  <c r="O98" i="24"/>
  <c r="V98" i="24" s="1"/>
  <c r="AC98" i="24" s="1"/>
  <c r="N98" i="24"/>
  <c r="U98" i="24" s="1"/>
  <c r="AB98" i="24" s="1"/>
  <c r="M98" i="24"/>
  <c r="T98" i="24" s="1"/>
  <c r="AA98" i="24" s="1"/>
  <c r="L98" i="24"/>
  <c r="S98" i="24" s="1"/>
  <c r="Z98" i="24" s="1"/>
  <c r="K98" i="24"/>
  <c r="R98" i="24" s="1"/>
  <c r="Y98" i="24" s="1"/>
  <c r="Q97" i="24"/>
  <c r="X97" i="24" s="1"/>
  <c r="AE97" i="24" s="1"/>
  <c r="P97" i="24"/>
  <c r="W97" i="24" s="1"/>
  <c r="AD97" i="24" s="1"/>
  <c r="O97" i="24"/>
  <c r="V97" i="24" s="1"/>
  <c r="AC97" i="24" s="1"/>
  <c r="N97" i="24"/>
  <c r="U97" i="24" s="1"/>
  <c r="AB97" i="24" s="1"/>
  <c r="M97" i="24"/>
  <c r="T97" i="24" s="1"/>
  <c r="AA97" i="24" s="1"/>
  <c r="L97" i="24"/>
  <c r="K97" i="24"/>
  <c r="R97" i="24" s="1"/>
  <c r="Y97" i="24" s="1"/>
  <c r="Q96" i="24"/>
  <c r="X96" i="24" s="1"/>
  <c r="AE96" i="24" s="1"/>
  <c r="P96" i="24"/>
  <c r="W96" i="24" s="1"/>
  <c r="AD96" i="24" s="1"/>
  <c r="O96" i="24"/>
  <c r="V96" i="24" s="1"/>
  <c r="AC96" i="24" s="1"/>
  <c r="N96" i="24"/>
  <c r="U96" i="24" s="1"/>
  <c r="AB96" i="24" s="1"/>
  <c r="M96" i="24"/>
  <c r="T96" i="24" s="1"/>
  <c r="AA96" i="24" s="1"/>
  <c r="L96" i="24"/>
  <c r="S96" i="24" s="1"/>
  <c r="Z96" i="24" s="1"/>
  <c r="K96" i="24"/>
  <c r="R96" i="24" s="1"/>
  <c r="Y96" i="24" s="1"/>
  <c r="Q95" i="24"/>
  <c r="P95" i="24"/>
  <c r="W95" i="24" s="1"/>
  <c r="AD95" i="24" s="1"/>
  <c r="O95" i="24"/>
  <c r="V95" i="24" s="1"/>
  <c r="AC95" i="24" s="1"/>
  <c r="N95" i="24"/>
  <c r="U95" i="24" s="1"/>
  <c r="AB95" i="24" s="1"/>
  <c r="M95" i="24"/>
  <c r="L95" i="24"/>
  <c r="S95" i="24" s="1"/>
  <c r="Z95" i="24" s="1"/>
  <c r="K95" i="24"/>
  <c r="R95" i="24" s="1"/>
  <c r="Y95" i="24" s="1"/>
  <c r="Q94" i="24"/>
  <c r="X94" i="24" s="1"/>
  <c r="AE94" i="24" s="1"/>
  <c r="P94" i="24"/>
  <c r="W94" i="24" s="1"/>
  <c r="AD94" i="24" s="1"/>
  <c r="O94" i="24"/>
  <c r="V94" i="24" s="1"/>
  <c r="AC94" i="24" s="1"/>
  <c r="N94" i="24"/>
  <c r="U94" i="24" s="1"/>
  <c r="AB94" i="24" s="1"/>
  <c r="M94" i="24"/>
  <c r="T94" i="24" s="1"/>
  <c r="AA94" i="24" s="1"/>
  <c r="L94" i="24"/>
  <c r="S94" i="24" s="1"/>
  <c r="Z94" i="24" s="1"/>
  <c r="K94" i="24"/>
  <c r="Q93" i="24"/>
  <c r="X93" i="24" s="1"/>
  <c r="P93" i="24"/>
  <c r="W93" i="24" s="1"/>
  <c r="AD93" i="24" s="1"/>
  <c r="O93" i="24"/>
  <c r="V93" i="24" s="1"/>
  <c r="AC93" i="24" s="1"/>
  <c r="N93" i="24"/>
  <c r="U93" i="24" s="1"/>
  <c r="AB93" i="24" s="1"/>
  <c r="M93" i="24"/>
  <c r="T93" i="24" s="1"/>
  <c r="AA93" i="24" s="1"/>
  <c r="L93" i="24"/>
  <c r="S93" i="24" s="1"/>
  <c r="Z93" i="24" s="1"/>
  <c r="K93" i="24"/>
  <c r="R93" i="24" s="1"/>
  <c r="Y93" i="24" s="1"/>
  <c r="Q92" i="24"/>
  <c r="X92" i="24" s="1"/>
  <c r="AE92" i="24" s="1"/>
  <c r="P92" i="24"/>
  <c r="W92" i="24" s="1"/>
  <c r="AD92" i="24" s="1"/>
  <c r="O92" i="24"/>
  <c r="V92" i="24" s="1"/>
  <c r="AC92" i="24" s="1"/>
  <c r="N92" i="24"/>
  <c r="U92" i="24" s="1"/>
  <c r="AB92" i="24" s="1"/>
  <c r="M92" i="24"/>
  <c r="L92" i="24"/>
  <c r="S92" i="24" s="1"/>
  <c r="Z92" i="24" s="1"/>
  <c r="K92" i="24"/>
  <c r="R92" i="24" s="1"/>
  <c r="Y92" i="24" s="1"/>
  <c r="Q91" i="24"/>
  <c r="P91" i="24"/>
  <c r="W91" i="24" s="1"/>
  <c r="AD91" i="24" s="1"/>
  <c r="O91" i="24"/>
  <c r="V91" i="24" s="1"/>
  <c r="AC91" i="24" s="1"/>
  <c r="N91" i="24"/>
  <c r="M91" i="24"/>
  <c r="L91" i="24"/>
  <c r="S91" i="24" s="1"/>
  <c r="Z91" i="24" s="1"/>
  <c r="K91" i="24"/>
  <c r="R91" i="24" s="1"/>
  <c r="Y91" i="24" s="1"/>
  <c r="Q90" i="24"/>
  <c r="X90" i="24" s="1"/>
  <c r="AE90" i="24" s="1"/>
  <c r="P90" i="24"/>
  <c r="O90" i="24"/>
  <c r="N90" i="24"/>
  <c r="U90" i="24" s="1"/>
  <c r="AB90" i="24" s="1"/>
  <c r="M90" i="24"/>
  <c r="T90" i="24" s="1"/>
  <c r="AA90" i="24" s="1"/>
  <c r="L90" i="24"/>
  <c r="S90" i="24" s="1"/>
  <c r="Z90" i="24" s="1"/>
  <c r="K90" i="24"/>
  <c r="Q89" i="24"/>
  <c r="X89" i="24" s="1"/>
  <c r="AE89" i="24" s="1"/>
  <c r="P89" i="24"/>
  <c r="W89" i="24" s="1"/>
  <c r="AD89" i="24" s="1"/>
  <c r="O89" i="24"/>
  <c r="V89" i="24" s="1"/>
  <c r="AC89" i="24" s="1"/>
  <c r="N89" i="24"/>
  <c r="U89" i="24" s="1"/>
  <c r="AB89" i="24" s="1"/>
  <c r="M89" i="24"/>
  <c r="L89" i="24"/>
  <c r="K89" i="24"/>
  <c r="R89" i="24" s="1"/>
  <c r="Y89" i="24" s="1"/>
  <c r="Q88" i="24"/>
  <c r="X88" i="24" s="1"/>
  <c r="AE88" i="24" s="1"/>
  <c r="P88" i="24"/>
  <c r="W88" i="24" s="1"/>
  <c r="AD88" i="24" s="1"/>
  <c r="O88" i="24"/>
  <c r="V88" i="24" s="1"/>
  <c r="AC88" i="24" s="1"/>
  <c r="N88" i="24"/>
  <c r="U88" i="24" s="1"/>
  <c r="AB88" i="24" s="1"/>
  <c r="M88" i="24"/>
  <c r="L88" i="24"/>
  <c r="K88" i="24"/>
  <c r="R88" i="24" s="1"/>
  <c r="Y88" i="24" s="1"/>
  <c r="Q87" i="24"/>
  <c r="X87" i="24" s="1"/>
  <c r="AE87" i="24" s="1"/>
  <c r="P87" i="24"/>
  <c r="W87" i="24" s="1"/>
  <c r="AD87" i="24" s="1"/>
  <c r="O87" i="24"/>
  <c r="V87" i="24" s="1"/>
  <c r="AC87" i="24" s="1"/>
  <c r="N87" i="24"/>
  <c r="M87" i="24"/>
  <c r="L87" i="24"/>
  <c r="S87" i="24" s="1"/>
  <c r="Z87" i="24" s="1"/>
  <c r="K87" i="24"/>
  <c r="R87" i="24" s="1"/>
  <c r="Y87" i="24" s="1"/>
  <c r="Q86" i="24"/>
  <c r="X86" i="24" s="1"/>
  <c r="AE86" i="24" s="1"/>
  <c r="P86" i="24"/>
  <c r="O86" i="24"/>
  <c r="N86" i="24"/>
  <c r="U86" i="24" s="1"/>
  <c r="AB86" i="24" s="1"/>
  <c r="M86" i="24"/>
  <c r="T86" i="24" s="1"/>
  <c r="AA86" i="24" s="1"/>
  <c r="L86" i="24"/>
  <c r="S86" i="24" s="1"/>
  <c r="Z86" i="24" s="1"/>
  <c r="K86" i="24"/>
  <c r="Q85" i="24"/>
  <c r="X85" i="24" s="1"/>
  <c r="AE85" i="24" s="1"/>
  <c r="P85" i="24"/>
  <c r="O85" i="24"/>
  <c r="V85" i="24" s="1"/>
  <c r="AC85" i="24" s="1"/>
  <c r="N85" i="24"/>
  <c r="U85" i="24" s="1"/>
  <c r="AB85" i="24" s="1"/>
  <c r="M85" i="24"/>
  <c r="T85" i="24" s="1"/>
  <c r="AA85" i="24" s="1"/>
  <c r="L85" i="24"/>
  <c r="S85" i="24" s="1"/>
  <c r="Z85" i="24" s="1"/>
  <c r="K85" i="24"/>
  <c r="R85" i="24" s="1"/>
  <c r="Y85" i="24" s="1"/>
  <c r="Q84" i="24"/>
  <c r="P84" i="24"/>
  <c r="O84" i="24"/>
  <c r="V84" i="24" s="1"/>
  <c r="AC84" i="24" s="1"/>
  <c r="N84" i="24"/>
  <c r="U84" i="24" s="1"/>
  <c r="AB84" i="24" s="1"/>
  <c r="M84" i="24"/>
  <c r="L84" i="24"/>
  <c r="K84" i="24"/>
  <c r="R84" i="24" s="1"/>
  <c r="Y84" i="24" s="1"/>
  <c r="Q83" i="24"/>
  <c r="X83" i="24" s="1"/>
  <c r="AE83" i="24" s="1"/>
  <c r="P83" i="24"/>
  <c r="W83" i="24" s="1"/>
  <c r="AD83" i="24" s="1"/>
  <c r="O83" i="24"/>
  <c r="N83" i="24"/>
  <c r="M83" i="24"/>
  <c r="T83" i="24" s="1"/>
  <c r="AA83" i="24" s="1"/>
  <c r="L83" i="24"/>
  <c r="S83" i="24" s="1"/>
  <c r="Z83" i="24" s="1"/>
  <c r="K83" i="24"/>
  <c r="R83" i="24" s="1"/>
  <c r="Y83" i="24" s="1"/>
  <c r="Q82" i="24"/>
  <c r="X82" i="24" s="1"/>
  <c r="AE82" i="24" s="1"/>
  <c r="P82" i="24"/>
  <c r="O82" i="24"/>
  <c r="N82" i="24"/>
  <c r="U82" i="24" s="1"/>
  <c r="AB82" i="24" s="1"/>
  <c r="M82" i="24"/>
  <c r="T82" i="24" s="1"/>
  <c r="AA82" i="24" s="1"/>
  <c r="L82" i="24"/>
  <c r="S82" i="24" s="1"/>
  <c r="Z82" i="24" s="1"/>
  <c r="K82" i="24"/>
  <c r="Q81" i="24"/>
  <c r="X81" i="24" s="1"/>
  <c r="AE81" i="24" s="1"/>
  <c r="P81" i="24"/>
  <c r="W81" i="24" s="1"/>
  <c r="AD81" i="24" s="1"/>
  <c r="O81" i="24"/>
  <c r="V81" i="24" s="1"/>
  <c r="AC81" i="24" s="1"/>
  <c r="N81" i="24"/>
  <c r="U81" i="24" s="1"/>
  <c r="AB81" i="24" s="1"/>
  <c r="M81" i="24"/>
  <c r="L81" i="24"/>
  <c r="K81" i="24"/>
  <c r="R81" i="24" s="1"/>
  <c r="Y81" i="24" s="1"/>
  <c r="Q80" i="24"/>
  <c r="X80" i="24" s="1"/>
  <c r="AE80" i="24" s="1"/>
  <c r="P80" i="24"/>
  <c r="W80" i="24" s="1"/>
  <c r="AD80" i="24" s="1"/>
  <c r="O80" i="24"/>
  <c r="V80" i="24" s="1"/>
  <c r="AC80" i="24" s="1"/>
  <c r="N80" i="24"/>
  <c r="U80" i="24" s="1"/>
  <c r="AB80" i="24" s="1"/>
  <c r="M80" i="24"/>
  <c r="T80" i="24" s="1"/>
  <c r="AA80" i="24" s="1"/>
  <c r="L80" i="24"/>
  <c r="S80" i="24" s="1"/>
  <c r="Z80" i="24" s="1"/>
  <c r="K80" i="24"/>
  <c r="R80" i="24" s="1"/>
  <c r="Y80" i="24" s="1"/>
  <c r="Q79" i="24"/>
  <c r="X79" i="24" s="1"/>
  <c r="AE79" i="24" s="1"/>
  <c r="P79" i="24"/>
  <c r="W79" i="24" s="1"/>
  <c r="AD79" i="24" s="1"/>
  <c r="O79" i="24"/>
  <c r="N79" i="24"/>
  <c r="M79" i="24"/>
  <c r="T79" i="24" s="1"/>
  <c r="AA79" i="24" s="1"/>
  <c r="L79" i="24"/>
  <c r="S79" i="24" s="1"/>
  <c r="Z79" i="24" s="1"/>
  <c r="K79" i="24"/>
  <c r="R79" i="24" s="1"/>
  <c r="Y79" i="24" s="1"/>
  <c r="Q78" i="24"/>
  <c r="X78" i="24" s="1"/>
  <c r="AE78" i="24" s="1"/>
  <c r="P78" i="24"/>
  <c r="W78" i="24" s="1"/>
  <c r="AD78" i="24" s="1"/>
  <c r="O78" i="24"/>
  <c r="V78" i="24" s="1"/>
  <c r="AC78" i="24" s="1"/>
  <c r="N78" i="24"/>
  <c r="U78" i="24" s="1"/>
  <c r="AB78" i="24" s="1"/>
  <c r="M78" i="24"/>
  <c r="T78" i="24" s="1"/>
  <c r="AA78" i="24" s="1"/>
  <c r="L78" i="24"/>
  <c r="S78" i="24" s="1"/>
  <c r="Z78" i="24" s="1"/>
  <c r="K78" i="24"/>
  <c r="R78" i="24" s="1"/>
  <c r="Y78" i="24" s="1"/>
  <c r="Q77" i="24"/>
  <c r="X77" i="24" s="1"/>
  <c r="AE77" i="24" s="1"/>
  <c r="P77" i="24"/>
  <c r="W77" i="24" s="1"/>
  <c r="AD77" i="24" s="1"/>
  <c r="O77" i="24"/>
  <c r="N77" i="24"/>
  <c r="U77" i="24" s="1"/>
  <c r="AB77" i="24" s="1"/>
  <c r="M77" i="24"/>
  <c r="T77" i="24" s="1"/>
  <c r="AA77" i="24" s="1"/>
  <c r="L77" i="24"/>
  <c r="S77" i="24" s="1"/>
  <c r="Z77" i="24" s="1"/>
  <c r="K77" i="24"/>
  <c r="Q76" i="24"/>
  <c r="X76" i="24" s="1"/>
  <c r="AE76" i="24" s="1"/>
  <c r="P76" i="24"/>
  <c r="W76" i="24" s="1"/>
  <c r="AD76" i="24" s="1"/>
  <c r="O76" i="24"/>
  <c r="V76" i="24" s="1"/>
  <c r="AC76" i="24" s="1"/>
  <c r="N76" i="24"/>
  <c r="U76" i="24" s="1"/>
  <c r="AB76" i="24" s="1"/>
  <c r="M76" i="24"/>
  <c r="T76" i="24" s="1"/>
  <c r="AA76" i="24" s="1"/>
  <c r="L76" i="24"/>
  <c r="K76" i="24"/>
  <c r="R76" i="24" s="1"/>
  <c r="Y76" i="24" s="1"/>
  <c r="Q75" i="24"/>
  <c r="X75" i="24" s="1"/>
  <c r="AE75" i="24" s="1"/>
  <c r="P75" i="24"/>
  <c r="W75" i="24" s="1"/>
  <c r="O75" i="24"/>
  <c r="V75" i="24" s="1"/>
  <c r="AC75" i="24" s="1"/>
  <c r="N75" i="24"/>
  <c r="U75" i="24" s="1"/>
  <c r="AB75" i="24" s="1"/>
  <c r="M75" i="24"/>
  <c r="L75" i="24"/>
  <c r="S75" i="24" s="1"/>
  <c r="Z75" i="24" s="1"/>
  <c r="K75" i="24"/>
  <c r="R75" i="24" s="1"/>
  <c r="Y75" i="24" s="1"/>
  <c r="Q74" i="24"/>
  <c r="X74" i="24" s="1"/>
  <c r="AE74" i="24" s="1"/>
  <c r="P74" i="24"/>
  <c r="W74" i="24" s="1"/>
  <c r="AD74" i="24" s="1"/>
  <c r="O74" i="24"/>
  <c r="N74" i="24"/>
  <c r="M74" i="24"/>
  <c r="T74" i="24" s="1"/>
  <c r="AA74" i="24" s="1"/>
  <c r="L74" i="24"/>
  <c r="S74" i="24" s="1"/>
  <c r="Z74" i="24" s="1"/>
  <c r="K74" i="24"/>
  <c r="R74" i="24" s="1"/>
  <c r="Y74" i="24" s="1"/>
  <c r="R73" i="24"/>
  <c r="Y73" i="24" s="1"/>
  <c r="Q73" i="24"/>
  <c r="P73" i="24"/>
  <c r="O73" i="24"/>
  <c r="V73" i="24" s="1"/>
  <c r="AC73" i="24" s="1"/>
  <c r="N73" i="24"/>
  <c r="U73" i="24" s="1"/>
  <c r="AB73" i="24" s="1"/>
  <c r="M73" i="24"/>
  <c r="T73" i="24" s="1"/>
  <c r="AA73" i="24" s="1"/>
  <c r="L73" i="24"/>
  <c r="S73" i="24" s="1"/>
  <c r="Z73" i="24" s="1"/>
  <c r="K73" i="24"/>
  <c r="Q72" i="24"/>
  <c r="X72" i="24" s="1"/>
  <c r="P72" i="24"/>
  <c r="W72" i="24" s="1"/>
  <c r="AD72" i="24" s="1"/>
  <c r="O72" i="24"/>
  <c r="V72" i="24" s="1"/>
  <c r="AC72" i="24" s="1"/>
  <c r="N72" i="24"/>
  <c r="M72" i="24"/>
  <c r="L72" i="24"/>
  <c r="S72" i="24" s="1"/>
  <c r="Z72" i="24" s="1"/>
  <c r="K72" i="24"/>
  <c r="R72" i="24" s="1"/>
  <c r="Y72" i="24" s="1"/>
  <c r="Q71" i="24"/>
  <c r="X71" i="24" s="1"/>
  <c r="AE71" i="24" s="1"/>
  <c r="P71" i="24"/>
  <c r="W71" i="24" s="1"/>
  <c r="AD71" i="24" s="1"/>
  <c r="O71" i="24"/>
  <c r="N71" i="24"/>
  <c r="U71" i="24" s="1"/>
  <c r="AB71" i="24" s="1"/>
  <c r="M71" i="24"/>
  <c r="T71" i="24" s="1"/>
  <c r="AA71" i="24" s="1"/>
  <c r="L71" i="24"/>
  <c r="S71" i="24" s="1"/>
  <c r="Z71" i="24" s="1"/>
  <c r="K71" i="24"/>
  <c r="Q70" i="24"/>
  <c r="X70" i="24" s="1"/>
  <c r="P70" i="24"/>
  <c r="W70" i="24" s="1"/>
  <c r="AD70" i="24" s="1"/>
  <c r="O70" i="24"/>
  <c r="V70" i="24" s="1"/>
  <c r="AC70" i="24" s="1"/>
  <c r="N70" i="24"/>
  <c r="U70" i="24" s="1"/>
  <c r="AB70" i="24" s="1"/>
  <c r="M70" i="24"/>
  <c r="T70" i="24" s="1"/>
  <c r="AA70" i="24" s="1"/>
  <c r="L70" i="24"/>
  <c r="K70" i="24"/>
  <c r="R70" i="24" s="1"/>
  <c r="Y70" i="24" s="1"/>
  <c r="Q69" i="24"/>
  <c r="X69" i="24" s="1"/>
  <c r="AE69" i="24" s="1"/>
  <c r="P69" i="24"/>
  <c r="W69" i="24" s="1"/>
  <c r="AD69" i="24" s="1"/>
  <c r="O69" i="24"/>
  <c r="N69" i="24"/>
  <c r="U69" i="24" s="1"/>
  <c r="AB69" i="24" s="1"/>
  <c r="M69" i="24"/>
  <c r="L69" i="24"/>
  <c r="S69" i="24" s="1"/>
  <c r="Z69" i="24" s="1"/>
  <c r="K69" i="24"/>
  <c r="R69" i="24" s="1"/>
  <c r="Y69" i="24" s="1"/>
  <c r="Q68" i="24"/>
  <c r="X68" i="24" s="1"/>
  <c r="AE68" i="24" s="1"/>
  <c r="P68" i="24"/>
  <c r="W68" i="24" s="1"/>
  <c r="AD68" i="24" s="1"/>
  <c r="O68" i="24"/>
  <c r="V68" i="24" s="1"/>
  <c r="AC68" i="24" s="1"/>
  <c r="N68" i="24"/>
  <c r="M68" i="24"/>
  <c r="T68" i="24" s="1"/>
  <c r="AA68" i="24" s="1"/>
  <c r="L68" i="24"/>
  <c r="S68" i="24" s="1"/>
  <c r="Z68" i="24" s="1"/>
  <c r="K68" i="24"/>
  <c r="R68" i="24" s="1"/>
  <c r="Y68" i="24" s="1"/>
  <c r="Q67" i="24"/>
  <c r="X67" i="24" s="1"/>
  <c r="AE67" i="24" s="1"/>
  <c r="P67" i="24"/>
  <c r="W67" i="24" s="1"/>
  <c r="AD67" i="24" s="1"/>
  <c r="O67" i="24"/>
  <c r="N67" i="24"/>
  <c r="U67" i="24" s="1"/>
  <c r="AB67" i="24" s="1"/>
  <c r="M67" i="24"/>
  <c r="T67" i="24" s="1"/>
  <c r="AA67" i="24" s="1"/>
  <c r="L67" i="24"/>
  <c r="S67" i="24" s="1"/>
  <c r="Z67" i="24" s="1"/>
  <c r="K67" i="24"/>
  <c r="R67" i="24" s="1"/>
  <c r="Y67" i="24" s="1"/>
  <c r="Q66" i="24"/>
  <c r="X66" i="24" s="1"/>
  <c r="AE66" i="24" s="1"/>
  <c r="P66" i="24"/>
  <c r="O66" i="24"/>
  <c r="V66" i="24" s="1"/>
  <c r="AC66" i="24" s="1"/>
  <c r="N66" i="24"/>
  <c r="U66" i="24" s="1"/>
  <c r="AB66" i="24" s="1"/>
  <c r="M66" i="24"/>
  <c r="T66" i="24" s="1"/>
  <c r="AA66" i="24" s="1"/>
  <c r="L66" i="24"/>
  <c r="K66" i="24"/>
  <c r="R66" i="24" s="1"/>
  <c r="Y66" i="24" s="1"/>
  <c r="Q65" i="24"/>
  <c r="P65" i="24"/>
  <c r="W65" i="24" s="1"/>
  <c r="AD65" i="24" s="1"/>
  <c r="O65" i="24"/>
  <c r="V65" i="24" s="1"/>
  <c r="AC65" i="24" s="1"/>
  <c r="N65" i="24"/>
  <c r="U65" i="24" s="1"/>
  <c r="AB65" i="24" s="1"/>
  <c r="M65" i="24"/>
  <c r="L65" i="24"/>
  <c r="S65" i="24" s="1"/>
  <c r="Z65" i="24" s="1"/>
  <c r="K65" i="24"/>
  <c r="R65" i="24" s="1"/>
  <c r="Y65" i="24" s="1"/>
  <c r="Q64" i="24"/>
  <c r="X64" i="24" s="1"/>
  <c r="P64" i="24"/>
  <c r="W64" i="24" s="1"/>
  <c r="AD64" i="24" s="1"/>
  <c r="O64" i="24"/>
  <c r="V64" i="24" s="1"/>
  <c r="AC64" i="24" s="1"/>
  <c r="N64" i="24"/>
  <c r="M64" i="24"/>
  <c r="L64" i="24"/>
  <c r="S64" i="24" s="1"/>
  <c r="Z64" i="24" s="1"/>
  <c r="K64" i="24"/>
  <c r="R64" i="24" s="1"/>
  <c r="Y64" i="24" s="1"/>
  <c r="Q63" i="24"/>
  <c r="X63" i="24" s="1"/>
  <c r="AE63" i="24" s="1"/>
  <c r="P63" i="24"/>
  <c r="O63" i="24"/>
  <c r="V63" i="24" s="1"/>
  <c r="AC63" i="24" s="1"/>
  <c r="N63" i="24"/>
  <c r="U63" i="24" s="1"/>
  <c r="AB63" i="24" s="1"/>
  <c r="M63" i="24"/>
  <c r="T63" i="24" s="1"/>
  <c r="AA63" i="24" s="1"/>
  <c r="L63" i="24"/>
  <c r="K63" i="24"/>
  <c r="R63" i="24" s="1"/>
  <c r="Y63" i="24" s="1"/>
  <c r="Q62" i="24"/>
  <c r="P62" i="24"/>
  <c r="O62" i="24"/>
  <c r="V62" i="24" s="1"/>
  <c r="AC62" i="24" s="1"/>
  <c r="N62" i="24"/>
  <c r="U62" i="24" s="1"/>
  <c r="AB62" i="24" s="1"/>
  <c r="M62" i="24"/>
  <c r="T62" i="24" s="1"/>
  <c r="AA62" i="24" s="1"/>
  <c r="L62" i="24"/>
  <c r="K62" i="24"/>
  <c r="R62" i="24" s="1"/>
  <c r="Y62" i="24" s="1"/>
  <c r="Q61" i="24"/>
  <c r="P61" i="24"/>
  <c r="W61" i="24" s="1"/>
  <c r="AD61" i="24" s="1"/>
  <c r="O61" i="24"/>
  <c r="V61" i="24" s="1"/>
  <c r="AC61" i="24" s="1"/>
  <c r="N61" i="24"/>
  <c r="M61" i="24"/>
  <c r="L61" i="24"/>
  <c r="S61" i="24" s="1"/>
  <c r="Z61" i="24" s="1"/>
  <c r="K61" i="24"/>
  <c r="R61" i="24" s="1"/>
  <c r="Y61" i="24" s="1"/>
  <c r="Q60" i="24"/>
  <c r="P60" i="24"/>
  <c r="W60" i="24" s="1"/>
  <c r="AD60" i="24" s="1"/>
  <c r="O60" i="24"/>
  <c r="N60" i="24"/>
  <c r="U60" i="24" s="1"/>
  <c r="AB60" i="24" s="1"/>
  <c r="M60" i="24"/>
  <c r="T60" i="24" s="1"/>
  <c r="AA60" i="24" s="1"/>
  <c r="L60" i="24"/>
  <c r="S60" i="24" s="1"/>
  <c r="Z60" i="24" s="1"/>
  <c r="K60" i="24"/>
  <c r="Q59" i="24"/>
  <c r="X59" i="24" s="1"/>
  <c r="AE59" i="24" s="1"/>
  <c r="P59" i="24"/>
  <c r="O59" i="24"/>
  <c r="V59" i="24" s="1"/>
  <c r="AC59" i="24" s="1"/>
  <c r="N59" i="24"/>
  <c r="U59" i="24" s="1"/>
  <c r="AB59" i="24" s="1"/>
  <c r="M59" i="24"/>
  <c r="T59" i="24" s="1"/>
  <c r="AA59" i="24" s="1"/>
  <c r="L59" i="24"/>
  <c r="K59" i="24"/>
  <c r="R59" i="24" s="1"/>
  <c r="Y59" i="24" s="1"/>
  <c r="Q58" i="24"/>
  <c r="X58" i="24" s="1"/>
  <c r="AE58" i="24" s="1"/>
  <c r="P58" i="24"/>
  <c r="W58" i="24" s="1"/>
  <c r="AD58" i="24" s="1"/>
  <c r="O58" i="24"/>
  <c r="V58" i="24" s="1"/>
  <c r="AC58" i="24" s="1"/>
  <c r="N58" i="24"/>
  <c r="U58" i="24" s="1"/>
  <c r="AB58" i="24" s="1"/>
  <c r="M58" i="24"/>
  <c r="L58" i="24"/>
  <c r="S58" i="24" s="1"/>
  <c r="Z58" i="24" s="1"/>
  <c r="K58" i="24"/>
  <c r="R58" i="24" s="1"/>
  <c r="Y58" i="24" s="1"/>
  <c r="Q57" i="24"/>
  <c r="X57" i="24" s="1"/>
  <c r="AE57" i="24" s="1"/>
  <c r="P57" i="24"/>
  <c r="W57" i="24" s="1"/>
  <c r="AD57" i="24" s="1"/>
  <c r="O57" i="24"/>
  <c r="V57" i="24" s="1"/>
  <c r="AC57" i="24" s="1"/>
  <c r="N57" i="24"/>
  <c r="M57" i="24"/>
  <c r="L57" i="24"/>
  <c r="S57" i="24" s="1"/>
  <c r="Z57" i="24" s="1"/>
  <c r="K57" i="24"/>
  <c r="R57" i="24" s="1"/>
  <c r="Y57" i="24" s="1"/>
  <c r="Q56" i="24"/>
  <c r="P56" i="24"/>
  <c r="W56" i="24" s="1"/>
  <c r="AD56" i="24" s="1"/>
  <c r="O56" i="24"/>
  <c r="V56" i="24" s="1"/>
  <c r="AC56" i="24" s="1"/>
  <c r="N56" i="24"/>
  <c r="U56" i="24" s="1"/>
  <c r="AB56" i="24" s="1"/>
  <c r="M56" i="24"/>
  <c r="T56" i="24" s="1"/>
  <c r="AA56" i="24" s="1"/>
  <c r="L56" i="24"/>
  <c r="S56" i="24" s="1"/>
  <c r="Z56" i="24" s="1"/>
  <c r="K56" i="24"/>
  <c r="R56" i="24" s="1"/>
  <c r="Y56" i="24" s="1"/>
  <c r="Q55" i="24"/>
  <c r="X55" i="24" s="1"/>
  <c r="AE55" i="24" s="1"/>
  <c r="P55" i="24"/>
  <c r="W55" i="24" s="1"/>
  <c r="AD55" i="24" s="1"/>
  <c r="O55" i="24"/>
  <c r="V55" i="24" s="1"/>
  <c r="AC55" i="24" s="1"/>
  <c r="N55" i="24"/>
  <c r="M55" i="24"/>
  <c r="T55" i="24" s="1"/>
  <c r="AA55" i="24" s="1"/>
  <c r="L55" i="24"/>
  <c r="S55" i="24" s="1"/>
  <c r="Z55" i="24" s="1"/>
  <c r="K55" i="24"/>
  <c r="R55" i="24" s="1"/>
  <c r="Y55" i="24" s="1"/>
  <c r="Q54" i="24"/>
  <c r="P54" i="24"/>
  <c r="W54" i="24" s="1"/>
  <c r="AD54" i="24" s="1"/>
  <c r="O54" i="24"/>
  <c r="V54" i="24" s="1"/>
  <c r="AC54" i="24" s="1"/>
  <c r="N54" i="24"/>
  <c r="U54" i="24" s="1"/>
  <c r="AB54" i="24" s="1"/>
  <c r="M54" i="24"/>
  <c r="L54" i="24"/>
  <c r="S54" i="24" s="1"/>
  <c r="Z54" i="24" s="1"/>
  <c r="K54" i="24"/>
  <c r="R54" i="24" s="1"/>
  <c r="Y54" i="24" s="1"/>
  <c r="Q53" i="24"/>
  <c r="X53" i="24" s="1"/>
  <c r="AE53" i="24" s="1"/>
  <c r="P53" i="24"/>
  <c r="W53" i="24" s="1"/>
  <c r="AD53" i="24" s="1"/>
  <c r="O53" i="24"/>
  <c r="V53" i="24" s="1"/>
  <c r="AC53" i="24" s="1"/>
  <c r="N53" i="24"/>
  <c r="M53" i="24"/>
  <c r="L53" i="24"/>
  <c r="S53" i="24" s="1"/>
  <c r="Z53" i="24" s="1"/>
  <c r="K53" i="24"/>
  <c r="R53" i="24" s="1"/>
  <c r="Y53" i="24" s="1"/>
  <c r="Q52" i="24"/>
  <c r="X52" i="24" s="1"/>
  <c r="AE52" i="24" s="1"/>
  <c r="P52" i="24"/>
  <c r="W52" i="24" s="1"/>
  <c r="AD52" i="24" s="1"/>
  <c r="O52" i="24"/>
  <c r="V52" i="24" s="1"/>
  <c r="AC52" i="24" s="1"/>
  <c r="N52" i="24"/>
  <c r="M52" i="24"/>
  <c r="L52" i="24"/>
  <c r="S52" i="24" s="1"/>
  <c r="Z52" i="24" s="1"/>
  <c r="K52" i="24"/>
  <c r="R52" i="24" s="1"/>
  <c r="Y52" i="24" s="1"/>
  <c r="Q51" i="24"/>
  <c r="X51" i="24" s="1"/>
  <c r="AE51" i="24" s="1"/>
  <c r="P51" i="24"/>
  <c r="O51" i="24"/>
  <c r="N51" i="24"/>
  <c r="U51" i="24" s="1"/>
  <c r="AB51" i="24" s="1"/>
  <c r="M51" i="24"/>
  <c r="T51" i="24" s="1"/>
  <c r="AA51" i="24" s="1"/>
  <c r="L51" i="24"/>
  <c r="S51" i="24" s="1"/>
  <c r="Z51" i="24" s="1"/>
  <c r="K51" i="24"/>
  <c r="R51" i="24" s="1"/>
  <c r="Y51" i="24" s="1"/>
  <c r="Q50" i="24"/>
  <c r="P50" i="24"/>
  <c r="W50" i="24" s="1"/>
  <c r="O50" i="24"/>
  <c r="V50" i="24" s="1"/>
  <c r="AC50" i="24" s="1"/>
  <c r="N50" i="24"/>
  <c r="U50" i="24" s="1"/>
  <c r="AB50" i="24" s="1"/>
  <c r="M50" i="24"/>
  <c r="T50" i="24" s="1"/>
  <c r="AA50" i="24" s="1"/>
  <c r="L50" i="24"/>
  <c r="S50" i="24" s="1"/>
  <c r="Z50" i="24" s="1"/>
  <c r="K50" i="24"/>
  <c r="R50" i="24" s="1"/>
  <c r="Y50" i="24" s="1"/>
  <c r="Q49" i="24"/>
  <c r="X49" i="24" s="1"/>
  <c r="AE49" i="24" s="1"/>
  <c r="P49" i="24"/>
  <c r="W49" i="24" s="1"/>
  <c r="AD49" i="24" s="1"/>
  <c r="O49" i="24"/>
  <c r="V49" i="24" s="1"/>
  <c r="AC49" i="24" s="1"/>
  <c r="N49" i="24"/>
  <c r="U49" i="24" s="1"/>
  <c r="AB49" i="24" s="1"/>
  <c r="M49" i="24"/>
  <c r="T49" i="24" s="1"/>
  <c r="AA49" i="24" s="1"/>
  <c r="L49" i="24"/>
  <c r="S49" i="24" s="1"/>
  <c r="Z49" i="24" s="1"/>
  <c r="K49" i="24"/>
  <c r="R49" i="24" s="1"/>
  <c r="Y49" i="24" s="1"/>
  <c r="Q48" i="24"/>
  <c r="P48" i="24"/>
  <c r="W48" i="24" s="1"/>
  <c r="AD48" i="24" s="1"/>
  <c r="O48" i="24"/>
  <c r="N48" i="24"/>
  <c r="U48" i="24" s="1"/>
  <c r="AB48" i="24" s="1"/>
  <c r="M48" i="24"/>
  <c r="T48" i="24" s="1"/>
  <c r="AA48" i="24" s="1"/>
  <c r="L48" i="24"/>
  <c r="S48" i="24" s="1"/>
  <c r="Z48" i="24" s="1"/>
  <c r="K48" i="24"/>
  <c r="R48" i="24" s="1"/>
  <c r="Y48" i="24" s="1"/>
  <c r="Q47" i="24"/>
  <c r="X47" i="24" s="1"/>
  <c r="AE47" i="24" s="1"/>
  <c r="P47" i="24"/>
  <c r="O47" i="24"/>
  <c r="V47" i="24" s="1"/>
  <c r="AC47" i="24" s="1"/>
  <c r="N47" i="24"/>
  <c r="M47" i="24"/>
  <c r="T47" i="24" s="1"/>
  <c r="AA47" i="24" s="1"/>
  <c r="L47" i="24"/>
  <c r="S47" i="24" s="1"/>
  <c r="Z47" i="24" s="1"/>
  <c r="K47" i="24"/>
  <c r="R47" i="24" s="1"/>
  <c r="Y47" i="24" s="1"/>
  <c r="Q46" i="24"/>
  <c r="P46" i="24"/>
  <c r="W46" i="24" s="1"/>
  <c r="AD46" i="24" s="1"/>
  <c r="O46" i="24"/>
  <c r="V46" i="24" s="1"/>
  <c r="AC46" i="24" s="1"/>
  <c r="N46" i="24"/>
  <c r="U46" i="24" s="1"/>
  <c r="AB46" i="24" s="1"/>
  <c r="M46" i="24"/>
  <c r="L46" i="24"/>
  <c r="S46" i="24" s="1"/>
  <c r="Z46" i="24" s="1"/>
  <c r="K46" i="24"/>
  <c r="R46" i="24" s="1"/>
  <c r="Y46" i="24" s="1"/>
  <c r="Q45" i="24"/>
  <c r="X45" i="24" s="1"/>
  <c r="AE45" i="24" s="1"/>
  <c r="P45" i="24"/>
  <c r="W45" i="24" s="1"/>
  <c r="AD45" i="24" s="1"/>
  <c r="O45" i="24"/>
  <c r="V45" i="24" s="1"/>
  <c r="AC45" i="24" s="1"/>
  <c r="N45" i="24"/>
  <c r="M45" i="24"/>
  <c r="L45" i="24"/>
  <c r="S45" i="24" s="1"/>
  <c r="Z45" i="24" s="1"/>
  <c r="K45" i="24"/>
  <c r="R45" i="24" s="1"/>
  <c r="Y45" i="24" s="1"/>
  <c r="Q44" i="24"/>
  <c r="X44" i="24" s="1"/>
  <c r="AE44" i="24" s="1"/>
  <c r="P44" i="24"/>
  <c r="W44" i="24" s="1"/>
  <c r="AD44" i="24" s="1"/>
  <c r="O44" i="24"/>
  <c r="V44" i="24" s="1"/>
  <c r="AC44" i="24" s="1"/>
  <c r="N44" i="24"/>
  <c r="U44" i="24" s="1"/>
  <c r="AB44" i="24" s="1"/>
  <c r="M44" i="24"/>
  <c r="L44" i="24"/>
  <c r="S44" i="24" s="1"/>
  <c r="Z44" i="24" s="1"/>
  <c r="K44" i="24"/>
  <c r="Q43" i="24"/>
  <c r="X43" i="24" s="1"/>
  <c r="AE43" i="24" s="1"/>
  <c r="P43" i="24"/>
  <c r="W43" i="24" s="1"/>
  <c r="AD43" i="24" s="1"/>
  <c r="O43" i="24"/>
  <c r="V43" i="24" s="1"/>
  <c r="AC43" i="24" s="1"/>
  <c r="N43" i="24"/>
  <c r="U43" i="24" s="1"/>
  <c r="AB43" i="24" s="1"/>
  <c r="M43" i="24"/>
  <c r="T43" i="24" s="1"/>
  <c r="AA43" i="24" s="1"/>
  <c r="L43" i="24"/>
  <c r="K43" i="24"/>
  <c r="R43" i="24" s="1"/>
  <c r="Y43" i="24" s="1"/>
  <c r="Q42" i="24"/>
  <c r="P42" i="24"/>
  <c r="W42" i="24" s="1"/>
  <c r="AD42" i="24" s="1"/>
  <c r="O42" i="24"/>
  <c r="V42" i="24" s="1"/>
  <c r="AC42" i="24" s="1"/>
  <c r="N42" i="24"/>
  <c r="U42" i="24" s="1"/>
  <c r="AB42" i="24" s="1"/>
  <c r="M42" i="24"/>
  <c r="T42" i="24" s="1"/>
  <c r="AA42" i="24" s="1"/>
  <c r="L42" i="24"/>
  <c r="S42" i="24" s="1"/>
  <c r="Z42" i="24" s="1"/>
  <c r="K42" i="24"/>
  <c r="R42" i="24" s="1"/>
  <c r="Y42" i="24" s="1"/>
  <c r="Q41" i="24"/>
  <c r="X41" i="24" s="1"/>
  <c r="AE41" i="24" s="1"/>
  <c r="P41" i="24"/>
  <c r="O41" i="24"/>
  <c r="V41" i="24" s="1"/>
  <c r="AC41" i="24" s="1"/>
  <c r="N41" i="24"/>
  <c r="U41" i="24" s="1"/>
  <c r="AB41" i="24" s="1"/>
  <c r="M41" i="24"/>
  <c r="T41" i="24" s="1"/>
  <c r="L41" i="24"/>
  <c r="S41" i="24" s="1"/>
  <c r="Z41" i="24" s="1"/>
  <c r="K41" i="24"/>
  <c r="R41" i="24" s="1"/>
  <c r="Y41" i="24" s="1"/>
  <c r="Q40" i="24"/>
  <c r="P40" i="24"/>
  <c r="W40" i="24" s="1"/>
  <c r="AD40" i="24" s="1"/>
  <c r="O40" i="24"/>
  <c r="V40" i="24" s="1"/>
  <c r="AC40" i="24" s="1"/>
  <c r="N40" i="24"/>
  <c r="U40" i="24" s="1"/>
  <c r="AB40" i="24" s="1"/>
  <c r="M40" i="24"/>
  <c r="T40" i="24" s="1"/>
  <c r="AA40" i="24" s="1"/>
  <c r="L40" i="24"/>
  <c r="S40" i="24" s="1"/>
  <c r="Z40" i="24" s="1"/>
  <c r="K40" i="24"/>
  <c r="Q39" i="24"/>
  <c r="X39" i="24" s="1"/>
  <c r="AE39" i="24" s="1"/>
  <c r="P39" i="24"/>
  <c r="W39" i="24" s="1"/>
  <c r="AD39" i="24" s="1"/>
  <c r="O39" i="24"/>
  <c r="V39" i="24" s="1"/>
  <c r="AC39" i="24" s="1"/>
  <c r="N39" i="24"/>
  <c r="M39" i="24"/>
  <c r="T39" i="24" s="1"/>
  <c r="AA39" i="24" s="1"/>
  <c r="L39" i="24"/>
  <c r="S39" i="24" s="1"/>
  <c r="Z39" i="24" s="1"/>
  <c r="K39" i="24"/>
  <c r="R39" i="24" s="1"/>
  <c r="Y39" i="24" s="1"/>
  <c r="Q38" i="24"/>
  <c r="X38" i="24" s="1"/>
  <c r="AE38" i="24" s="1"/>
  <c r="P38" i="24"/>
  <c r="O38" i="24"/>
  <c r="N38" i="24"/>
  <c r="U38" i="24" s="1"/>
  <c r="AB38" i="24" s="1"/>
  <c r="M38" i="24"/>
  <c r="T38" i="24" s="1"/>
  <c r="AA38" i="24" s="1"/>
  <c r="L38" i="24"/>
  <c r="K38" i="24"/>
  <c r="Q37" i="24"/>
  <c r="X37" i="24" s="1"/>
  <c r="AE37" i="24" s="1"/>
  <c r="P37" i="24"/>
  <c r="W37" i="24" s="1"/>
  <c r="AD37" i="24" s="1"/>
  <c r="O37" i="24"/>
  <c r="V37" i="24" s="1"/>
  <c r="AC37" i="24" s="1"/>
  <c r="N37" i="24"/>
  <c r="U37" i="24" s="1"/>
  <c r="AB37" i="24" s="1"/>
  <c r="M37" i="24"/>
  <c r="T37" i="24" s="1"/>
  <c r="AA37" i="24" s="1"/>
  <c r="L37" i="24"/>
  <c r="K37" i="24"/>
  <c r="R37" i="24" s="1"/>
  <c r="Y37" i="24" s="1"/>
  <c r="Q36" i="24"/>
  <c r="X36" i="24" s="1"/>
  <c r="AE36" i="24" s="1"/>
  <c r="P36" i="24"/>
  <c r="W36" i="24" s="1"/>
  <c r="AD36" i="24" s="1"/>
  <c r="O36" i="24"/>
  <c r="N36" i="24"/>
  <c r="U36" i="24" s="1"/>
  <c r="AB36" i="24" s="1"/>
  <c r="M36" i="24"/>
  <c r="T36" i="24" s="1"/>
  <c r="AA36" i="24" s="1"/>
  <c r="L36" i="24"/>
  <c r="S36" i="24" s="1"/>
  <c r="Z36" i="24" s="1"/>
  <c r="K36" i="24"/>
  <c r="Q35" i="24"/>
  <c r="X35" i="24" s="1"/>
  <c r="AE35" i="24" s="1"/>
  <c r="P35" i="24"/>
  <c r="W35" i="24" s="1"/>
  <c r="AD35" i="24" s="1"/>
  <c r="O35" i="24"/>
  <c r="V35" i="24" s="1"/>
  <c r="AC35" i="24" s="1"/>
  <c r="N35" i="24"/>
  <c r="U35" i="24" s="1"/>
  <c r="AB35" i="24" s="1"/>
  <c r="M35" i="24"/>
  <c r="T35" i="24" s="1"/>
  <c r="L35" i="24"/>
  <c r="K35" i="24"/>
  <c r="Q34" i="24"/>
  <c r="X34" i="24" s="1"/>
  <c r="AE34" i="24" s="1"/>
  <c r="P34" i="24"/>
  <c r="W34" i="24" s="1"/>
  <c r="AD34" i="24" s="1"/>
  <c r="O34" i="24"/>
  <c r="V34" i="24" s="1"/>
  <c r="AC34" i="24" s="1"/>
  <c r="N34" i="24"/>
  <c r="U34" i="24" s="1"/>
  <c r="AB34" i="24" s="1"/>
  <c r="M34" i="24"/>
  <c r="T34" i="24" s="1"/>
  <c r="AA34" i="24" s="1"/>
  <c r="L34" i="24"/>
  <c r="S34" i="24" s="1"/>
  <c r="Z34" i="24" s="1"/>
  <c r="K34" i="24"/>
  <c r="R34" i="24" s="1"/>
  <c r="Y34" i="24" s="1"/>
  <c r="Q33" i="24"/>
  <c r="X33" i="24" s="1"/>
  <c r="AE33" i="24" s="1"/>
  <c r="P33" i="24"/>
  <c r="O33" i="24"/>
  <c r="V33" i="24" s="1"/>
  <c r="AC33" i="24" s="1"/>
  <c r="N33" i="24"/>
  <c r="U33" i="24" s="1"/>
  <c r="AB33" i="24" s="1"/>
  <c r="M33" i="24"/>
  <c r="T33" i="24" s="1"/>
  <c r="L33" i="24"/>
  <c r="S33" i="24" s="1"/>
  <c r="Z33" i="24" s="1"/>
  <c r="K33" i="24"/>
  <c r="R33" i="24" s="1"/>
  <c r="Y33" i="24" s="1"/>
  <c r="Q32" i="24"/>
  <c r="P32" i="24"/>
  <c r="W32" i="24" s="1"/>
  <c r="AD32" i="24" s="1"/>
  <c r="O32" i="24"/>
  <c r="V32" i="24" s="1"/>
  <c r="AC32" i="24" s="1"/>
  <c r="N32" i="24"/>
  <c r="U32" i="24" s="1"/>
  <c r="AB32" i="24" s="1"/>
  <c r="M32" i="24"/>
  <c r="T32" i="24" s="1"/>
  <c r="AA32" i="24" s="1"/>
  <c r="L32" i="24"/>
  <c r="S32" i="24" s="1"/>
  <c r="Z32" i="24" s="1"/>
  <c r="K32" i="24"/>
  <c r="R32" i="24" s="1"/>
  <c r="Y32" i="24" s="1"/>
  <c r="Q31" i="24"/>
  <c r="X31" i="24" s="1"/>
  <c r="AE31" i="24" s="1"/>
  <c r="P31" i="24"/>
  <c r="W31" i="24" s="1"/>
  <c r="AD31" i="24" s="1"/>
  <c r="O31" i="24"/>
  <c r="V31" i="24" s="1"/>
  <c r="AC31" i="24" s="1"/>
  <c r="N31" i="24"/>
  <c r="M31" i="24"/>
  <c r="T31" i="24" s="1"/>
  <c r="AA31" i="24" s="1"/>
  <c r="L31" i="24"/>
  <c r="S31" i="24" s="1"/>
  <c r="Z31" i="24" s="1"/>
  <c r="K31" i="24"/>
  <c r="R31" i="24" s="1"/>
  <c r="Y31" i="24" s="1"/>
  <c r="Q30" i="24"/>
  <c r="P30" i="24"/>
  <c r="O30" i="24"/>
  <c r="V30" i="24" s="1"/>
  <c r="AC30" i="24" s="1"/>
  <c r="N30" i="24"/>
  <c r="U30" i="24" s="1"/>
  <c r="AB30" i="24" s="1"/>
  <c r="M30" i="24"/>
  <c r="L30" i="24"/>
  <c r="K30" i="24"/>
  <c r="Q29" i="24"/>
  <c r="X29" i="24" s="1"/>
  <c r="AE29" i="24" s="1"/>
  <c r="P29" i="24"/>
  <c r="W29" i="24" s="1"/>
  <c r="AD29" i="24" s="1"/>
  <c r="O29" i="24"/>
  <c r="V29" i="24" s="1"/>
  <c r="AC29" i="24" s="1"/>
  <c r="N29" i="24"/>
  <c r="U29" i="24" s="1"/>
  <c r="AB29" i="24" s="1"/>
  <c r="M29" i="24"/>
  <c r="L29" i="24"/>
  <c r="K29" i="24"/>
  <c r="R29" i="24" s="1"/>
  <c r="Y29" i="24" s="1"/>
  <c r="Q28" i="24"/>
  <c r="X28" i="24" s="1"/>
  <c r="AE28" i="24" s="1"/>
  <c r="P28" i="24"/>
  <c r="W28" i="24" s="1"/>
  <c r="AD28" i="24" s="1"/>
  <c r="O28" i="24"/>
  <c r="V28" i="24" s="1"/>
  <c r="AC28" i="24" s="1"/>
  <c r="N28" i="24"/>
  <c r="U28" i="24" s="1"/>
  <c r="AB28" i="24" s="1"/>
  <c r="M28" i="24"/>
  <c r="L28" i="24"/>
  <c r="S28" i="24" s="1"/>
  <c r="Z28" i="24" s="1"/>
  <c r="K28" i="24"/>
  <c r="Q27" i="24"/>
  <c r="X27" i="24" s="1"/>
  <c r="AE27" i="24" s="1"/>
  <c r="P27" i="24"/>
  <c r="W27" i="24" s="1"/>
  <c r="AD27" i="24" s="1"/>
  <c r="O27" i="24"/>
  <c r="V27" i="24" s="1"/>
  <c r="AC27" i="24" s="1"/>
  <c r="N27" i="24"/>
  <c r="U27" i="24" s="1"/>
  <c r="AB27" i="24" s="1"/>
  <c r="M27" i="24"/>
  <c r="T27" i="24" s="1"/>
  <c r="AA27" i="24" s="1"/>
  <c r="L27" i="24"/>
  <c r="K27" i="24"/>
  <c r="R27" i="24" s="1"/>
  <c r="Y27" i="24" s="1"/>
  <c r="Q26" i="24"/>
  <c r="P26" i="24"/>
  <c r="W26" i="24" s="1"/>
  <c r="AD26" i="24" s="1"/>
  <c r="O26" i="24"/>
  <c r="V26" i="24" s="1"/>
  <c r="AC26" i="24" s="1"/>
  <c r="N26" i="24"/>
  <c r="U26" i="24" s="1"/>
  <c r="AB26" i="24" s="1"/>
  <c r="M26" i="24"/>
  <c r="L26" i="24"/>
  <c r="K26" i="24"/>
  <c r="R26" i="24" s="1"/>
  <c r="Y26" i="24" s="1"/>
  <c r="Q25" i="24"/>
  <c r="X25" i="24" s="1"/>
  <c r="AE25" i="24" s="1"/>
  <c r="P25" i="24"/>
  <c r="W25" i="24" s="1"/>
  <c r="AD25" i="24" s="1"/>
  <c r="O25" i="24"/>
  <c r="V25" i="24" s="1"/>
  <c r="AC25" i="24" s="1"/>
  <c r="N25" i="24"/>
  <c r="U25" i="24" s="1"/>
  <c r="AB25" i="24" s="1"/>
  <c r="M25" i="24"/>
  <c r="T25" i="24" s="1"/>
  <c r="AA25" i="24" s="1"/>
  <c r="L25" i="24"/>
  <c r="S25" i="24" s="1"/>
  <c r="Z25" i="24" s="1"/>
  <c r="K25" i="24"/>
  <c r="Q24" i="24"/>
  <c r="X24" i="24" s="1"/>
  <c r="AE24" i="24" s="1"/>
  <c r="P24" i="24"/>
  <c r="W24" i="24" s="1"/>
  <c r="AD24" i="24" s="1"/>
  <c r="O24" i="24"/>
  <c r="V24" i="24" s="1"/>
  <c r="AC24" i="24" s="1"/>
  <c r="N24" i="24"/>
  <c r="U24" i="24" s="1"/>
  <c r="AB24" i="24" s="1"/>
  <c r="M24" i="24"/>
  <c r="T24" i="24" s="1"/>
  <c r="AA24" i="24" s="1"/>
  <c r="L24" i="24"/>
  <c r="K24" i="24"/>
  <c r="R24" i="24" s="1"/>
  <c r="Y24" i="24" s="1"/>
  <c r="Q23" i="24"/>
  <c r="X23" i="24" s="1"/>
  <c r="AE23" i="24" s="1"/>
  <c r="P23" i="24"/>
  <c r="O23" i="24"/>
  <c r="V23" i="24" s="1"/>
  <c r="AC23" i="24" s="1"/>
  <c r="N23" i="24"/>
  <c r="U23" i="24" s="1"/>
  <c r="AB23" i="24" s="1"/>
  <c r="M23" i="24"/>
  <c r="T23" i="24" s="1"/>
  <c r="AA23" i="24" s="1"/>
  <c r="L23" i="24"/>
  <c r="K23" i="24"/>
  <c r="Q22" i="24"/>
  <c r="X22" i="24" s="1"/>
  <c r="AE22" i="24" s="1"/>
  <c r="P22" i="24"/>
  <c r="W22" i="24" s="1"/>
  <c r="AD22" i="24" s="1"/>
  <c r="O22" i="24"/>
  <c r="V22" i="24" s="1"/>
  <c r="AC22" i="24" s="1"/>
  <c r="N22" i="24"/>
  <c r="M22" i="24"/>
  <c r="L22" i="24"/>
  <c r="S22" i="24" s="1"/>
  <c r="Z22" i="24" s="1"/>
  <c r="K22" i="24"/>
  <c r="R22" i="24" s="1"/>
  <c r="Y22" i="24" s="1"/>
  <c r="Q21" i="24"/>
  <c r="X21" i="24" s="1"/>
  <c r="AE21" i="24" s="1"/>
  <c r="P21" i="24"/>
  <c r="W21" i="24" s="1"/>
  <c r="AD21" i="24" s="1"/>
  <c r="O21" i="24"/>
  <c r="V21" i="24" s="1"/>
  <c r="AC21" i="24" s="1"/>
  <c r="N21" i="24"/>
  <c r="M21" i="24"/>
  <c r="T21" i="24" s="1"/>
  <c r="AA21" i="24" s="1"/>
  <c r="L21" i="24"/>
  <c r="S21" i="24" s="1"/>
  <c r="Z21" i="24" s="1"/>
  <c r="K21" i="24"/>
  <c r="R21" i="24" s="1"/>
  <c r="Y21" i="24" s="1"/>
  <c r="Q20" i="24"/>
  <c r="X20" i="24" s="1"/>
  <c r="AE20" i="24" s="1"/>
  <c r="P20" i="24"/>
  <c r="O20" i="24"/>
  <c r="V20" i="24" s="1"/>
  <c r="AC20" i="24" s="1"/>
  <c r="N20" i="24"/>
  <c r="U20" i="24" s="1"/>
  <c r="AB20" i="24" s="1"/>
  <c r="M20" i="24"/>
  <c r="T20" i="24" s="1"/>
  <c r="AA20" i="24" s="1"/>
  <c r="L20" i="24"/>
  <c r="K20" i="24"/>
  <c r="Q19" i="24"/>
  <c r="P19" i="24"/>
  <c r="O19" i="24"/>
  <c r="V19" i="24" s="1"/>
  <c r="AC19" i="24" s="1"/>
  <c r="N19" i="24"/>
  <c r="U19" i="24" s="1"/>
  <c r="AB19" i="24" s="1"/>
  <c r="M19" i="24"/>
  <c r="L19" i="24"/>
  <c r="K19" i="24"/>
  <c r="Q18" i="24"/>
  <c r="P18" i="24"/>
  <c r="W18" i="24" s="1"/>
  <c r="AD18" i="24" s="1"/>
  <c r="O18" i="24"/>
  <c r="V18" i="24" s="1"/>
  <c r="AC18" i="24" s="1"/>
  <c r="N18" i="24"/>
  <c r="U18" i="24" s="1"/>
  <c r="AB18" i="24" s="1"/>
  <c r="M18" i="24"/>
  <c r="L18" i="24"/>
  <c r="S18" i="24" s="1"/>
  <c r="Z18" i="24" s="1"/>
  <c r="K18" i="24"/>
  <c r="R18" i="24" s="1"/>
  <c r="Y18" i="24" s="1"/>
  <c r="Q17" i="24"/>
  <c r="X17" i="24" s="1"/>
  <c r="AE17" i="24" s="1"/>
  <c r="P17" i="24"/>
  <c r="W17" i="24" s="1"/>
  <c r="AD17" i="24" s="1"/>
  <c r="O17" i="24"/>
  <c r="N17" i="24"/>
  <c r="M17" i="24"/>
  <c r="T17" i="24" s="1"/>
  <c r="AA17" i="24" s="1"/>
  <c r="L17" i="24"/>
  <c r="S17" i="24" s="1"/>
  <c r="Z17" i="24" s="1"/>
  <c r="K17" i="24"/>
  <c r="Q16" i="24"/>
  <c r="X16" i="24" s="1"/>
  <c r="AE16" i="24" s="1"/>
  <c r="P16" i="24"/>
  <c r="W16" i="24" s="1"/>
  <c r="AD16" i="24" s="1"/>
  <c r="O16" i="24"/>
  <c r="V16" i="24" s="1"/>
  <c r="AC16" i="24" s="1"/>
  <c r="N16" i="24"/>
  <c r="M16" i="24"/>
  <c r="T16" i="24" s="1"/>
  <c r="AA16" i="24" s="1"/>
  <c r="L16" i="24"/>
  <c r="K16" i="24"/>
  <c r="R16" i="24" s="1"/>
  <c r="Y16" i="24" s="1"/>
  <c r="Q15" i="24"/>
  <c r="P15" i="24"/>
  <c r="W15" i="24" s="1"/>
  <c r="AD15" i="24" s="1"/>
  <c r="O15" i="24"/>
  <c r="V15" i="24" s="1"/>
  <c r="AC15" i="24" s="1"/>
  <c r="N15" i="24"/>
  <c r="U15" i="24" s="1"/>
  <c r="AB15" i="24" s="1"/>
  <c r="M15" i="24"/>
  <c r="L15" i="24"/>
  <c r="K15" i="24"/>
  <c r="R15" i="24" s="1"/>
  <c r="Y15" i="24" s="1"/>
  <c r="Q14" i="24"/>
  <c r="X14" i="24" s="1"/>
  <c r="AE14" i="24" s="1"/>
  <c r="P14" i="24"/>
  <c r="W14" i="24" s="1"/>
  <c r="AD14" i="24" s="1"/>
  <c r="O14" i="24"/>
  <c r="V14" i="24" s="1"/>
  <c r="AC14" i="24" s="1"/>
  <c r="N14" i="24"/>
  <c r="U14" i="24" s="1"/>
  <c r="AB14" i="24" s="1"/>
  <c r="M14" i="24"/>
  <c r="T14" i="24" s="1"/>
  <c r="AA14" i="24" s="1"/>
  <c r="L14" i="24"/>
  <c r="S14" i="24" s="1"/>
  <c r="Z14" i="24" s="1"/>
  <c r="K14" i="24"/>
  <c r="R14" i="24" s="1"/>
  <c r="Y14" i="24" s="1"/>
  <c r="Q13" i="24"/>
  <c r="X13" i="24" s="1"/>
  <c r="AE13" i="24" s="1"/>
  <c r="P13" i="24"/>
  <c r="W13" i="24" s="1"/>
  <c r="AD13" i="24" s="1"/>
  <c r="O13" i="24"/>
  <c r="V13" i="24" s="1"/>
  <c r="AC13" i="24" s="1"/>
  <c r="N13" i="24"/>
  <c r="M13" i="24"/>
  <c r="L13" i="24"/>
  <c r="S13" i="24" s="1"/>
  <c r="Z13" i="24" s="1"/>
  <c r="K13" i="24"/>
  <c r="R13" i="24" s="1"/>
  <c r="Y13" i="24" s="1"/>
  <c r="S12" i="24"/>
  <c r="Z12" i="24" s="1"/>
  <c r="Q12" i="24"/>
  <c r="X12" i="24" s="1"/>
  <c r="AE12" i="24" s="1"/>
  <c r="P12" i="24"/>
  <c r="W12" i="24" s="1"/>
  <c r="AD12" i="24" s="1"/>
  <c r="O12" i="24"/>
  <c r="V12" i="24" s="1"/>
  <c r="AC12" i="24" s="1"/>
  <c r="N12" i="24"/>
  <c r="U12" i="24" s="1"/>
  <c r="AB12" i="24" s="1"/>
  <c r="M12" i="24"/>
  <c r="T12" i="24" s="1"/>
  <c r="AA12" i="24" s="1"/>
  <c r="L12" i="24"/>
  <c r="K12" i="24"/>
  <c r="R12" i="24" s="1"/>
  <c r="Y12" i="24" s="1"/>
  <c r="Q11" i="24"/>
  <c r="X11" i="24" s="1"/>
  <c r="AE11" i="24" s="1"/>
  <c r="P11" i="24"/>
  <c r="W11" i="24" s="1"/>
  <c r="AD11" i="24" s="1"/>
  <c r="O11" i="24"/>
  <c r="N11" i="24"/>
  <c r="U11" i="24" s="1"/>
  <c r="AB11" i="24" s="1"/>
  <c r="M11" i="24"/>
  <c r="T11" i="24" s="1"/>
  <c r="AA11" i="24" s="1"/>
  <c r="L11" i="24"/>
  <c r="S11" i="24" s="1"/>
  <c r="Z11" i="24" s="1"/>
  <c r="K11" i="24"/>
  <c r="Q10" i="24"/>
  <c r="P10" i="24"/>
  <c r="W10" i="24" s="1"/>
  <c r="AD10" i="24" s="1"/>
  <c r="O10" i="24"/>
  <c r="V10" i="24" s="1"/>
  <c r="AC10" i="24" s="1"/>
  <c r="N10" i="24"/>
  <c r="U10" i="24" s="1"/>
  <c r="AB10" i="24" s="1"/>
  <c r="M10" i="24"/>
  <c r="L10" i="24"/>
  <c r="K10" i="24"/>
  <c r="R10" i="24" s="1"/>
  <c r="Y10" i="24" s="1"/>
  <c r="Q9" i="24"/>
  <c r="X9" i="24" s="1"/>
  <c r="AE9" i="24" s="1"/>
  <c r="P9" i="24"/>
  <c r="W9" i="24" s="1"/>
  <c r="O9" i="24"/>
  <c r="V9" i="24" s="1"/>
  <c r="AC9" i="24" s="1"/>
  <c r="N9" i="24"/>
  <c r="M9" i="24"/>
  <c r="T9" i="24" s="1"/>
  <c r="AA9" i="24" s="1"/>
  <c r="L9" i="24"/>
  <c r="S9" i="24" s="1"/>
  <c r="Z9" i="24" s="1"/>
  <c r="K9" i="24"/>
  <c r="R9" i="24" s="1"/>
  <c r="Y9" i="24" s="1"/>
  <c r="Q8" i="24"/>
  <c r="P8" i="24"/>
  <c r="W8" i="24" s="1"/>
  <c r="AD8" i="24" s="1"/>
  <c r="O8" i="24"/>
  <c r="V8" i="24" s="1"/>
  <c r="AC8" i="24" s="1"/>
  <c r="N8" i="24"/>
  <c r="U8" i="24" s="1"/>
  <c r="AB8" i="24" s="1"/>
  <c r="M8" i="24"/>
  <c r="L8" i="24"/>
  <c r="S8" i="24" s="1"/>
  <c r="Z8" i="24" s="1"/>
  <c r="K8" i="24"/>
  <c r="R8" i="24" s="1"/>
  <c r="Y8" i="24" s="1"/>
  <c r="Q7" i="24"/>
  <c r="X7" i="24" s="1"/>
  <c r="AE7" i="24" s="1"/>
  <c r="P7" i="24"/>
  <c r="W7" i="24" s="1"/>
  <c r="AD7" i="24" s="1"/>
  <c r="O7" i="24"/>
  <c r="V7" i="24" s="1"/>
  <c r="AC7" i="24" s="1"/>
  <c r="N7" i="24"/>
  <c r="U7" i="24" s="1"/>
  <c r="AB7" i="24" s="1"/>
  <c r="M7" i="24"/>
  <c r="T7" i="24" s="1"/>
  <c r="AA7" i="24" s="1"/>
  <c r="L7" i="24"/>
  <c r="S7" i="24" s="1"/>
  <c r="Z7" i="24" s="1"/>
  <c r="K7" i="24"/>
  <c r="Q6" i="24"/>
  <c r="X6" i="24" s="1"/>
  <c r="AE6" i="24" s="1"/>
  <c r="P6" i="24"/>
  <c r="W6" i="24" s="1"/>
  <c r="AD6" i="24" s="1"/>
  <c r="O6" i="24"/>
  <c r="V6" i="24" s="1"/>
  <c r="AC6" i="24" s="1"/>
  <c r="N6" i="24"/>
  <c r="U6" i="24" s="1"/>
  <c r="AB6" i="24" s="1"/>
  <c r="M6" i="24"/>
  <c r="T6" i="24" s="1"/>
  <c r="AA6" i="24" s="1"/>
  <c r="L6" i="24"/>
  <c r="K6" i="24"/>
  <c r="R6" i="24" s="1"/>
  <c r="Y6" i="24" s="1"/>
  <c r="Q5" i="24"/>
  <c r="X5" i="24" s="1"/>
  <c r="AE5" i="24" s="1"/>
  <c r="P5" i="24"/>
  <c r="W5" i="24" s="1"/>
  <c r="AD5" i="24" s="1"/>
  <c r="O5" i="24"/>
  <c r="V5" i="24" s="1"/>
  <c r="AC5" i="24" s="1"/>
  <c r="N5" i="24"/>
  <c r="U5" i="24" s="1"/>
  <c r="AB5" i="24" s="1"/>
  <c r="M5" i="24"/>
  <c r="T5" i="24" s="1"/>
  <c r="AA5" i="24" s="1"/>
  <c r="L5" i="24"/>
  <c r="S5" i="24" s="1"/>
  <c r="Z5" i="24" s="1"/>
  <c r="K5" i="24"/>
  <c r="R5" i="24" s="1"/>
  <c r="Y5" i="24" s="1"/>
  <c r="Q4" i="24"/>
  <c r="P4" i="24"/>
  <c r="W4" i="24" s="1"/>
  <c r="AD4" i="24" s="1"/>
  <c r="O4" i="24"/>
  <c r="V4" i="24" s="1"/>
  <c r="AC4" i="24" s="1"/>
  <c r="N4" i="24"/>
  <c r="M4" i="24"/>
  <c r="T4" i="24" s="1"/>
  <c r="AA4" i="24" s="1"/>
  <c r="L4" i="24"/>
  <c r="S4" i="24" s="1"/>
  <c r="Z4" i="24" s="1"/>
  <c r="R4" i="24"/>
  <c r="Y4" i="24" s="1"/>
  <c r="Q103" i="23"/>
  <c r="X103" i="23" s="1"/>
  <c r="AE103" i="23" s="1"/>
  <c r="P103" i="23"/>
  <c r="W103" i="23" s="1"/>
  <c r="AD103" i="23" s="1"/>
  <c r="O103" i="23"/>
  <c r="V103" i="23" s="1"/>
  <c r="AC103" i="23" s="1"/>
  <c r="N103" i="23"/>
  <c r="U103" i="23" s="1"/>
  <c r="AB103" i="23" s="1"/>
  <c r="M103" i="23"/>
  <c r="T103" i="23" s="1"/>
  <c r="AA103" i="23" s="1"/>
  <c r="L103" i="23"/>
  <c r="S103" i="23" s="1"/>
  <c r="Z103" i="23" s="1"/>
  <c r="K103" i="23"/>
  <c r="R103" i="23" s="1"/>
  <c r="Y103" i="23" s="1"/>
  <c r="Q102" i="23"/>
  <c r="X102" i="23" s="1"/>
  <c r="AE102" i="23" s="1"/>
  <c r="P102" i="23"/>
  <c r="W102" i="23" s="1"/>
  <c r="AD102" i="23" s="1"/>
  <c r="O102" i="23"/>
  <c r="V102" i="23" s="1"/>
  <c r="AC102" i="23" s="1"/>
  <c r="N102" i="23"/>
  <c r="U102" i="23" s="1"/>
  <c r="AB102" i="23" s="1"/>
  <c r="M102" i="23"/>
  <c r="T102" i="23" s="1"/>
  <c r="AA102" i="23" s="1"/>
  <c r="L102" i="23"/>
  <c r="S102" i="23" s="1"/>
  <c r="Z102" i="23" s="1"/>
  <c r="K102" i="23"/>
  <c r="R102" i="23" s="1"/>
  <c r="Y102" i="23" s="1"/>
  <c r="Q101" i="23"/>
  <c r="X101" i="23" s="1"/>
  <c r="AE101" i="23" s="1"/>
  <c r="P101" i="23"/>
  <c r="O101" i="23"/>
  <c r="V101" i="23" s="1"/>
  <c r="AC101" i="23" s="1"/>
  <c r="N101" i="23"/>
  <c r="U101" i="23" s="1"/>
  <c r="AB101" i="23" s="1"/>
  <c r="M101" i="23"/>
  <c r="T101" i="23" s="1"/>
  <c r="AA101" i="23" s="1"/>
  <c r="L101" i="23"/>
  <c r="S101" i="23" s="1"/>
  <c r="Z101" i="23" s="1"/>
  <c r="K101" i="23"/>
  <c r="R101" i="23" s="1"/>
  <c r="Y101" i="23" s="1"/>
  <c r="Q100" i="23"/>
  <c r="P100" i="23"/>
  <c r="W100" i="23" s="1"/>
  <c r="AD100" i="23" s="1"/>
  <c r="O100" i="23"/>
  <c r="V100" i="23" s="1"/>
  <c r="AC100" i="23" s="1"/>
  <c r="N100" i="23"/>
  <c r="U100" i="23" s="1"/>
  <c r="AB100" i="23" s="1"/>
  <c r="M100" i="23"/>
  <c r="L100" i="23"/>
  <c r="S100" i="23" s="1"/>
  <c r="Z100" i="23" s="1"/>
  <c r="K100" i="23"/>
  <c r="Q99" i="23"/>
  <c r="X99" i="23" s="1"/>
  <c r="AE99" i="23" s="1"/>
  <c r="P99" i="23"/>
  <c r="W99" i="23" s="1"/>
  <c r="AD99" i="23" s="1"/>
  <c r="O99" i="23"/>
  <c r="V99" i="23" s="1"/>
  <c r="AC99" i="23" s="1"/>
  <c r="N99" i="23"/>
  <c r="M99" i="23"/>
  <c r="T99" i="23" s="1"/>
  <c r="AA99" i="23" s="1"/>
  <c r="L99" i="23"/>
  <c r="S99" i="23" s="1"/>
  <c r="Z99" i="23" s="1"/>
  <c r="K99" i="23"/>
  <c r="R99" i="23" s="1"/>
  <c r="Y99" i="23" s="1"/>
  <c r="Q98" i="23"/>
  <c r="P98" i="23"/>
  <c r="W98" i="23" s="1"/>
  <c r="AD98" i="23" s="1"/>
  <c r="O98" i="23"/>
  <c r="N98" i="23"/>
  <c r="U98" i="23" s="1"/>
  <c r="AB98" i="23" s="1"/>
  <c r="M98" i="23"/>
  <c r="T98" i="23" s="1"/>
  <c r="AA98" i="23" s="1"/>
  <c r="L98" i="23"/>
  <c r="S98" i="23" s="1"/>
  <c r="Z98" i="23" s="1"/>
  <c r="K98" i="23"/>
  <c r="Q97" i="23"/>
  <c r="X97" i="23" s="1"/>
  <c r="P97" i="23"/>
  <c r="O97" i="23"/>
  <c r="V97" i="23" s="1"/>
  <c r="AC97" i="23" s="1"/>
  <c r="N97" i="23"/>
  <c r="U97" i="23" s="1"/>
  <c r="AB97" i="23" s="1"/>
  <c r="M97" i="23"/>
  <c r="T97" i="23" s="1"/>
  <c r="AA97" i="23" s="1"/>
  <c r="L97" i="23"/>
  <c r="K97" i="23"/>
  <c r="R97" i="23" s="1"/>
  <c r="Y97" i="23" s="1"/>
  <c r="Q96" i="23"/>
  <c r="P96" i="23"/>
  <c r="W96" i="23" s="1"/>
  <c r="AD96" i="23" s="1"/>
  <c r="O96" i="23"/>
  <c r="V96" i="23" s="1"/>
  <c r="AC96" i="23" s="1"/>
  <c r="N96" i="23"/>
  <c r="U96" i="23" s="1"/>
  <c r="AB96" i="23" s="1"/>
  <c r="M96" i="23"/>
  <c r="L96" i="23"/>
  <c r="K96" i="23"/>
  <c r="R96" i="23" s="1"/>
  <c r="Y96" i="23" s="1"/>
  <c r="Q95" i="23"/>
  <c r="X95" i="23" s="1"/>
  <c r="AE95" i="23" s="1"/>
  <c r="P95" i="23"/>
  <c r="W95" i="23" s="1"/>
  <c r="AD95" i="23" s="1"/>
  <c r="O95" i="23"/>
  <c r="V95" i="23" s="1"/>
  <c r="AC95" i="23" s="1"/>
  <c r="N95" i="23"/>
  <c r="U95" i="23" s="1"/>
  <c r="AB95" i="23" s="1"/>
  <c r="M95" i="23"/>
  <c r="T95" i="23" s="1"/>
  <c r="AA95" i="23" s="1"/>
  <c r="L95" i="23"/>
  <c r="S95" i="23" s="1"/>
  <c r="Z95" i="23" s="1"/>
  <c r="K95" i="23"/>
  <c r="R95" i="23" s="1"/>
  <c r="Y95" i="23" s="1"/>
  <c r="Q94" i="23"/>
  <c r="X94" i="23" s="1"/>
  <c r="AE94" i="23" s="1"/>
  <c r="P94" i="23"/>
  <c r="W94" i="23" s="1"/>
  <c r="AD94" i="23" s="1"/>
  <c r="O94" i="23"/>
  <c r="N94" i="23"/>
  <c r="M94" i="23"/>
  <c r="T94" i="23" s="1"/>
  <c r="AA94" i="23" s="1"/>
  <c r="L94" i="23"/>
  <c r="S94" i="23" s="1"/>
  <c r="Z94" i="23" s="1"/>
  <c r="K94" i="23"/>
  <c r="R94" i="23" s="1"/>
  <c r="Y94" i="23" s="1"/>
  <c r="Q93" i="23"/>
  <c r="X93" i="23" s="1"/>
  <c r="AE93" i="23" s="1"/>
  <c r="P93" i="23"/>
  <c r="O93" i="23"/>
  <c r="V93" i="23" s="1"/>
  <c r="AC93" i="23" s="1"/>
  <c r="N93" i="23"/>
  <c r="U93" i="23" s="1"/>
  <c r="AB93" i="23" s="1"/>
  <c r="M93" i="23"/>
  <c r="T93" i="23" s="1"/>
  <c r="AA93" i="23" s="1"/>
  <c r="L93" i="23"/>
  <c r="S93" i="23" s="1"/>
  <c r="Z93" i="23" s="1"/>
  <c r="K93" i="23"/>
  <c r="R93" i="23" s="1"/>
  <c r="Y93" i="23" s="1"/>
  <c r="Q92" i="23"/>
  <c r="P92" i="23"/>
  <c r="W92" i="23" s="1"/>
  <c r="AD92" i="23" s="1"/>
  <c r="O92" i="23"/>
  <c r="V92" i="23" s="1"/>
  <c r="AC92" i="23" s="1"/>
  <c r="N92" i="23"/>
  <c r="U92" i="23" s="1"/>
  <c r="AB92" i="23" s="1"/>
  <c r="M92" i="23"/>
  <c r="L92" i="23"/>
  <c r="S92" i="23" s="1"/>
  <c r="Z92" i="23" s="1"/>
  <c r="K92" i="23"/>
  <c r="R92" i="23" s="1"/>
  <c r="Y92" i="23" s="1"/>
  <c r="Q91" i="23"/>
  <c r="X91" i="23" s="1"/>
  <c r="AE91" i="23" s="1"/>
  <c r="P91" i="23"/>
  <c r="O91" i="23"/>
  <c r="V91" i="23" s="1"/>
  <c r="AC91" i="23" s="1"/>
  <c r="N91" i="23"/>
  <c r="M91" i="23"/>
  <c r="T91" i="23" s="1"/>
  <c r="AA91" i="23" s="1"/>
  <c r="L91" i="23"/>
  <c r="S91" i="23" s="1"/>
  <c r="Z91" i="23" s="1"/>
  <c r="K91" i="23"/>
  <c r="R91" i="23" s="1"/>
  <c r="Y91" i="23" s="1"/>
  <c r="Q90" i="23"/>
  <c r="X90" i="23" s="1"/>
  <c r="AE90" i="23" s="1"/>
  <c r="P90" i="23"/>
  <c r="W90" i="23" s="1"/>
  <c r="AD90" i="23" s="1"/>
  <c r="O90" i="23"/>
  <c r="V90" i="23" s="1"/>
  <c r="AC90" i="23" s="1"/>
  <c r="N90" i="23"/>
  <c r="U90" i="23" s="1"/>
  <c r="AB90" i="23" s="1"/>
  <c r="M90" i="23"/>
  <c r="T90" i="23" s="1"/>
  <c r="AA90" i="23" s="1"/>
  <c r="L90" i="23"/>
  <c r="S90" i="23" s="1"/>
  <c r="Z90" i="23" s="1"/>
  <c r="K90" i="23"/>
  <c r="Q89" i="23"/>
  <c r="X89" i="23" s="1"/>
  <c r="P89" i="23"/>
  <c r="W89" i="23" s="1"/>
  <c r="AD89" i="23" s="1"/>
  <c r="O89" i="23"/>
  <c r="V89" i="23" s="1"/>
  <c r="AC89" i="23" s="1"/>
  <c r="N89" i="23"/>
  <c r="U89" i="23" s="1"/>
  <c r="AB89" i="23" s="1"/>
  <c r="M89" i="23"/>
  <c r="T89" i="23" s="1"/>
  <c r="AA89" i="23" s="1"/>
  <c r="L89" i="23"/>
  <c r="K89" i="23"/>
  <c r="R89" i="23" s="1"/>
  <c r="Y89" i="23" s="1"/>
  <c r="Q88" i="23"/>
  <c r="P88" i="23"/>
  <c r="W88" i="23" s="1"/>
  <c r="AD88" i="23" s="1"/>
  <c r="O88" i="23"/>
  <c r="V88" i="23" s="1"/>
  <c r="AC88" i="23" s="1"/>
  <c r="N88" i="23"/>
  <c r="U88" i="23" s="1"/>
  <c r="AB88" i="23" s="1"/>
  <c r="M88" i="23"/>
  <c r="L88" i="23"/>
  <c r="K88" i="23"/>
  <c r="R88" i="23" s="1"/>
  <c r="Y88" i="23" s="1"/>
  <c r="Q87" i="23"/>
  <c r="X87" i="23" s="1"/>
  <c r="AE87" i="23" s="1"/>
  <c r="P87" i="23"/>
  <c r="W87" i="23" s="1"/>
  <c r="AD87" i="23" s="1"/>
  <c r="O87" i="23"/>
  <c r="V87" i="23" s="1"/>
  <c r="AC87" i="23" s="1"/>
  <c r="N87" i="23"/>
  <c r="U87" i="23" s="1"/>
  <c r="AB87" i="23" s="1"/>
  <c r="M87" i="23"/>
  <c r="T87" i="23" s="1"/>
  <c r="AA87" i="23" s="1"/>
  <c r="L87" i="23"/>
  <c r="S87" i="23" s="1"/>
  <c r="Z87" i="23" s="1"/>
  <c r="K87" i="23"/>
  <c r="R87" i="23" s="1"/>
  <c r="Q86" i="23"/>
  <c r="X86" i="23" s="1"/>
  <c r="AE86" i="23" s="1"/>
  <c r="P86" i="23"/>
  <c r="W86" i="23" s="1"/>
  <c r="AD86" i="23" s="1"/>
  <c r="O86" i="23"/>
  <c r="V86" i="23" s="1"/>
  <c r="AC86" i="23" s="1"/>
  <c r="N86" i="23"/>
  <c r="M86" i="23"/>
  <c r="T86" i="23" s="1"/>
  <c r="AA86" i="23" s="1"/>
  <c r="L86" i="23"/>
  <c r="S86" i="23" s="1"/>
  <c r="Z86" i="23" s="1"/>
  <c r="K86" i="23"/>
  <c r="R86" i="23" s="1"/>
  <c r="Y86" i="23" s="1"/>
  <c r="Q85" i="23"/>
  <c r="X85" i="23" s="1"/>
  <c r="AE85" i="23" s="1"/>
  <c r="P85" i="23"/>
  <c r="W85" i="23" s="1"/>
  <c r="AD85" i="23" s="1"/>
  <c r="O85" i="23"/>
  <c r="V85" i="23" s="1"/>
  <c r="AC85" i="23" s="1"/>
  <c r="N85" i="23"/>
  <c r="U85" i="23" s="1"/>
  <c r="AB85" i="23" s="1"/>
  <c r="M85" i="23"/>
  <c r="T85" i="23" s="1"/>
  <c r="AA85" i="23" s="1"/>
  <c r="L85" i="23"/>
  <c r="K85" i="23"/>
  <c r="R85" i="23" s="1"/>
  <c r="Y85" i="23" s="1"/>
  <c r="Q84" i="23"/>
  <c r="X84" i="23" s="1"/>
  <c r="AE84" i="23" s="1"/>
  <c r="P84" i="23"/>
  <c r="O84" i="23"/>
  <c r="V84" i="23" s="1"/>
  <c r="AC84" i="23" s="1"/>
  <c r="N84" i="23"/>
  <c r="U84" i="23" s="1"/>
  <c r="AB84" i="23" s="1"/>
  <c r="M84" i="23"/>
  <c r="T84" i="23" s="1"/>
  <c r="AA84" i="23" s="1"/>
  <c r="L84" i="23"/>
  <c r="S84" i="23" s="1"/>
  <c r="Z84" i="23" s="1"/>
  <c r="K84" i="23"/>
  <c r="Q83" i="23"/>
  <c r="X83" i="23" s="1"/>
  <c r="AE83" i="23" s="1"/>
  <c r="P83" i="23"/>
  <c r="W83" i="23" s="1"/>
  <c r="AD83" i="23" s="1"/>
  <c r="O83" i="23"/>
  <c r="V83" i="23" s="1"/>
  <c r="AC83" i="23" s="1"/>
  <c r="N83" i="23"/>
  <c r="M83" i="23"/>
  <c r="L83" i="23"/>
  <c r="S83" i="23" s="1"/>
  <c r="Z83" i="23" s="1"/>
  <c r="K83" i="23"/>
  <c r="R83" i="23" s="1"/>
  <c r="Y83" i="23" s="1"/>
  <c r="Q82" i="23"/>
  <c r="X82" i="23" s="1"/>
  <c r="AE82" i="23" s="1"/>
  <c r="P82" i="23"/>
  <c r="W82" i="23" s="1"/>
  <c r="AD82" i="23" s="1"/>
  <c r="O82" i="23"/>
  <c r="N82" i="23"/>
  <c r="U82" i="23" s="1"/>
  <c r="AB82" i="23" s="1"/>
  <c r="M82" i="23"/>
  <c r="T82" i="23" s="1"/>
  <c r="AA82" i="23" s="1"/>
  <c r="L82" i="23"/>
  <c r="S82" i="23" s="1"/>
  <c r="Z82" i="23" s="1"/>
  <c r="K82" i="23"/>
  <c r="Q81" i="23"/>
  <c r="X81" i="23" s="1"/>
  <c r="AE81" i="23" s="1"/>
  <c r="P81" i="23"/>
  <c r="O81" i="23"/>
  <c r="V81" i="23" s="1"/>
  <c r="AC81" i="23" s="1"/>
  <c r="N81" i="23"/>
  <c r="U81" i="23" s="1"/>
  <c r="AB81" i="23" s="1"/>
  <c r="M81" i="23"/>
  <c r="T81" i="23" s="1"/>
  <c r="AA81" i="23" s="1"/>
  <c r="L81" i="23"/>
  <c r="K81" i="23"/>
  <c r="Q80" i="23"/>
  <c r="P80" i="23"/>
  <c r="W80" i="23" s="1"/>
  <c r="AD80" i="23" s="1"/>
  <c r="O80" i="23"/>
  <c r="V80" i="23" s="1"/>
  <c r="AC80" i="23" s="1"/>
  <c r="N80" i="23"/>
  <c r="U80" i="23" s="1"/>
  <c r="AB80" i="23" s="1"/>
  <c r="M80" i="23"/>
  <c r="L80" i="23"/>
  <c r="K80" i="23"/>
  <c r="R80" i="23" s="1"/>
  <c r="Y80" i="23" s="1"/>
  <c r="Q79" i="23"/>
  <c r="P79" i="23"/>
  <c r="W79" i="23" s="1"/>
  <c r="AD79" i="23" s="1"/>
  <c r="O79" i="23"/>
  <c r="V79" i="23" s="1"/>
  <c r="AC79" i="23" s="1"/>
  <c r="N79" i="23"/>
  <c r="U79" i="23" s="1"/>
  <c r="AB79" i="23" s="1"/>
  <c r="M79" i="23"/>
  <c r="T79" i="23" s="1"/>
  <c r="AA79" i="23" s="1"/>
  <c r="L79" i="23"/>
  <c r="S79" i="23" s="1"/>
  <c r="Z79" i="23" s="1"/>
  <c r="K79" i="23"/>
  <c r="R79" i="23" s="1"/>
  <c r="Y79" i="23" s="1"/>
  <c r="Q78" i="23"/>
  <c r="X78" i="23" s="1"/>
  <c r="AE78" i="23" s="1"/>
  <c r="P78" i="23"/>
  <c r="W78" i="23" s="1"/>
  <c r="AD78" i="23" s="1"/>
  <c r="O78" i="23"/>
  <c r="V78" i="23" s="1"/>
  <c r="AC78" i="23" s="1"/>
  <c r="N78" i="23"/>
  <c r="U78" i="23" s="1"/>
  <c r="AB78" i="23" s="1"/>
  <c r="M78" i="23"/>
  <c r="T78" i="23" s="1"/>
  <c r="AA78" i="23" s="1"/>
  <c r="L78" i="23"/>
  <c r="S78" i="23" s="1"/>
  <c r="Z78" i="23" s="1"/>
  <c r="K78" i="23"/>
  <c r="R78" i="23" s="1"/>
  <c r="Y78" i="23" s="1"/>
  <c r="Q77" i="23"/>
  <c r="X77" i="23" s="1"/>
  <c r="AE77" i="23" s="1"/>
  <c r="P77" i="23"/>
  <c r="W77" i="23" s="1"/>
  <c r="AD77" i="23" s="1"/>
  <c r="O77" i="23"/>
  <c r="V77" i="23" s="1"/>
  <c r="AC77" i="23" s="1"/>
  <c r="N77" i="23"/>
  <c r="U77" i="23" s="1"/>
  <c r="AB77" i="23" s="1"/>
  <c r="M77" i="23"/>
  <c r="T77" i="23" s="1"/>
  <c r="AA77" i="23" s="1"/>
  <c r="L77" i="23"/>
  <c r="S77" i="23" s="1"/>
  <c r="Z77" i="23" s="1"/>
  <c r="K77" i="23"/>
  <c r="Q76" i="23"/>
  <c r="X76" i="23" s="1"/>
  <c r="AE76" i="23" s="1"/>
  <c r="P76" i="23"/>
  <c r="W76" i="23" s="1"/>
  <c r="AD76" i="23" s="1"/>
  <c r="O76" i="23"/>
  <c r="V76" i="23" s="1"/>
  <c r="AC76" i="23" s="1"/>
  <c r="N76" i="23"/>
  <c r="M76" i="23"/>
  <c r="T76" i="23" s="1"/>
  <c r="AA76" i="23" s="1"/>
  <c r="L76" i="23"/>
  <c r="K76" i="23"/>
  <c r="R76" i="23" s="1"/>
  <c r="Y76" i="23" s="1"/>
  <c r="Q75" i="23"/>
  <c r="X75" i="23" s="1"/>
  <c r="AE75" i="23" s="1"/>
  <c r="P75" i="23"/>
  <c r="O75" i="23"/>
  <c r="V75" i="23" s="1"/>
  <c r="AC75" i="23" s="1"/>
  <c r="N75" i="23"/>
  <c r="U75" i="23" s="1"/>
  <c r="AB75" i="23" s="1"/>
  <c r="M75" i="23"/>
  <c r="T75" i="23" s="1"/>
  <c r="AA75" i="23" s="1"/>
  <c r="L75" i="23"/>
  <c r="S75" i="23" s="1"/>
  <c r="Z75" i="23" s="1"/>
  <c r="K75" i="23"/>
  <c r="Q74" i="23"/>
  <c r="P74" i="23"/>
  <c r="W74" i="23" s="1"/>
  <c r="AD74" i="23" s="1"/>
  <c r="O74" i="23"/>
  <c r="V74" i="23" s="1"/>
  <c r="AC74" i="23" s="1"/>
  <c r="N74" i="23"/>
  <c r="U74" i="23" s="1"/>
  <c r="M74" i="23"/>
  <c r="L74" i="23"/>
  <c r="K74" i="23"/>
  <c r="R74" i="23" s="1"/>
  <c r="Y74" i="23" s="1"/>
  <c r="Q73" i="23"/>
  <c r="X73" i="23" s="1"/>
  <c r="AE73" i="23" s="1"/>
  <c r="P73" i="23"/>
  <c r="W73" i="23" s="1"/>
  <c r="AD73" i="23" s="1"/>
  <c r="O73" i="23"/>
  <c r="N73" i="23"/>
  <c r="M73" i="23"/>
  <c r="T73" i="23" s="1"/>
  <c r="AA73" i="23" s="1"/>
  <c r="L73" i="23"/>
  <c r="S73" i="23" s="1"/>
  <c r="Z73" i="23" s="1"/>
  <c r="K73" i="23"/>
  <c r="Q72" i="23"/>
  <c r="X72" i="23" s="1"/>
  <c r="AE72" i="23" s="1"/>
  <c r="P72" i="23"/>
  <c r="W72" i="23" s="1"/>
  <c r="AD72" i="23" s="1"/>
  <c r="O72" i="23"/>
  <c r="N72" i="23"/>
  <c r="U72" i="23" s="1"/>
  <c r="AB72" i="23" s="1"/>
  <c r="M72" i="23"/>
  <c r="T72" i="23" s="1"/>
  <c r="AA72" i="23" s="1"/>
  <c r="L72" i="23"/>
  <c r="S72" i="23" s="1"/>
  <c r="Z72" i="23" s="1"/>
  <c r="K72" i="23"/>
  <c r="Q71" i="23"/>
  <c r="P71" i="23"/>
  <c r="W71" i="23" s="1"/>
  <c r="O71" i="23"/>
  <c r="V71" i="23" s="1"/>
  <c r="AC71" i="23" s="1"/>
  <c r="N71" i="23"/>
  <c r="U71" i="23" s="1"/>
  <c r="AB71" i="23" s="1"/>
  <c r="M71" i="23"/>
  <c r="T71" i="23" s="1"/>
  <c r="AA71" i="23" s="1"/>
  <c r="L71" i="23"/>
  <c r="S71" i="23" s="1"/>
  <c r="Z71" i="23" s="1"/>
  <c r="K71" i="23"/>
  <c r="R71" i="23" s="1"/>
  <c r="Y71" i="23" s="1"/>
  <c r="Q70" i="23"/>
  <c r="X70" i="23" s="1"/>
  <c r="AE70" i="23" s="1"/>
  <c r="P70" i="23"/>
  <c r="W70" i="23" s="1"/>
  <c r="AD70" i="23" s="1"/>
  <c r="O70" i="23"/>
  <c r="V70" i="23" s="1"/>
  <c r="AC70" i="23" s="1"/>
  <c r="N70" i="23"/>
  <c r="U70" i="23" s="1"/>
  <c r="AB70" i="23" s="1"/>
  <c r="M70" i="23"/>
  <c r="T70" i="23" s="1"/>
  <c r="AA70" i="23" s="1"/>
  <c r="L70" i="23"/>
  <c r="S70" i="23" s="1"/>
  <c r="Z70" i="23" s="1"/>
  <c r="K70" i="23"/>
  <c r="R70" i="23" s="1"/>
  <c r="Y70" i="23" s="1"/>
  <c r="Q69" i="23"/>
  <c r="X69" i="23" s="1"/>
  <c r="AE69" i="23" s="1"/>
  <c r="P69" i="23"/>
  <c r="W69" i="23" s="1"/>
  <c r="AD69" i="23" s="1"/>
  <c r="O69" i="23"/>
  <c r="V69" i="23" s="1"/>
  <c r="AC69" i="23" s="1"/>
  <c r="N69" i="23"/>
  <c r="U69" i="23" s="1"/>
  <c r="AB69" i="23" s="1"/>
  <c r="M69" i="23"/>
  <c r="T69" i="23" s="1"/>
  <c r="AA69" i="23" s="1"/>
  <c r="L69" i="23"/>
  <c r="S69" i="23" s="1"/>
  <c r="Z69" i="23" s="1"/>
  <c r="K69" i="23"/>
  <c r="R69" i="23" s="1"/>
  <c r="Y69" i="23" s="1"/>
  <c r="Q68" i="23"/>
  <c r="P68" i="23"/>
  <c r="W68" i="23" s="1"/>
  <c r="AD68" i="23" s="1"/>
  <c r="O68" i="23"/>
  <c r="V68" i="23" s="1"/>
  <c r="AC68" i="23" s="1"/>
  <c r="N68" i="23"/>
  <c r="U68" i="23" s="1"/>
  <c r="AB68" i="23" s="1"/>
  <c r="M68" i="23"/>
  <c r="L68" i="23"/>
  <c r="K68" i="23"/>
  <c r="R68" i="23" s="1"/>
  <c r="Y68" i="23" s="1"/>
  <c r="Q67" i="23"/>
  <c r="X67" i="23" s="1"/>
  <c r="AE67" i="23" s="1"/>
  <c r="P67" i="23"/>
  <c r="W67" i="23" s="1"/>
  <c r="AD67" i="23" s="1"/>
  <c r="O67" i="23"/>
  <c r="N67" i="23"/>
  <c r="M67" i="23"/>
  <c r="T67" i="23" s="1"/>
  <c r="AA67" i="23" s="1"/>
  <c r="L67" i="23"/>
  <c r="S67" i="23" s="1"/>
  <c r="Z67" i="23" s="1"/>
  <c r="K67" i="23"/>
  <c r="Q66" i="23"/>
  <c r="X66" i="23" s="1"/>
  <c r="AE66" i="23" s="1"/>
  <c r="P66" i="23"/>
  <c r="O66" i="23"/>
  <c r="V66" i="23" s="1"/>
  <c r="AC66" i="23" s="1"/>
  <c r="N66" i="23"/>
  <c r="U66" i="23" s="1"/>
  <c r="AB66" i="23" s="1"/>
  <c r="M66" i="23"/>
  <c r="T66" i="23" s="1"/>
  <c r="AA66" i="23" s="1"/>
  <c r="L66" i="23"/>
  <c r="K66" i="23"/>
  <c r="Q65" i="23"/>
  <c r="P65" i="23"/>
  <c r="W65" i="23" s="1"/>
  <c r="AD65" i="23" s="1"/>
  <c r="O65" i="23"/>
  <c r="V65" i="23" s="1"/>
  <c r="AC65" i="23" s="1"/>
  <c r="N65" i="23"/>
  <c r="U65" i="23" s="1"/>
  <c r="AB65" i="23" s="1"/>
  <c r="M65" i="23"/>
  <c r="T65" i="23" s="1"/>
  <c r="AA65" i="23" s="1"/>
  <c r="L65" i="23"/>
  <c r="S65" i="23" s="1"/>
  <c r="Z65" i="23" s="1"/>
  <c r="K65" i="23"/>
  <c r="R65" i="23" s="1"/>
  <c r="Y65" i="23" s="1"/>
  <c r="Q64" i="23"/>
  <c r="X64" i="23" s="1"/>
  <c r="AE64" i="23" s="1"/>
  <c r="P64" i="23"/>
  <c r="W64" i="23" s="1"/>
  <c r="AD64" i="23" s="1"/>
  <c r="O64" i="23"/>
  <c r="V64" i="23" s="1"/>
  <c r="AC64" i="23" s="1"/>
  <c r="N64" i="23"/>
  <c r="U64" i="23" s="1"/>
  <c r="AB64" i="23" s="1"/>
  <c r="M64" i="23"/>
  <c r="T64" i="23" s="1"/>
  <c r="AA64" i="23" s="1"/>
  <c r="L64" i="23"/>
  <c r="S64" i="23" s="1"/>
  <c r="Z64" i="23" s="1"/>
  <c r="K64" i="23"/>
  <c r="R64" i="23" s="1"/>
  <c r="Y64" i="23" s="1"/>
  <c r="Q63" i="23"/>
  <c r="X63" i="23" s="1"/>
  <c r="AE63" i="23" s="1"/>
  <c r="P63" i="23"/>
  <c r="W63" i="23" s="1"/>
  <c r="AD63" i="23" s="1"/>
  <c r="O63" i="23"/>
  <c r="V63" i="23" s="1"/>
  <c r="AC63" i="23" s="1"/>
  <c r="N63" i="23"/>
  <c r="U63" i="23" s="1"/>
  <c r="AB63" i="23" s="1"/>
  <c r="M63" i="23"/>
  <c r="T63" i="23" s="1"/>
  <c r="AA63" i="23" s="1"/>
  <c r="L63" i="23"/>
  <c r="S63" i="23" s="1"/>
  <c r="Z63" i="23" s="1"/>
  <c r="K63" i="23"/>
  <c r="Q62" i="23"/>
  <c r="X62" i="23" s="1"/>
  <c r="AE62" i="23" s="1"/>
  <c r="P62" i="23"/>
  <c r="W62" i="23" s="1"/>
  <c r="AD62" i="23" s="1"/>
  <c r="O62" i="23"/>
  <c r="V62" i="23" s="1"/>
  <c r="AC62" i="23" s="1"/>
  <c r="N62" i="23"/>
  <c r="M62" i="23"/>
  <c r="T62" i="23" s="1"/>
  <c r="AA62" i="23" s="1"/>
  <c r="L62" i="23"/>
  <c r="K62" i="23"/>
  <c r="R62" i="23" s="1"/>
  <c r="Y62" i="23" s="1"/>
  <c r="Q61" i="23"/>
  <c r="X61" i="23" s="1"/>
  <c r="AE61" i="23" s="1"/>
  <c r="P61" i="23"/>
  <c r="W61" i="23" s="1"/>
  <c r="AD61" i="23" s="1"/>
  <c r="O61" i="23"/>
  <c r="N61" i="23"/>
  <c r="U61" i="23" s="1"/>
  <c r="AB61" i="23" s="1"/>
  <c r="M61" i="23"/>
  <c r="T61" i="23" s="1"/>
  <c r="AA61" i="23" s="1"/>
  <c r="L61" i="23"/>
  <c r="S61" i="23" s="1"/>
  <c r="Z61" i="23" s="1"/>
  <c r="K61" i="23"/>
  <c r="Q60" i="23"/>
  <c r="X60" i="23" s="1"/>
  <c r="AE60" i="23" s="1"/>
  <c r="P60" i="23"/>
  <c r="O60" i="23"/>
  <c r="V60" i="23" s="1"/>
  <c r="AC60" i="23" s="1"/>
  <c r="N60" i="23"/>
  <c r="U60" i="23" s="1"/>
  <c r="AB60" i="23" s="1"/>
  <c r="M60" i="23"/>
  <c r="T60" i="23" s="1"/>
  <c r="AA60" i="23" s="1"/>
  <c r="L60" i="23"/>
  <c r="K60" i="23"/>
  <c r="R60" i="23" s="1"/>
  <c r="Y60" i="23" s="1"/>
  <c r="Q59" i="23"/>
  <c r="X59" i="23" s="1"/>
  <c r="AE59" i="23" s="1"/>
  <c r="P59" i="23"/>
  <c r="W59" i="23" s="1"/>
  <c r="AD59" i="23" s="1"/>
  <c r="O59" i="23"/>
  <c r="N59" i="23"/>
  <c r="M59" i="23"/>
  <c r="T59" i="23" s="1"/>
  <c r="AA59" i="23" s="1"/>
  <c r="L59" i="23"/>
  <c r="S59" i="23" s="1"/>
  <c r="Z59" i="23" s="1"/>
  <c r="K59" i="23"/>
  <c r="Q58" i="23"/>
  <c r="X58" i="23" s="1"/>
  <c r="AE58" i="23" s="1"/>
  <c r="P58" i="23"/>
  <c r="W58" i="23" s="1"/>
  <c r="AD58" i="23" s="1"/>
  <c r="O58" i="23"/>
  <c r="N58" i="23"/>
  <c r="U58" i="23" s="1"/>
  <c r="AB58" i="23" s="1"/>
  <c r="M58" i="23"/>
  <c r="T58" i="23" s="1"/>
  <c r="AA58" i="23" s="1"/>
  <c r="L58" i="23"/>
  <c r="S58" i="23" s="1"/>
  <c r="Z58" i="23" s="1"/>
  <c r="K58" i="23"/>
  <c r="Q57" i="23"/>
  <c r="X57" i="23" s="1"/>
  <c r="AE57" i="23" s="1"/>
  <c r="P57" i="23"/>
  <c r="W57" i="23" s="1"/>
  <c r="AD57" i="23" s="1"/>
  <c r="O57" i="23"/>
  <c r="V57" i="23" s="1"/>
  <c r="AC57" i="23" s="1"/>
  <c r="N57" i="23"/>
  <c r="U57" i="23" s="1"/>
  <c r="AB57" i="23" s="1"/>
  <c r="M57" i="23"/>
  <c r="T57" i="23" s="1"/>
  <c r="AA57" i="23" s="1"/>
  <c r="L57" i="23"/>
  <c r="S57" i="23" s="1"/>
  <c r="Z57" i="23" s="1"/>
  <c r="K57" i="23"/>
  <c r="R57" i="23" s="1"/>
  <c r="Y57" i="23" s="1"/>
  <c r="Q56" i="23"/>
  <c r="X56" i="23" s="1"/>
  <c r="AE56" i="23" s="1"/>
  <c r="P56" i="23"/>
  <c r="W56" i="23" s="1"/>
  <c r="AD56" i="23" s="1"/>
  <c r="O56" i="23"/>
  <c r="V56" i="23" s="1"/>
  <c r="AC56" i="23" s="1"/>
  <c r="N56" i="23"/>
  <c r="U56" i="23" s="1"/>
  <c r="AB56" i="23" s="1"/>
  <c r="M56" i="23"/>
  <c r="T56" i="23" s="1"/>
  <c r="AA56" i="23" s="1"/>
  <c r="L56" i="23"/>
  <c r="S56" i="23" s="1"/>
  <c r="Z56" i="23" s="1"/>
  <c r="K56" i="23"/>
  <c r="R56" i="23" s="1"/>
  <c r="Y56" i="23" s="1"/>
  <c r="Q55" i="23"/>
  <c r="X55" i="23" s="1"/>
  <c r="AE55" i="23" s="1"/>
  <c r="P55" i="23"/>
  <c r="W55" i="23" s="1"/>
  <c r="AD55" i="23" s="1"/>
  <c r="O55" i="23"/>
  <c r="V55" i="23" s="1"/>
  <c r="AC55" i="23" s="1"/>
  <c r="N55" i="23"/>
  <c r="M55" i="23"/>
  <c r="T55" i="23" s="1"/>
  <c r="AA55" i="23" s="1"/>
  <c r="L55" i="23"/>
  <c r="S55" i="23" s="1"/>
  <c r="Z55" i="23" s="1"/>
  <c r="K55" i="23"/>
  <c r="R55" i="23" s="1"/>
  <c r="Y55" i="23" s="1"/>
  <c r="Q54" i="23"/>
  <c r="X54" i="23" s="1"/>
  <c r="AE54" i="23" s="1"/>
  <c r="P54" i="23"/>
  <c r="W54" i="23" s="1"/>
  <c r="AD54" i="23" s="1"/>
  <c r="O54" i="23"/>
  <c r="V54" i="23" s="1"/>
  <c r="AC54" i="23" s="1"/>
  <c r="N54" i="23"/>
  <c r="U54" i="23" s="1"/>
  <c r="AB54" i="23" s="1"/>
  <c r="M54" i="23"/>
  <c r="T54" i="23" s="1"/>
  <c r="AA54" i="23" s="1"/>
  <c r="L54" i="23"/>
  <c r="K54" i="23"/>
  <c r="R54" i="23" s="1"/>
  <c r="Y54" i="23" s="1"/>
  <c r="Q53" i="23"/>
  <c r="X53" i="23" s="1"/>
  <c r="AE53" i="23" s="1"/>
  <c r="P53" i="23"/>
  <c r="W53" i="23" s="1"/>
  <c r="AD53" i="23" s="1"/>
  <c r="O53" i="23"/>
  <c r="V53" i="23" s="1"/>
  <c r="AC53" i="23" s="1"/>
  <c r="N53" i="23"/>
  <c r="U53" i="23" s="1"/>
  <c r="AB53" i="23" s="1"/>
  <c r="M53" i="23"/>
  <c r="L53" i="23"/>
  <c r="S53" i="23" s="1"/>
  <c r="Z53" i="23" s="1"/>
  <c r="K53" i="23"/>
  <c r="R53" i="23" s="1"/>
  <c r="Y53" i="23" s="1"/>
  <c r="Q52" i="23"/>
  <c r="X52" i="23" s="1"/>
  <c r="AE52" i="23" s="1"/>
  <c r="P52" i="23"/>
  <c r="O52" i="23"/>
  <c r="V52" i="23" s="1"/>
  <c r="AC52" i="23" s="1"/>
  <c r="N52" i="23"/>
  <c r="M52" i="23"/>
  <c r="T52" i="23" s="1"/>
  <c r="AA52" i="23" s="1"/>
  <c r="L52" i="23"/>
  <c r="S52" i="23" s="1"/>
  <c r="Z52" i="23" s="1"/>
  <c r="K52" i="23"/>
  <c r="R52" i="23" s="1"/>
  <c r="Y52" i="23" s="1"/>
  <c r="Q51" i="23"/>
  <c r="P51" i="23"/>
  <c r="W51" i="23" s="1"/>
  <c r="AD51" i="23" s="1"/>
  <c r="O51" i="23"/>
  <c r="N51" i="23"/>
  <c r="U51" i="23" s="1"/>
  <c r="AB51" i="23" s="1"/>
  <c r="M51" i="23"/>
  <c r="T51" i="23" s="1"/>
  <c r="AA51" i="23" s="1"/>
  <c r="L51" i="23"/>
  <c r="S51" i="23" s="1"/>
  <c r="Z51" i="23" s="1"/>
  <c r="K51" i="23"/>
  <c r="Q50" i="23"/>
  <c r="X50" i="23" s="1"/>
  <c r="AE50" i="23" s="1"/>
  <c r="P50" i="23"/>
  <c r="W50" i="23" s="1"/>
  <c r="AD50" i="23" s="1"/>
  <c r="O50" i="23"/>
  <c r="V50" i="23" s="1"/>
  <c r="AC50" i="23" s="1"/>
  <c r="N50" i="23"/>
  <c r="U50" i="23" s="1"/>
  <c r="AB50" i="23" s="1"/>
  <c r="M50" i="23"/>
  <c r="T50" i="23" s="1"/>
  <c r="AA50" i="23" s="1"/>
  <c r="L50" i="23"/>
  <c r="K50" i="23"/>
  <c r="R50" i="23" s="1"/>
  <c r="Y50" i="23" s="1"/>
  <c r="Q49" i="23"/>
  <c r="X49" i="23" s="1"/>
  <c r="AE49" i="23" s="1"/>
  <c r="P49" i="23"/>
  <c r="W49" i="23" s="1"/>
  <c r="AD49" i="23" s="1"/>
  <c r="O49" i="23"/>
  <c r="V49" i="23" s="1"/>
  <c r="AC49" i="23" s="1"/>
  <c r="N49" i="23"/>
  <c r="U49" i="23" s="1"/>
  <c r="AB49" i="23" s="1"/>
  <c r="M49" i="23"/>
  <c r="T49" i="23" s="1"/>
  <c r="AA49" i="23" s="1"/>
  <c r="L49" i="23"/>
  <c r="K49" i="23"/>
  <c r="Q48" i="23"/>
  <c r="X48" i="23" s="1"/>
  <c r="P48" i="23"/>
  <c r="W48" i="23" s="1"/>
  <c r="AD48" i="23" s="1"/>
  <c r="O48" i="23"/>
  <c r="V48" i="23" s="1"/>
  <c r="AC48" i="23" s="1"/>
  <c r="N48" i="23"/>
  <c r="U48" i="23" s="1"/>
  <c r="AB48" i="23" s="1"/>
  <c r="M48" i="23"/>
  <c r="T48" i="23" s="1"/>
  <c r="AA48" i="23" s="1"/>
  <c r="L48" i="23"/>
  <c r="S48" i="23" s="1"/>
  <c r="Z48" i="23" s="1"/>
  <c r="K48" i="23"/>
  <c r="R48" i="23" s="1"/>
  <c r="Y48" i="23" s="1"/>
  <c r="Q47" i="23"/>
  <c r="X47" i="23" s="1"/>
  <c r="AE47" i="23" s="1"/>
  <c r="P47" i="23"/>
  <c r="W47" i="23" s="1"/>
  <c r="AD47" i="23" s="1"/>
  <c r="O47" i="23"/>
  <c r="V47" i="23" s="1"/>
  <c r="AC47" i="23" s="1"/>
  <c r="N47" i="23"/>
  <c r="U47" i="23" s="1"/>
  <c r="AB47" i="23" s="1"/>
  <c r="M47" i="23"/>
  <c r="T47" i="23" s="1"/>
  <c r="AA47" i="23" s="1"/>
  <c r="L47" i="23"/>
  <c r="S47" i="23" s="1"/>
  <c r="Z47" i="23" s="1"/>
  <c r="K47" i="23"/>
  <c r="Q46" i="23"/>
  <c r="X46" i="23" s="1"/>
  <c r="AE46" i="23" s="1"/>
  <c r="P46" i="23"/>
  <c r="W46" i="23" s="1"/>
  <c r="AD46" i="23" s="1"/>
  <c r="O46" i="23"/>
  <c r="V46" i="23" s="1"/>
  <c r="AC46" i="23" s="1"/>
  <c r="N46" i="23"/>
  <c r="U46" i="23" s="1"/>
  <c r="AB46" i="23" s="1"/>
  <c r="M46" i="23"/>
  <c r="T46" i="23" s="1"/>
  <c r="AA46" i="23" s="1"/>
  <c r="L46" i="23"/>
  <c r="S46" i="23" s="1"/>
  <c r="Z46" i="23" s="1"/>
  <c r="K46" i="23"/>
  <c r="Q45" i="23"/>
  <c r="P45" i="23"/>
  <c r="W45" i="23" s="1"/>
  <c r="AD45" i="23" s="1"/>
  <c r="O45" i="23"/>
  <c r="V45" i="23" s="1"/>
  <c r="AC45" i="23" s="1"/>
  <c r="N45" i="23"/>
  <c r="U45" i="23" s="1"/>
  <c r="AB45" i="23" s="1"/>
  <c r="M45" i="23"/>
  <c r="T45" i="23" s="1"/>
  <c r="AA45" i="23" s="1"/>
  <c r="L45" i="23"/>
  <c r="S45" i="23" s="1"/>
  <c r="Z45" i="23" s="1"/>
  <c r="K45" i="23"/>
  <c r="Q44" i="23"/>
  <c r="P44" i="23"/>
  <c r="W44" i="23" s="1"/>
  <c r="AD44" i="23" s="1"/>
  <c r="O44" i="23"/>
  <c r="V44" i="23" s="1"/>
  <c r="AC44" i="23" s="1"/>
  <c r="N44" i="23"/>
  <c r="U44" i="23" s="1"/>
  <c r="M44" i="23"/>
  <c r="L44" i="23"/>
  <c r="K44" i="23"/>
  <c r="R44" i="23" s="1"/>
  <c r="Y44" i="23" s="1"/>
  <c r="Q43" i="23"/>
  <c r="X43" i="23" s="1"/>
  <c r="AE43" i="23" s="1"/>
  <c r="P43" i="23"/>
  <c r="W43" i="23" s="1"/>
  <c r="AD43" i="23" s="1"/>
  <c r="O43" i="23"/>
  <c r="V43" i="23" s="1"/>
  <c r="AC43" i="23" s="1"/>
  <c r="N43" i="23"/>
  <c r="U43" i="23" s="1"/>
  <c r="AB43" i="23" s="1"/>
  <c r="M43" i="23"/>
  <c r="L43" i="23"/>
  <c r="S43" i="23" s="1"/>
  <c r="Z43" i="23" s="1"/>
  <c r="K43" i="23"/>
  <c r="R43" i="23" s="1"/>
  <c r="Y43" i="23" s="1"/>
  <c r="Q42" i="23"/>
  <c r="X42" i="23" s="1"/>
  <c r="AE42" i="23" s="1"/>
  <c r="P42" i="23"/>
  <c r="O42" i="23"/>
  <c r="V42" i="23" s="1"/>
  <c r="AC42" i="23" s="1"/>
  <c r="N42" i="23"/>
  <c r="U42" i="23" s="1"/>
  <c r="AB42" i="23" s="1"/>
  <c r="M42" i="23"/>
  <c r="T42" i="23" s="1"/>
  <c r="AA42" i="23" s="1"/>
  <c r="L42" i="23"/>
  <c r="K42" i="23"/>
  <c r="Q41" i="23"/>
  <c r="P41" i="23"/>
  <c r="W41" i="23" s="1"/>
  <c r="AD41" i="23" s="1"/>
  <c r="O41" i="23"/>
  <c r="V41" i="23" s="1"/>
  <c r="AC41" i="23" s="1"/>
  <c r="N41" i="23"/>
  <c r="U41" i="23" s="1"/>
  <c r="AB41" i="23" s="1"/>
  <c r="M41" i="23"/>
  <c r="T41" i="23" s="1"/>
  <c r="AA41" i="23" s="1"/>
  <c r="L41" i="23"/>
  <c r="S41" i="23" s="1"/>
  <c r="Z41" i="23" s="1"/>
  <c r="K41" i="23"/>
  <c r="Q40" i="23"/>
  <c r="X40" i="23" s="1"/>
  <c r="AE40" i="23" s="1"/>
  <c r="P40" i="23"/>
  <c r="W40" i="23" s="1"/>
  <c r="AD40" i="23" s="1"/>
  <c r="O40" i="23"/>
  <c r="V40" i="23" s="1"/>
  <c r="AC40" i="23" s="1"/>
  <c r="N40" i="23"/>
  <c r="U40" i="23" s="1"/>
  <c r="AB40" i="23" s="1"/>
  <c r="M40" i="23"/>
  <c r="T40" i="23" s="1"/>
  <c r="AA40" i="23" s="1"/>
  <c r="L40" i="23"/>
  <c r="S40" i="23" s="1"/>
  <c r="Z40" i="23" s="1"/>
  <c r="K40" i="23"/>
  <c r="R40" i="23" s="1"/>
  <c r="Y40" i="23" s="1"/>
  <c r="Q39" i="23"/>
  <c r="X39" i="23" s="1"/>
  <c r="AE39" i="23" s="1"/>
  <c r="P39" i="23"/>
  <c r="W39" i="23" s="1"/>
  <c r="AD39" i="23" s="1"/>
  <c r="O39" i="23"/>
  <c r="V39" i="23" s="1"/>
  <c r="AC39" i="23" s="1"/>
  <c r="N39" i="23"/>
  <c r="U39" i="23" s="1"/>
  <c r="AB39" i="23" s="1"/>
  <c r="M39" i="23"/>
  <c r="T39" i="23" s="1"/>
  <c r="AA39" i="23" s="1"/>
  <c r="L39" i="23"/>
  <c r="S39" i="23" s="1"/>
  <c r="K39" i="23"/>
  <c r="Q38" i="23"/>
  <c r="X38" i="23" s="1"/>
  <c r="AE38" i="23" s="1"/>
  <c r="P38" i="23"/>
  <c r="W38" i="23" s="1"/>
  <c r="AD38" i="23" s="1"/>
  <c r="O38" i="23"/>
  <c r="V38" i="23" s="1"/>
  <c r="AC38" i="23" s="1"/>
  <c r="N38" i="23"/>
  <c r="U38" i="23" s="1"/>
  <c r="AB38" i="23" s="1"/>
  <c r="M38" i="23"/>
  <c r="T38" i="23" s="1"/>
  <c r="AA38" i="23" s="1"/>
  <c r="L38" i="23"/>
  <c r="S38" i="23" s="1"/>
  <c r="Z38" i="23" s="1"/>
  <c r="K38" i="23"/>
  <c r="R38" i="23" s="1"/>
  <c r="Y38" i="23" s="1"/>
  <c r="Q37" i="23"/>
  <c r="P37" i="23"/>
  <c r="W37" i="23" s="1"/>
  <c r="AD37" i="23" s="1"/>
  <c r="O37" i="23"/>
  <c r="N37" i="23"/>
  <c r="U37" i="23" s="1"/>
  <c r="AB37" i="23" s="1"/>
  <c r="M37" i="23"/>
  <c r="T37" i="23" s="1"/>
  <c r="AA37" i="23" s="1"/>
  <c r="L37" i="23"/>
  <c r="S37" i="23" s="1"/>
  <c r="Z37" i="23" s="1"/>
  <c r="K37" i="23"/>
  <c r="Q36" i="23"/>
  <c r="X36" i="23" s="1"/>
  <c r="AE36" i="23" s="1"/>
  <c r="P36" i="23"/>
  <c r="W36" i="23" s="1"/>
  <c r="AD36" i="23" s="1"/>
  <c r="O36" i="23"/>
  <c r="N36" i="23"/>
  <c r="U36" i="23" s="1"/>
  <c r="AB36" i="23" s="1"/>
  <c r="M36" i="23"/>
  <c r="T36" i="23" s="1"/>
  <c r="AA36" i="23" s="1"/>
  <c r="L36" i="23"/>
  <c r="S36" i="23" s="1"/>
  <c r="Z36" i="23" s="1"/>
  <c r="K36" i="23"/>
  <c r="Q35" i="23"/>
  <c r="X35" i="23" s="1"/>
  <c r="AE35" i="23" s="1"/>
  <c r="P35" i="23"/>
  <c r="W35" i="23" s="1"/>
  <c r="AD35" i="23" s="1"/>
  <c r="O35" i="23"/>
  <c r="V35" i="23" s="1"/>
  <c r="AC35" i="23" s="1"/>
  <c r="N35" i="23"/>
  <c r="U35" i="23" s="1"/>
  <c r="AB35" i="23" s="1"/>
  <c r="M35" i="23"/>
  <c r="T35" i="23" s="1"/>
  <c r="AA35" i="23" s="1"/>
  <c r="L35" i="23"/>
  <c r="K35" i="23"/>
  <c r="R35" i="23" s="1"/>
  <c r="Y35" i="23" s="1"/>
  <c r="Q34" i="23"/>
  <c r="X34" i="23" s="1"/>
  <c r="AE34" i="23" s="1"/>
  <c r="P34" i="23"/>
  <c r="W34" i="23" s="1"/>
  <c r="AD34" i="23" s="1"/>
  <c r="O34" i="23"/>
  <c r="V34" i="23" s="1"/>
  <c r="AC34" i="23" s="1"/>
  <c r="N34" i="23"/>
  <c r="M34" i="23"/>
  <c r="T34" i="23" s="1"/>
  <c r="AA34" i="23" s="1"/>
  <c r="L34" i="23"/>
  <c r="K34" i="23"/>
  <c r="R34" i="23" s="1"/>
  <c r="Y34" i="23" s="1"/>
  <c r="Q33" i="23"/>
  <c r="X33" i="23" s="1"/>
  <c r="AE33" i="23" s="1"/>
  <c r="P33" i="23"/>
  <c r="W33" i="23" s="1"/>
  <c r="AD33" i="23" s="1"/>
  <c r="O33" i="23"/>
  <c r="V33" i="23" s="1"/>
  <c r="AC33" i="23" s="1"/>
  <c r="N33" i="23"/>
  <c r="U33" i="23" s="1"/>
  <c r="AB33" i="23" s="1"/>
  <c r="M33" i="23"/>
  <c r="T33" i="23" s="1"/>
  <c r="AA33" i="23" s="1"/>
  <c r="L33" i="23"/>
  <c r="K33" i="23"/>
  <c r="R33" i="23" s="1"/>
  <c r="Y33" i="23" s="1"/>
  <c r="Q32" i="23"/>
  <c r="P32" i="23"/>
  <c r="W32" i="23" s="1"/>
  <c r="AD32" i="23" s="1"/>
  <c r="O32" i="23"/>
  <c r="V32" i="23" s="1"/>
  <c r="AC32" i="23" s="1"/>
  <c r="N32" i="23"/>
  <c r="U32" i="23" s="1"/>
  <c r="AB32" i="23" s="1"/>
  <c r="M32" i="23"/>
  <c r="L32" i="23"/>
  <c r="K32" i="23"/>
  <c r="R32" i="23" s="1"/>
  <c r="Y32" i="23" s="1"/>
  <c r="Q31" i="23"/>
  <c r="X31" i="23" s="1"/>
  <c r="AE31" i="23" s="1"/>
  <c r="P31" i="23"/>
  <c r="W31" i="23" s="1"/>
  <c r="AD31" i="23" s="1"/>
  <c r="O31" i="23"/>
  <c r="V31" i="23" s="1"/>
  <c r="AC31" i="23" s="1"/>
  <c r="N31" i="23"/>
  <c r="U31" i="23" s="1"/>
  <c r="AB31" i="23" s="1"/>
  <c r="M31" i="23"/>
  <c r="L31" i="23"/>
  <c r="S31" i="23" s="1"/>
  <c r="Z31" i="23" s="1"/>
  <c r="K31" i="23"/>
  <c r="R31" i="23" s="1"/>
  <c r="Y31" i="23" s="1"/>
  <c r="Q30" i="23"/>
  <c r="X30" i="23" s="1"/>
  <c r="AE30" i="23" s="1"/>
  <c r="P30" i="23"/>
  <c r="O30" i="23"/>
  <c r="N30" i="23"/>
  <c r="U30" i="23" s="1"/>
  <c r="AB30" i="23" s="1"/>
  <c r="M30" i="23"/>
  <c r="T30" i="23" s="1"/>
  <c r="AA30" i="23" s="1"/>
  <c r="L30" i="23"/>
  <c r="K30" i="23"/>
  <c r="Q29" i="23"/>
  <c r="P29" i="23"/>
  <c r="O29" i="23"/>
  <c r="V29" i="23" s="1"/>
  <c r="AC29" i="23" s="1"/>
  <c r="N29" i="23"/>
  <c r="U29" i="23" s="1"/>
  <c r="AB29" i="23" s="1"/>
  <c r="M29" i="23"/>
  <c r="L29" i="23"/>
  <c r="K29" i="23"/>
  <c r="Q28" i="23"/>
  <c r="X28" i="23" s="1"/>
  <c r="AE28" i="23" s="1"/>
  <c r="P28" i="23"/>
  <c r="O28" i="23"/>
  <c r="V28" i="23" s="1"/>
  <c r="AC28" i="23" s="1"/>
  <c r="N28" i="23"/>
  <c r="U28" i="23" s="1"/>
  <c r="AB28" i="23" s="1"/>
  <c r="M28" i="23"/>
  <c r="T28" i="23" s="1"/>
  <c r="AA28" i="23" s="1"/>
  <c r="L28" i="23"/>
  <c r="K28" i="23"/>
  <c r="R28" i="23" s="1"/>
  <c r="Y28" i="23" s="1"/>
  <c r="Q27" i="23"/>
  <c r="X27" i="23" s="1"/>
  <c r="AE27" i="23" s="1"/>
  <c r="P27" i="23"/>
  <c r="W27" i="23" s="1"/>
  <c r="AD27" i="23" s="1"/>
  <c r="O27" i="23"/>
  <c r="N27" i="23"/>
  <c r="M27" i="23"/>
  <c r="T27" i="23" s="1"/>
  <c r="AA27" i="23" s="1"/>
  <c r="L27" i="23"/>
  <c r="S27" i="23" s="1"/>
  <c r="Z27" i="23" s="1"/>
  <c r="K27" i="23"/>
  <c r="Q26" i="23"/>
  <c r="X26" i="23" s="1"/>
  <c r="AE26" i="23" s="1"/>
  <c r="P26" i="23"/>
  <c r="W26" i="23" s="1"/>
  <c r="AD26" i="23" s="1"/>
  <c r="O26" i="23"/>
  <c r="N26" i="23"/>
  <c r="M26" i="23"/>
  <c r="T26" i="23" s="1"/>
  <c r="AA26" i="23" s="1"/>
  <c r="L26" i="23"/>
  <c r="S26" i="23" s="1"/>
  <c r="Z26" i="23" s="1"/>
  <c r="K26" i="23"/>
  <c r="Q25" i="23"/>
  <c r="X25" i="23" s="1"/>
  <c r="AE25" i="23" s="1"/>
  <c r="P25" i="23"/>
  <c r="O25" i="23"/>
  <c r="N25" i="23"/>
  <c r="U25" i="23" s="1"/>
  <c r="AB25" i="23" s="1"/>
  <c r="M25" i="23"/>
  <c r="T25" i="23" s="1"/>
  <c r="AA25" i="23" s="1"/>
  <c r="L25" i="23"/>
  <c r="K25" i="23"/>
  <c r="Q24" i="23"/>
  <c r="X24" i="23" s="1"/>
  <c r="AE24" i="23" s="1"/>
  <c r="P24" i="23"/>
  <c r="W24" i="23" s="1"/>
  <c r="AD24" i="23" s="1"/>
  <c r="O24" i="23"/>
  <c r="V24" i="23" s="1"/>
  <c r="AC24" i="23" s="1"/>
  <c r="N24" i="23"/>
  <c r="M24" i="23"/>
  <c r="T24" i="23" s="1"/>
  <c r="AA24" i="23" s="1"/>
  <c r="L24" i="23"/>
  <c r="S24" i="23" s="1"/>
  <c r="Z24" i="23" s="1"/>
  <c r="K24" i="23"/>
  <c r="R24" i="23" s="1"/>
  <c r="Y24" i="23" s="1"/>
  <c r="Q23" i="23"/>
  <c r="X23" i="23" s="1"/>
  <c r="AE23" i="23" s="1"/>
  <c r="P23" i="23"/>
  <c r="W23" i="23" s="1"/>
  <c r="AD23" i="23" s="1"/>
  <c r="O23" i="23"/>
  <c r="V23" i="23" s="1"/>
  <c r="AC23" i="23" s="1"/>
  <c r="N23" i="23"/>
  <c r="M23" i="23"/>
  <c r="L23" i="23"/>
  <c r="S23" i="23" s="1"/>
  <c r="Z23" i="23" s="1"/>
  <c r="K23" i="23"/>
  <c r="R23" i="23" s="1"/>
  <c r="Y23" i="23" s="1"/>
  <c r="Q22" i="23"/>
  <c r="X22" i="23" s="1"/>
  <c r="AE22" i="23" s="1"/>
  <c r="P22" i="23"/>
  <c r="W22" i="23" s="1"/>
  <c r="AD22" i="23" s="1"/>
  <c r="O22" i="23"/>
  <c r="V22" i="23" s="1"/>
  <c r="AC22" i="23" s="1"/>
  <c r="N22" i="23"/>
  <c r="M22" i="23"/>
  <c r="T22" i="23" s="1"/>
  <c r="AA22" i="23" s="1"/>
  <c r="L22" i="23"/>
  <c r="K22" i="23"/>
  <c r="R22" i="23" s="1"/>
  <c r="Y22" i="23" s="1"/>
  <c r="Q21" i="23"/>
  <c r="X21" i="23" s="1"/>
  <c r="AE21" i="23" s="1"/>
  <c r="P21" i="23"/>
  <c r="W21" i="23" s="1"/>
  <c r="AD21" i="23" s="1"/>
  <c r="O21" i="23"/>
  <c r="N21" i="23"/>
  <c r="U21" i="23" s="1"/>
  <c r="AB21" i="23" s="1"/>
  <c r="M21" i="23"/>
  <c r="L21" i="23"/>
  <c r="S21" i="23" s="1"/>
  <c r="Z21" i="23" s="1"/>
  <c r="K21" i="23"/>
  <c r="Q20" i="23"/>
  <c r="X20" i="23" s="1"/>
  <c r="AE20" i="23" s="1"/>
  <c r="P20" i="23"/>
  <c r="W20" i="23" s="1"/>
  <c r="AD20" i="23" s="1"/>
  <c r="O20" i="23"/>
  <c r="V20" i="23" s="1"/>
  <c r="AC20" i="23" s="1"/>
  <c r="N20" i="23"/>
  <c r="M20" i="23"/>
  <c r="L20" i="23"/>
  <c r="S20" i="23" s="1"/>
  <c r="Z20" i="23" s="1"/>
  <c r="K20" i="23"/>
  <c r="R20" i="23" s="1"/>
  <c r="Y20" i="23" s="1"/>
  <c r="Q19" i="23"/>
  <c r="P19" i="23"/>
  <c r="W19" i="23" s="1"/>
  <c r="AD19" i="23" s="1"/>
  <c r="O19" i="23"/>
  <c r="V19" i="23" s="1"/>
  <c r="AC19" i="23" s="1"/>
  <c r="N19" i="23"/>
  <c r="U19" i="23" s="1"/>
  <c r="AB19" i="23" s="1"/>
  <c r="M19" i="23"/>
  <c r="L19" i="23"/>
  <c r="S19" i="23" s="1"/>
  <c r="Z19" i="23" s="1"/>
  <c r="K19" i="23"/>
  <c r="Q18" i="23"/>
  <c r="X18" i="23" s="1"/>
  <c r="AE18" i="23" s="1"/>
  <c r="P18" i="23"/>
  <c r="O18" i="23"/>
  <c r="V18" i="23" s="1"/>
  <c r="AC18" i="23" s="1"/>
  <c r="N18" i="23"/>
  <c r="U18" i="23" s="1"/>
  <c r="AB18" i="23" s="1"/>
  <c r="M18" i="23"/>
  <c r="T18" i="23" s="1"/>
  <c r="AA18" i="23" s="1"/>
  <c r="L18" i="23"/>
  <c r="K18" i="23"/>
  <c r="Q17" i="23"/>
  <c r="P17" i="23"/>
  <c r="W17" i="23" s="1"/>
  <c r="AD17" i="23" s="1"/>
  <c r="O17" i="23"/>
  <c r="V17" i="23" s="1"/>
  <c r="AC17" i="23" s="1"/>
  <c r="N17" i="23"/>
  <c r="U17" i="23" s="1"/>
  <c r="AB17" i="23" s="1"/>
  <c r="M17" i="23"/>
  <c r="L17" i="23"/>
  <c r="K17" i="23"/>
  <c r="R17" i="23" s="1"/>
  <c r="Y17" i="23" s="1"/>
  <c r="Q16" i="23"/>
  <c r="P16" i="23"/>
  <c r="W16" i="23" s="1"/>
  <c r="AD16" i="23" s="1"/>
  <c r="O16" i="23"/>
  <c r="V16" i="23" s="1"/>
  <c r="AC16" i="23" s="1"/>
  <c r="N16" i="23"/>
  <c r="U16" i="23" s="1"/>
  <c r="AB16" i="23" s="1"/>
  <c r="M16" i="23"/>
  <c r="L16" i="23"/>
  <c r="K16" i="23"/>
  <c r="R16" i="23" s="1"/>
  <c r="Y16" i="23" s="1"/>
  <c r="Q15" i="23"/>
  <c r="X15" i="23" s="1"/>
  <c r="AE15" i="23" s="1"/>
  <c r="P15" i="23"/>
  <c r="W15" i="23" s="1"/>
  <c r="AD15" i="23" s="1"/>
  <c r="O15" i="23"/>
  <c r="N15" i="23"/>
  <c r="U15" i="23" s="1"/>
  <c r="AB15" i="23" s="1"/>
  <c r="M15" i="23"/>
  <c r="T15" i="23" s="1"/>
  <c r="AA15" i="23" s="1"/>
  <c r="L15" i="23"/>
  <c r="S15" i="23" s="1"/>
  <c r="Z15" i="23" s="1"/>
  <c r="K15" i="23"/>
  <c r="Q14" i="23"/>
  <c r="X14" i="23" s="1"/>
  <c r="AE14" i="23" s="1"/>
  <c r="P14" i="23"/>
  <c r="O14" i="23"/>
  <c r="N14" i="23"/>
  <c r="U14" i="23" s="1"/>
  <c r="AB14" i="23" s="1"/>
  <c r="M14" i="23"/>
  <c r="T14" i="23" s="1"/>
  <c r="AA14" i="23" s="1"/>
  <c r="L14" i="23"/>
  <c r="K14" i="23"/>
  <c r="Q13" i="23"/>
  <c r="P13" i="23"/>
  <c r="O13" i="23"/>
  <c r="V13" i="23" s="1"/>
  <c r="AC13" i="23" s="1"/>
  <c r="N13" i="23"/>
  <c r="U13" i="23" s="1"/>
  <c r="AB13" i="23" s="1"/>
  <c r="M13" i="23"/>
  <c r="L13" i="23"/>
  <c r="K13" i="23"/>
  <c r="Q12" i="23"/>
  <c r="X12" i="23" s="1"/>
  <c r="AE12" i="23" s="1"/>
  <c r="P12" i="23"/>
  <c r="O12" i="23"/>
  <c r="V12" i="23" s="1"/>
  <c r="AC12" i="23" s="1"/>
  <c r="N12" i="23"/>
  <c r="U12" i="23" s="1"/>
  <c r="AB12" i="23" s="1"/>
  <c r="M12" i="23"/>
  <c r="T12" i="23" s="1"/>
  <c r="AA12" i="23" s="1"/>
  <c r="L12" i="23"/>
  <c r="K12" i="23"/>
  <c r="R12" i="23" s="1"/>
  <c r="Y12" i="23" s="1"/>
  <c r="Q11" i="23"/>
  <c r="X11" i="23" s="1"/>
  <c r="AE11" i="23" s="1"/>
  <c r="P11" i="23"/>
  <c r="W11" i="23" s="1"/>
  <c r="AD11" i="23" s="1"/>
  <c r="O11" i="23"/>
  <c r="N11" i="23"/>
  <c r="M11" i="23"/>
  <c r="T11" i="23" s="1"/>
  <c r="AA11" i="23" s="1"/>
  <c r="L11" i="23"/>
  <c r="S11" i="23" s="1"/>
  <c r="Z11" i="23" s="1"/>
  <c r="K11" i="23"/>
  <c r="Q10" i="23"/>
  <c r="X10" i="23" s="1"/>
  <c r="AE10" i="23" s="1"/>
  <c r="P10" i="23"/>
  <c r="W10" i="23" s="1"/>
  <c r="AD10" i="23" s="1"/>
  <c r="O10" i="23"/>
  <c r="N10" i="23"/>
  <c r="M10" i="23"/>
  <c r="T10" i="23" s="1"/>
  <c r="AA10" i="23" s="1"/>
  <c r="L10" i="23"/>
  <c r="S10" i="23" s="1"/>
  <c r="Z10" i="23" s="1"/>
  <c r="K10" i="23"/>
  <c r="Q9" i="23"/>
  <c r="X9" i="23" s="1"/>
  <c r="AE9" i="23" s="1"/>
  <c r="P9" i="23"/>
  <c r="O9" i="23"/>
  <c r="N9" i="23"/>
  <c r="U9" i="23" s="1"/>
  <c r="AB9" i="23" s="1"/>
  <c r="M9" i="23"/>
  <c r="T9" i="23" s="1"/>
  <c r="AA9" i="23" s="1"/>
  <c r="L9" i="23"/>
  <c r="K9" i="23"/>
  <c r="Q8" i="23"/>
  <c r="X8" i="23" s="1"/>
  <c r="AE8" i="23" s="1"/>
  <c r="P8" i="23"/>
  <c r="W8" i="23" s="1"/>
  <c r="AD8" i="23" s="1"/>
  <c r="O8" i="23"/>
  <c r="V8" i="23" s="1"/>
  <c r="AC8" i="23" s="1"/>
  <c r="N8" i="23"/>
  <c r="M8" i="23"/>
  <c r="T8" i="23" s="1"/>
  <c r="AA8" i="23" s="1"/>
  <c r="L8" i="23"/>
  <c r="S8" i="23" s="1"/>
  <c r="Z8" i="23" s="1"/>
  <c r="K8" i="23"/>
  <c r="R8" i="23" s="1"/>
  <c r="Y8" i="23" s="1"/>
  <c r="Q7" i="23"/>
  <c r="X7" i="23" s="1"/>
  <c r="AE7" i="23" s="1"/>
  <c r="P7" i="23"/>
  <c r="W7" i="23" s="1"/>
  <c r="AD7" i="23" s="1"/>
  <c r="O7" i="23"/>
  <c r="V7" i="23" s="1"/>
  <c r="AC7" i="23" s="1"/>
  <c r="N7" i="23"/>
  <c r="M7" i="23"/>
  <c r="L7" i="23"/>
  <c r="S7" i="23" s="1"/>
  <c r="Z7" i="23" s="1"/>
  <c r="K7" i="23"/>
  <c r="R7" i="23" s="1"/>
  <c r="Y7" i="23" s="1"/>
  <c r="Q6" i="23"/>
  <c r="X6" i="23" s="1"/>
  <c r="AE6" i="23" s="1"/>
  <c r="P6" i="23"/>
  <c r="W6" i="23" s="1"/>
  <c r="AD6" i="23" s="1"/>
  <c r="O6" i="23"/>
  <c r="V6" i="23" s="1"/>
  <c r="AC6" i="23" s="1"/>
  <c r="N6" i="23"/>
  <c r="M6" i="23"/>
  <c r="T6" i="23" s="1"/>
  <c r="AA6" i="23" s="1"/>
  <c r="L6" i="23"/>
  <c r="K6" i="23"/>
  <c r="R6" i="23" s="1"/>
  <c r="Y6" i="23" s="1"/>
  <c r="Q5" i="23"/>
  <c r="X5" i="23" s="1"/>
  <c r="AE5" i="23" s="1"/>
  <c r="P5" i="23"/>
  <c r="W5" i="23" s="1"/>
  <c r="AD5" i="23" s="1"/>
  <c r="O5" i="23"/>
  <c r="N5" i="23"/>
  <c r="U5" i="23" s="1"/>
  <c r="AB5" i="23" s="1"/>
  <c r="M5" i="23"/>
  <c r="L5" i="23"/>
  <c r="S5" i="23" s="1"/>
  <c r="Z5" i="23" s="1"/>
  <c r="K5" i="23"/>
  <c r="Q4" i="23"/>
  <c r="X4" i="23" s="1"/>
  <c r="AE4" i="23" s="1"/>
  <c r="P4" i="23"/>
  <c r="W4" i="23" s="1"/>
  <c r="AD4" i="23" s="1"/>
  <c r="O4" i="23"/>
  <c r="V4" i="23" s="1"/>
  <c r="AC4" i="23" s="1"/>
  <c r="N4" i="23"/>
  <c r="U4" i="23" s="1"/>
  <c r="AB4" i="23" s="1"/>
  <c r="M4" i="23"/>
  <c r="T4" i="23" s="1"/>
  <c r="AA4" i="23" s="1"/>
  <c r="L4" i="23"/>
  <c r="S4" i="23" s="1"/>
  <c r="Z4" i="23" s="1"/>
  <c r="K4" i="23"/>
  <c r="R4" i="23" s="1"/>
  <c r="Y4" i="23" s="1"/>
  <c r="R82" i="23" l="1"/>
  <c r="Y82" i="23" s="1"/>
  <c r="V21" i="23"/>
  <c r="AC21" i="23" s="1"/>
  <c r="T21" i="23"/>
  <c r="AA21" i="23" s="1"/>
  <c r="X51" i="23"/>
  <c r="AE51" i="23" s="1"/>
  <c r="V51" i="23"/>
  <c r="AC51" i="23" s="1"/>
  <c r="R21" i="23"/>
  <c r="Y21" i="23" s="1"/>
  <c r="R102" i="24"/>
  <c r="Y102" i="24" s="1"/>
  <c r="T100" i="24"/>
  <c r="AA100" i="24" s="1"/>
  <c r="S100" i="24"/>
  <c r="Z100" i="24" s="1"/>
  <c r="T99" i="24"/>
  <c r="AA99" i="24" s="1"/>
  <c r="AD98" i="24"/>
  <c r="S97" i="24"/>
  <c r="Z97" i="24" s="1"/>
  <c r="X95" i="24"/>
  <c r="AE95" i="24" s="1"/>
  <c r="R94" i="24"/>
  <c r="Y94" i="24" s="1"/>
  <c r="AE93" i="24"/>
  <c r="T92" i="24"/>
  <c r="AA92" i="24" s="1"/>
  <c r="X91" i="24"/>
  <c r="AE91" i="24" s="1"/>
  <c r="U91" i="24"/>
  <c r="AB91" i="24" s="1"/>
  <c r="T91" i="24"/>
  <c r="AA91" i="24" s="1"/>
  <c r="W90" i="24"/>
  <c r="AD90" i="24" s="1"/>
  <c r="R90" i="24"/>
  <c r="Y90" i="24" s="1"/>
  <c r="U87" i="24"/>
  <c r="AB87" i="24" s="1"/>
  <c r="T87" i="24"/>
  <c r="AA87" i="24" s="1"/>
  <c r="W86" i="24"/>
  <c r="AD86" i="24" s="1"/>
  <c r="R86" i="24"/>
  <c r="Y86" i="24" s="1"/>
  <c r="S84" i="24"/>
  <c r="Z84" i="24" s="1"/>
  <c r="V83" i="24"/>
  <c r="AC83" i="24" s="1"/>
  <c r="U83" i="24"/>
  <c r="AB83" i="24" s="1"/>
  <c r="T81" i="24"/>
  <c r="AA81" i="24" s="1"/>
  <c r="V79" i="24"/>
  <c r="AC79" i="24" s="1"/>
  <c r="U79" i="24"/>
  <c r="AB79" i="24" s="1"/>
  <c r="AD75" i="24"/>
  <c r="T75" i="24"/>
  <c r="AA75" i="24" s="1"/>
  <c r="T54" i="24"/>
  <c r="AA54" i="24" s="1"/>
  <c r="U53" i="24"/>
  <c r="AB53" i="24" s="1"/>
  <c r="U52" i="24"/>
  <c r="AB52" i="24" s="1"/>
  <c r="V51" i="24"/>
  <c r="AC51" i="24" s="1"/>
  <c r="AD50" i="24"/>
  <c r="X50" i="24"/>
  <c r="AE50" i="24" s="1"/>
  <c r="T46" i="24"/>
  <c r="AA46" i="24" s="1"/>
  <c r="T45" i="24"/>
  <c r="AA45" i="24" s="1"/>
  <c r="T44" i="24"/>
  <c r="AA44" i="24" s="1"/>
  <c r="R44" i="24"/>
  <c r="Y44" i="24" s="1"/>
  <c r="R11" i="24"/>
  <c r="Y11" i="24" s="1"/>
  <c r="S10" i="24"/>
  <c r="Z10" i="24" s="1"/>
  <c r="R98" i="23"/>
  <c r="Y98" i="23" s="1"/>
  <c r="U91" i="23"/>
  <c r="AB91" i="23" s="1"/>
  <c r="R90" i="23"/>
  <c r="Y90" i="23" s="1"/>
  <c r="AE72" i="24"/>
  <c r="U72" i="24"/>
  <c r="AB72" i="24" s="1"/>
  <c r="T72" i="24"/>
  <c r="AA72" i="24" s="1"/>
  <c r="V71" i="24"/>
  <c r="AC71" i="24" s="1"/>
  <c r="R71" i="24"/>
  <c r="Y71" i="24" s="1"/>
  <c r="AE70" i="24"/>
  <c r="S70" i="24"/>
  <c r="Z70" i="24" s="1"/>
  <c r="V69" i="24"/>
  <c r="AC69" i="24" s="1"/>
  <c r="T69" i="24"/>
  <c r="AA69" i="24" s="1"/>
  <c r="U68" i="24"/>
  <c r="AB68" i="24" s="1"/>
  <c r="V67" i="24"/>
  <c r="AC67" i="24" s="1"/>
  <c r="W66" i="24"/>
  <c r="AD66" i="24" s="1"/>
  <c r="S66" i="24"/>
  <c r="Z66" i="24" s="1"/>
  <c r="X65" i="24"/>
  <c r="AE65" i="24" s="1"/>
  <c r="T65" i="24"/>
  <c r="AA65" i="24" s="1"/>
  <c r="AE64" i="24"/>
  <c r="U64" i="24"/>
  <c r="AB64" i="24" s="1"/>
  <c r="T64" i="24"/>
  <c r="AA64" i="24" s="1"/>
  <c r="W63" i="24"/>
  <c r="AD63" i="24" s="1"/>
  <c r="S63" i="24"/>
  <c r="Z63" i="24" s="1"/>
  <c r="X62" i="24"/>
  <c r="AE62" i="24" s="1"/>
  <c r="W62" i="24"/>
  <c r="AD62" i="24" s="1"/>
  <c r="S62" i="24"/>
  <c r="Z62" i="24" s="1"/>
  <c r="X61" i="24"/>
  <c r="AE61" i="24" s="1"/>
  <c r="U61" i="24"/>
  <c r="AB61" i="24" s="1"/>
  <c r="T61" i="24"/>
  <c r="AA61" i="24" s="1"/>
  <c r="X60" i="24"/>
  <c r="AE60" i="24" s="1"/>
  <c r="V60" i="24"/>
  <c r="AC60" i="24" s="1"/>
  <c r="R60" i="24"/>
  <c r="Y60" i="24" s="1"/>
  <c r="W59" i="24"/>
  <c r="AD59" i="24" s="1"/>
  <c r="S59" i="24"/>
  <c r="Z59" i="24" s="1"/>
  <c r="T58" i="24"/>
  <c r="AA58" i="24" s="1"/>
  <c r="U57" i="24"/>
  <c r="AB57" i="24" s="1"/>
  <c r="T57" i="24"/>
  <c r="AA57" i="24" s="1"/>
  <c r="X56" i="24"/>
  <c r="AE56" i="24" s="1"/>
  <c r="U55" i="24"/>
  <c r="AB55" i="24" s="1"/>
  <c r="T53" i="24"/>
  <c r="AA53" i="24" s="1"/>
  <c r="T52" i="24"/>
  <c r="AA52" i="24" s="1"/>
  <c r="W51" i="24"/>
  <c r="AD51" i="24" s="1"/>
  <c r="U47" i="24"/>
  <c r="AB47" i="24" s="1"/>
  <c r="S43" i="24"/>
  <c r="Z43" i="24" s="1"/>
  <c r="U13" i="24"/>
  <c r="AB13" i="24" s="1"/>
  <c r="V11" i="24"/>
  <c r="AC11" i="24" s="1"/>
  <c r="X10" i="24"/>
  <c r="AE10" i="24" s="1"/>
  <c r="T10" i="24"/>
  <c r="AA10" i="24" s="1"/>
  <c r="U9" i="24"/>
  <c r="AB9" i="24" s="1"/>
  <c r="X8" i="24"/>
  <c r="AE8" i="24" s="1"/>
  <c r="T8" i="24"/>
  <c r="AA8" i="24" s="1"/>
  <c r="X4" i="24"/>
  <c r="AE4" i="24" s="1"/>
  <c r="U4" i="24"/>
  <c r="AB4" i="24" s="1"/>
  <c r="R100" i="23"/>
  <c r="Y100" i="23" s="1"/>
  <c r="S97" i="23"/>
  <c r="Z97" i="23" s="1"/>
  <c r="W91" i="23"/>
  <c r="AD91" i="23" s="1"/>
  <c r="Y87" i="23"/>
  <c r="S85" i="23"/>
  <c r="Z85" i="23" s="1"/>
  <c r="T83" i="23"/>
  <c r="AA83" i="23" s="1"/>
  <c r="X42" i="24"/>
  <c r="AE42" i="24" s="1"/>
  <c r="AA41" i="24"/>
  <c r="W41" i="24"/>
  <c r="AD41" i="24" s="1"/>
  <c r="X40" i="24"/>
  <c r="AE40" i="24" s="1"/>
  <c r="R40" i="24"/>
  <c r="Y40" i="24" s="1"/>
  <c r="U39" i="24"/>
  <c r="AB39" i="24" s="1"/>
  <c r="W38" i="24"/>
  <c r="AD38" i="24" s="1"/>
  <c r="V38" i="24"/>
  <c r="AC38" i="24" s="1"/>
  <c r="S38" i="24"/>
  <c r="Z38" i="24" s="1"/>
  <c r="R38" i="24"/>
  <c r="Y38" i="24" s="1"/>
  <c r="S37" i="24"/>
  <c r="Z37" i="24" s="1"/>
  <c r="V36" i="24"/>
  <c r="AC36" i="24" s="1"/>
  <c r="R36" i="24"/>
  <c r="Y36" i="24" s="1"/>
  <c r="AA35" i="24"/>
  <c r="S35" i="24"/>
  <c r="Z35" i="24" s="1"/>
  <c r="R35" i="24"/>
  <c r="Y35" i="24" s="1"/>
  <c r="AA33" i="24"/>
  <c r="W33" i="24"/>
  <c r="AD33" i="24" s="1"/>
  <c r="X32" i="24"/>
  <c r="AE32" i="24" s="1"/>
  <c r="U31" i="24"/>
  <c r="AB31" i="24" s="1"/>
  <c r="X30" i="24"/>
  <c r="AE30" i="24" s="1"/>
  <c r="W30" i="24"/>
  <c r="AD30" i="24" s="1"/>
  <c r="T30" i="24"/>
  <c r="AA30" i="24" s="1"/>
  <c r="S30" i="24"/>
  <c r="Z30" i="24" s="1"/>
  <c r="R30" i="24"/>
  <c r="Y30" i="24" s="1"/>
  <c r="T29" i="24"/>
  <c r="AA29" i="24" s="1"/>
  <c r="S29" i="24"/>
  <c r="Z29" i="24" s="1"/>
  <c r="T28" i="24"/>
  <c r="AA28" i="24" s="1"/>
  <c r="R28" i="24"/>
  <c r="Y28" i="24" s="1"/>
  <c r="S27" i="24"/>
  <c r="Z27" i="24" s="1"/>
  <c r="X26" i="24"/>
  <c r="AE26" i="24" s="1"/>
  <c r="T26" i="24"/>
  <c r="AA26" i="24" s="1"/>
  <c r="S26" i="24"/>
  <c r="Z26" i="24" s="1"/>
  <c r="R25" i="24"/>
  <c r="Y25" i="24" s="1"/>
  <c r="S24" i="24"/>
  <c r="Z24" i="24" s="1"/>
  <c r="W23" i="24"/>
  <c r="AD23" i="24" s="1"/>
  <c r="S23" i="24"/>
  <c r="Z23" i="24" s="1"/>
  <c r="R23" i="24"/>
  <c r="Y23" i="24" s="1"/>
  <c r="U22" i="24"/>
  <c r="AB22" i="24" s="1"/>
  <c r="T22" i="24"/>
  <c r="AA22" i="24" s="1"/>
  <c r="U21" i="24"/>
  <c r="AB21" i="24" s="1"/>
  <c r="W20" i="24"/>
  <c r="AD20" i="24" s="1"/>
  <c r="S20" i="24"/>
  <c r="Z20" i="24" s="1"/>
  <c r="R20" i="24"/>
  <c r="Y20" i="24" s="1"/>
  <c r="X19" i="24"/>
  <c r="AE19" i="24" s="1"/>
  <c r="W19" i="24"/>
  <c r="AD19" i="24" s="1"/>
  <c r="T19" i="24"/>
  <c r="AA19" i="24" s="1"/>
  <c r="R19" i="24"/>
  <c r="Y19" i="24" s="1"/>
  <c r="T18" i="24"/>
  <c r="AA18" i="24" s="1"/>
  <c r="U16" i="24"/>
  <c r="AB16" i="24" s="1"/>
  <c r="AD9" i="24"/>
  <c r="W101" i="23"/>
  <c r="AD101" i="23" s="1"/>
  <c r="X100" i="23"/>
  <c r="AE100" i="23" s="1"/>
  <c r="W93" i="23"/>
  <c r="AD93" i="23" s="1"/>
  <c r="X92" i="23"/>
  <c r="AE92" i="23" s="1"/>
  <c r="T92" i="23"/>
  <c r="AA92" i="23" s="1"/>
  <c r="AE89" i="23"/>
  <c r="S89" i="23"/>
  <c r="Z89" i="23" s="1"/>
  <c r="S88" i="23"/>
  <c r="Z88" i="23" s="1"/>
  <c r="R84" i="23"/>
  <c r="Y84" i="23" s="1"/>
  <c r="W81" i="23"/>
  <c r="AD81" i="23" s="1"/>
  <c r="S81" i="23"/>
  <c r="Z81" i="23" s="1"/>
  <c r="R81" i="23"/>
  <c r="Y81" i="23" s="1"/>
  <c r="X80" i="23"/>
  <c r="AE80" i="23" s="1"/>
  <c r="T80" i="23"/>
  <c r="AA80" i="23" s="1"/>
  <c r="S80" i="23"/>
  <c r="Z80" i="23" s="1"/>
  <c r="X79" i="23"/>
  <c r="AE79" i="23" s="1"/>
  <c r="R77" i="23"/>
  <c r="Y77" i="23" s="1"/>
  <c r="U76" i="23"/>
  <c r="AB76" i="23" s="1"/>
  <c r="S76" i="23"/>
  <c r="Z76" i="23" s="1"/>
  <c r="W75" i="23"/>
  <c r="AD75" i="23" s="1"/>
  <c r="R75" i="23"/>
  <c r="Y75" i="23" s="1"/>
  <c r="AB74" i="23"/>
  <c r="X74" i="23"/>
  <c r="AE74" i="23" s="1"/>
  <c r="T74" i="23"/>
  <c r="AA74" i="23" s="1"/>
  <c r="S74" i="23"/>
  <c r="Z74" i="23" s="1"/>
  <c r="V73" i="23"/>
  <c r="AC73" i="23" s="1"/>
  <c r="U73" i="23"/>
  <c r="AB73" i="23" s="1"/>
  <c r="R73" i="23"/>
  <c r="Y73" i="23" s="1"/>
  <c r="V72" i="23"/>
  <c r="AC72" i="23" s="1"/>
  <c r="R72" i="23"/>
  <c r="Y72" i="23" s="1"/>
  <c r="AD71" i="23"/>
  <c r="X71" i="23"/>
  <c r="AE71" i="23" s="1"/>
  <c r="X68" i="23"/>
  <c r="AE68" i="23" s="1"/>
  <c r="T68" i="23"/>
  <c r="AA68" i="23" s="1"/>
  <c r="S68" i="23"/>
  <c r="Z68" i="23" s="1"/>
  <c r="V67" i="23"/>
  <c r="AC67" i="23" s="1"/>
  <c r="U67" i="23"/>
  <c r="AB67" i="23" s="1"/>
  <c r="R67" i="23"/>
  <c r="Y67" i="23" s="1"/>
  <c r="W66" i="23"/>
  <c r="AD66" i="23" s="1"/>
  <c r="S66" i="23"/>
  <c r="Z66" i="23" s="1"/>
  <c r="R66" i="23"/>
  <c r="Y66" i="23" s="1"/>
  <c r="X65" i="23"/>
  <c r="AE65" i="23" s="1"/>
  <c r="R63" i="23"/>
  <c r="Y63" i="23" s="1"/>
  <c r="U62" i="23"/>
  <c r="AB62" i="23" s="1"/>
  <c r="S62" i="23"/>
  <c r="Z62" i="23" s="1"/>
  <c r="V61" i="23"/>
  <c r="AC61" i="23" s="1"/>
  <c r="R61" i="23"/>
  <c r="Y61" i="23" s="1"/>
  <c r="W60" i="23"/>
  <c r="AD60" i="23" s="1"/>
  <c r="S60" i="23"/>
  <c r="Z60" i="23" s="1"/>
  <c r="V59" i="23"/>
  <c r="AC59" i="23" s="1"/>
  <c r="U59" i="23"/>
  <c r="AB59" i="23" s="1"/>
  <c r="R59" i="23"/>
  <c r="Y59" i="23" s="1"/>
  <c r="V58" i="23"/>
  <c r="AC58" i="23" s="1"/>
  <c r="R58" i="23"/>
  <c r="Y58" i="23" s="1"/>
  <c r="U55" i="23"/>
  <c r="AB55" i="23" s="1"/>
  <c r="S54" i="23"/>
  <c r="Z54" i="23" s="1"/>
  <c r="T53" i="23"/>
  <c r="AA53" i="23" s="1"/>
  <c r="W52" i="23"/>
  <c r="AD52" i="23" s="1"/>
  <c r="U52" i="23"/>
  <c r="AB52" i="23" s="1"/>
  <c r="AB44" i="23"/>
  <c r="S44" i="23"/>
  <c r="Z44" i="23" s="1"/>
  <c r="W42" i="23"/>
  <c r="AD42" i="23" s="1"/>
  <c r="R42" i="23"/>
  <c r="Y42" i="23" s="1"/>
  <c r="X41" i="23"/>
  <c r="AE41" i="23" s="1"/>
  <c r="R41" i="23"/>
  <c r="Y41" i="23" s="1"/>
  <c r="X37" i="23"/>
  <c r="AE37" i="23" s="1"/>
  <c r="V37" i="23"/>
  <c r="AC37" i="23" s="1"/>
  <c r="R37" i="23"/>
  <c r="Y37" i="23" s="1"/>
  <c r="V36" i="23"/>
  <c r="AC36" i="23" s="1"/>
  <c r="V26" i="23"/>
  <c r="AC26" i="23" s="1"/>
  <c r="R26" i="23"/>
  <c r="Y26" i="23" s="1"/>
  <c r="V25" i="23"/>
  <c r="AC25" i="23" s="1"/>
  <c r="R25" i="23"/>
  <c r="Y25" i="23" s="1"/>
  <c r="U23" i="23"/>
  <c r="AB23" i="23" s="1"/>
  <c r="T23" i="23"/>
  <c r="AA23" i="23" s="1"/>
  <c r="U22" i="23"/>
  <c r="AB22" i="23" s="1"/>
  <c r="X54" i="24"/>
  <c r="AE54" i="24" s="1"/>
  <c r="X46" i="24"/>
  <c r="AE46" i="24" s="1"/>
  <c r="S19" i="24"/>
  <c r="Z19" i="24" s="1"/>
  <c r="X18" i="24"/>
  <c r="AE18" i="24" s="1"/>
  <c r="R17" i="24"/>
  <c r="Y17" i="24" s="1"/>
  <c r="S16" i="24"/>
  <c r="Z16" i="24" s="1"/>
  <c r="X15" i="24"/>
  <c r="AE15" i="24" s="1"/>
  <c r="S15" i="24"/>
  <c r="Z15" i="24" s="1"/>
  <c r="T13" i="24"/>
  <c r="AA13" i="24" s="1"/>
  <c r="R51" i="23"/>
  <c r="Y51" i="23" s="1"/>
  <c r="S50" i="23"/>
  <c r="Z50" i="23" s="1"/>
  <c r="S49" i="23"/>
  <c r="Z49" i="23" s="1"/>
  <c r="R49" i="23"/>
  <c r="Y49" i="23" s="1"/>
  <c r="AE48" i="23"/>
  <c r="R47" i="23"/>
  <c r="Y47" i="23" s="1"/>
  <c r="R46" i="23"/>
  <c r="Y46" i="23" s="1"/>
  <c r="X45" i="23"/>
  <c r="AE45" i="23" s="1"/>
  <c r="R45" i="23"/>
  <c r="Y45" i="23" s="1"/>
  <c r="X44" i="23"/>
  <c r="AE44" i="23" s="1"/>
  <c r="T44" i="23"/>
  <c r="AA44" i="23" s="1"/>
  <c r="T43" i="23"/>
  <c r="AA43" i="23" s="1"/>
  <c r="S42" i="23"/>
  <c r="Z42" i="23" s="1"/>
  <c r="Z39" i="23"/>
  <c r="R39" i="23"/>
  <c r="Y39" i="23" s="1"/>
  <c r="R36" i="23"/>
  <c r="Y36" i="23" s="1"/>
  <c r="S35" i="23"/>
  <c r="Z35" i="23" s="1"/>
  <c r="U34" i="23"/>
  <c r="AB34" i="23" s="1"/>
  <c r="S34" i="23"/>
  <c r="Z34" i="23" s="1"/>
  <c r="S33" i="23"/>
  <c r="Z33" i="23" s="1"/>
  <c r="X32" i="23"/>
  <c r="AE32" i="23" s="1"/>
  <c r="T32" i="23"/>
  <c r="AA32" i="23" s="1"/>
  <c r="S32" i="23"/>
  <c r="Z32" i="23" s="1"/>
  <c r="T31" i="23"/>
  <c r="AA31" i="23" s="1"/>
  <c r="W30" i="23"/>
  <c r="AD30" i="23" s="1"/>
  <c r="V30" i="23"/>
  <c r="AC30" i="23" s="1"/>
  <c r="S30" i="23"/>
  <c r="Z30" i="23" s="1"/>
  <c r="R30" i="23"/>
  <c r="Y30" i="23" s="1"/>
  <c r="X29" i="23"/>
  <c r="AE29" i="23" s="1"/>
  <c r="W29" i="23"/>
  <c r="AD29" i="23" s="1"/>
  <c r="T29" i="23"/>
  <c r="AA29" i="23" s="1"/>
  <c r="S29" i="23"/>
  <c r="Z29" i="23" s="1"/>
  <c r="R29" i="23"/>
  <c r="Y29" i="23" s="1"/>
  <c r="W28" i="23"/>
  <c r="AD28" i="23" s="1"/>
  <c r="S28" i="23"/>
  <c r="Z28" i="23" s="1"/>
  <c r="V27" i="23"/>
  <c r="AC27" i="23" s="1"/>
  <c r="U27" i="23"/>
  <c r="AB27" i="23" s="1"/>
  <c r="R27" i="23"/>
  <c r="Y27" i="23" s="1"/>
  <c r="U26" i="23"/>
  <c r="AB26" i="23" s="1"/>
  <c r="W25" i="23"/>
  <c r="AD25" i="23" s="1"/>
  <c r="S25" i="23"/>
  <c r="Z25" i="23" s="1"/>
  <c r="U24" i="23"/>
  <c r="AB24" i="23" s="1"/>
  <c r="S22" i="23"/>
  <c r="Z22" i="23" s="1"/>
  <c r="X73" i="24"/>
  <c r="AE73" i="24" s="1"/>
  <c r="W73" i="24"/>
  <c r="AD73" i="24" s="1"/>
  <c r="X48" i="24"/>
  <c r="AE48" i="24" s="1"/>
  <c r="V48" i="24"/>
  <c r="AC48" i="24" s="1"/>
  <c r="X98" i="23"/>
  <c r="AE98" i="23" s="1"/>
  <c r="X96" i="23"/>
  <c r="AE96" i="23" s="1"/>
  <c r="S96" i="23"/>
  <c r="Z96" i="23" s="1"/>
  <c r="X88" i="23"/>
  <c r="AE88" i="23" s="1"/>
  <c r="U20" i="23"/>
  <c r="AB20" i="23" s="1"/>
  <c r="T20" i="23"/>
  <c r="AA20" i="23" s="1"/>
  <c r="X19" i="23"/>
  <c r="AE19" i="23" s="1"/>
  <c r="T19" i="23"/>
  <c r="AA19" i="23" s="1"/>
  <c r="R19" i="23"/>
  <c r="Y19" i="23" s="1"/>
  <c r="W18" i="23"/>
  <c r="AD18" i="23" s="1"/>
  <c r="S18" i="23"/>
  <c r="Z18" i="23" s="1"/>
  <c r="R18" i="23"/>
  <c r="Y18" i="23" s="1"/>
  <c r="X17" i="23"/>
  <c r="AE17" i="23" s="1"/>
  <c r="T17" i="23"/>
  <c r="AA17" i="23" s="1"/>
  <c r="S17" i="23"/>
  <c r="Z17" i="23" s="1"/>
  <c r="X16" i="23"/>
  <c r="AE16" i="23" s="1"/>
  <c r="T16" i="23"/>
  <c r="AA16" i="23" s="1"/>
  <c r="S16" i="23"/>
  <c r="Z16" i="23" s="1"/>
  <c r="V15" i="23"/>
  <c r="AC15" i="23" s="1"/>
  <c r="R15" i="23"/>
  <c r="Y15" i="23" s="1"/>
  <c r="W14" i="23"/>
  <c r="AD14" i="23" s="1"/>
  <c r="V14" i="23"/>
  <c r="AC14" i="23" s="1"/>
  <c r="S14" i="23"/>
  <c r="Z14" i="23" s="1"/>
  <c r="R14" i="23"/>
  <c r="Y14" i="23" s="1"/>
  <c r="X13" i="23"/>
  <c r="AE13" i="23" s="1"/>
  <c r="W13" i="23"/>
  <c r="AD13" i="23" s="1"/>
  <c r="T13" i="23"/>
  <c r="AA13" i="23" s="1"/>
  <c r="S13" i="23"/>
  <c r="Z13" i="23" s="1"/>
  <c r="R13" i="23"/>
  <c r="Y13" i="23" s="1"/>
  <c r="W12" i="23"/>
  <c r="AD12" i="23" s="1"/>
  <c r="S12" i="23"/>
  <c r="Z12" i="23" s="1"/>
  <c r="V11" i="23"/>
  <c r="AC11" i="23" s="1"/>
  <c r="U11" i="23"/>
  <c r="AB11" i="23" s="1"/>
  <c r="R11" i="23"/>
  <c r="Y11" i="23" s="1"/>
  <c r="V10" i="23"/>
  <c r="AC10" i="23" s="1"/>
  <c r="U10" i="23"/>
  <c r="AB10" i="23" s="1"/>
  <c r="R10" i="23"/>
  <c r="Y10" i="23" s="1"/>
  <c r="W9" i="23"/>
  <c r="AD9" i="23" s="1"/>
  <c r="V9" i="23"/>
  <c r="AC9" i="23" s="1"/>
  <c r="S9" i="23"/>
  <c r="Z9" i="23" s="1"/>
  <c r="R9" i="23"/>
  <c r="Y9" i="23" s="1"/>
  <c r="U8" i="23"/>
  <c r="AB8" i="23" s="1"/>
  <c r="U7" i="23"/>
  <c r="AB7" i="23" s="1"/>
  <c r="T7" i="23"/>
  <c r="AA7" i="23" s="1"/>
  <c r="U6" i="23"/>
  <c r="AB6" i="23" s="1"/>
  <c r="S6" i="23"/>
  <c r="Z6" i="23" s="1"/>
  <c r="V5" i="23"/>
  <c r="AC5" i="23" s="1"/>
  <c r="T5" i="23"/>
  <c r="AA5" i="23" s="1"/>
  <c r="R5" i="23"/>
  <c r="Y5" i="23" s="1"/>
  <c r="T95" i="24"/>
  <c r="AA95" i="24" s="1"/>
  <c r="V90" i="24"/>
  <c r="AC90" i="24" s="1"/>
  <c r="T89" i="24"/>
  <c r="AA89" i="24" s="1"/>
  <c r="S89" i="24"/>
  <c r="Z89" i="24" s="1"/>
  <c r="T88" i="24"/>
  <c r="AA88" i="24" s="1"/>
  <c r="S88" i="24"/>
  <c r="Z88" i="24" s="1"/>
  <c r="V86" i="24"/>
  <c r="AC86" i="24" s="1"/>
  <c r="W85" i="24"/>
  <c r="AD85" i="24" s="1"/>
  <c r="X84" i="24"/>
  <c r="AE84" i="24" s="1"/>
  <c r="W84" i="24"/>
  <c r="AD84" i="24" s="1"/>
  <c r="T84" i="24"/>
  <c r="AA84" i="24" s="1"/>
  <c r="W82" i="24"/>
  <c r="AD82" i="24" s="1"/>
  <c r="V82" i="24"/>
  <c r="AC82" i="24" s="1"/>
  <c r="R82" i="24"/>
  <c r="Y82" i="24" s="1"/>
  <c r="S81" i="24"/>
  <c r="Z81" i="24" s="1"/>
  <c r="V77" i="24"/>
  <c r="AC77" i="24" s="1"/>
  <c r="R77" i="24"/>
  <c r="Y77" i="24" s="1"/>
  <c r="S76" i="24"/>
  <c r="Z76" i="24" s="1"/>
  <c r="V74" i="24"/>
  <c r="AC74" i="24" s="1"/>
  <c r="U74" i="24"/>
  <c r="AB74" i="24" s="1"/>
  <c r="W47" i="24"/>
  <c r="AD47" i="24" s="1"/>
  <c r="U45" i="24"/>
  <c r="AB45" i="24" s="1"/>
  <c r="V17" i="24"/>
  <c r="AC17" i="24" s="1"/>
  <c r="U17" i="24"/>
  <c r="AB17" i="24" s="1"/>
  <c r="T15" i="24"/>
  <c r="AA15" i="24" s="1"/>
  <c r="R7" i="24"/>
  <c r="Y7" i="24" s="1"/>
  <c r="S6" i="24"/>
  <c r="Z6" i="24" s="1"/>
  <c r="T100" i="23"/>
  <c r="AA100" i="23" s="1"/>
  <c r="V98" i="23"/>
  <c r="AC98" i="23" s="1"/>
  <c r="AE97" i="23"/>
  <c r="W97" i="23"/>
  <c r="AD97" i="23" s="1"/>
  <c r="T96" i="23"/>
  <c r="AA96" i="23" s="1"/>
  <c r="U94" i="23"/>
  <c r="AB94" i="23" s="1"/>
  <c r="T88" i="23"/>
  <c r="AA88" i="23" s="1"/>
  <c r="U86" i="23"/>
  <c r="AB86" i="23" s="1"/>
  <c r="W84" i="23"/>
  <c r="AD84" i="23" s="1"/>
  <c r="U83" i="23"/>
  <c r="AB83" i="23" s="1"/>
  <c r="V82" i="23"/>
  <c r="AC82" i="23" s="1"/>
  <c r="X103" i="24"/>
  <c r="AE103" i="24" s="1"/>
  <c r="U99" i="23"/>
  <c r="AB99" i="23" s="1"/>
  <c r="V94" i="23"/>
  <c r="AC94" i="23" s="1"/>
  <c r="Q103" i="22"/>
  <c r="X103" i="22" s="1"/>
  <c r="AE103" i="22" s="1"/>
  <c r="P103" i="22"/>
  <c r="W103" i="22" s="1"/>
  <c r="AD103" i="22" s="1"/>
  <c r="O103" i="22"/>
  <c r="V103" i="22" s="1"/>
  <c r="AC103" i="22" s="1"/>
  <c r="N103" i="22"/>
  <c r="U103" i="22" s="1"/>
  <c r="AB103" i="22" s="1"/>
  <c r="M103" i="22"/>
  <c r="T103" i="22" s="1"/>
  <c r="AA103" i="22" s="1"/>
  <c r="L103" i="22"/>
  <c r="S103" i="22" s="1"/>
  <c r="Z103" i="22" s="1"/>
  <c r="K103" i="22"/>
  <c r="R103" i="22" s="1"/>
  <c r="Y103" i="22" s="1"/>
  <c r="Q102" i="22"/>
  <c r="X102" i="22" s="1"/>
  <c r="AE102" i="22" s="1"/>
  <c r="P102" i="22"/>
  <c r="W102" i="22" s="1"/>
  <c r="AD102" i="22" s="1"/>
  <c r="O102" i="22"/>
  <c r="V102" i="22" s="1"/>
  <c r="AC102" i="22" s="1"/>
  <c r="N102" i="22"/>
  <c r="U102" i="22" s="1"/>
  <c r="AB102" i="22" s="1"/>
  <c r="M102" i="22"/>
  <c r="T102" i="22" s="1"/>
  <c r="AA102" i="22" s="1"/>
  <c r="L102" i="22"/>
  <c r="S102" i="22" s="1"/>
  <c r="Z102" i="22" s="1"/>
  <c r="K102" i="22"/>
  <c r="R102" i="22" s="1"/>
  <c r="Y102" i="22" s="1"/>
  <c r="Q101" i="22"/>
  <c r="X101" i="22" s="1"/>
  <c r="AE101" i="22" s="1"/>
  <c r="P101" i="22"/>
  <c r="W101" i="22" s="1"/>
  <c r="AD101" i="22" s="1"/>
  <c r="O101" i="22"/>
  <c r="V101" i="22" s="1"/>
  <c r="AC101" i="22" s="1"/>
  <c r="N101" i="22"/>
  <c r="U101" i="22" s="1"/>
  <c r="AB101" i="22" s="1"/>
  <c r="M101" i="22"/>
  <c r="T101" i="22" s="1"/>
  <c r="AA101" i="22" s="1"/>
  <c r="L101" i="22"/>
  <c r="S101" i="22" s="1"/>
  <c r="Z101" i="22" s="1"/>
  <c r="K101" i="22"/>
  <c r="R101" i="22" s="1"/>
  <c r="Y101" i="22" s="1"/>
  <c r="Q100" i="22"/>
  <c r="X100" i="22" s="1"/>
  <c r="AE100" i="22" s="1"/>
  <c r="P100" i="22"/>
  <c r="W100" i="22" s="1"/>
  <c r="AD100" i="22" s="1"/>
  <c r="O100" i="22"/>
  <c r="V100" i="22" s="1"/>
  <c r="AC100" i="22" s="1"/>
  <c r="N100" i="22"/>
  <c r="U100" i="22" s="1"/>
  <c r="AB100" i="22" s="1"/>
  <c r="M100" i="22"/>
  <c r="T100" i="22" s="1"/>
  <c r="AA100" i="22" s="1"/>
  <c r="L100" i="22"/>
  <c r="S100" i="22" s="1"/>
  <c r="Z100" i="22" s="1"/>
  <c r="K100" i="22"/>
  <c r="R100" i="22" s="1"/>
  <c r="Y100" i="22" s="1"/>
  <c r="Q99" i="22"/>
  <c r="X99" i="22" s="1"/>
  <c r="AE99" i="22" s="1"/>
  <c r="P99" i="22"/>
  <c r="W99" i="22" s="1"/>
  <c r="AD99" i="22" s="1"/>
  <c r="O99" i="22"/>
  <c r="V99" i="22" s="1"/>
  <c r="AC99" i="22" s="1"/>
  <c r="N99" i="22"/>
  <c r="U99" i="22" s="1"/>
  <c r="AB99" i="22" s="1"/>
  <c r="M99" i="22"/>
  <c r="T99" i="22" s="1"/>
  <c r="AA99" i="22" s="1"/>
  <c r="L99" i="22"/>
  <c r="S99" i="22" s="1"/>
  <c r="Z99" i="22" s="1"/>
  <c r="K99" i="22"/>
  <c r="R99" i="22" s="1"/>
  <c r="Y99" i="22" s="1"/>
  <c r="Q98" i="22"/>
  <c r="X98" i="22" s="1"/>
  <c r="AE98" i="22" s="1"/>
  <c r="P98" i="22"/>
  <c r="W98" i="22" s="1"/>
  <c r="AD98" i="22" s="1"/>
  <c r="O98" i="22"/>
  <c r="V98" i="22" s="1"/>
  <c r="AC98" i="22" s="1"/>
  <c r="N98" i="22"/>
  <c r="U98" i="22" s="1"/>
  <c r="AB98" i="22" s="1"/>
  <c r="M98" i="22"/>
  <c r="T98" i="22" s="1"/>
  <c r="AA98" i="22" s="1"/>
  <c r="L98" i="22"/>
  <c r="S98" i="22" s="1"/>
  <c r="Z98" i="22" s="1"/>
  <c r="K98" i="22"/>
  <c r="R98" i="22" s="1"/>
  <c r="Y98" i="22" s="1"/>
  <c r="Q97" i="22"/>
  <c r="X97" i="22" s="1"/>
  <c r="AE97" i="22" s="1"/>
  <c r="P97" i="22"/>
  <c r="W97" i="22" s="1"/>
  <c r="AD97" i="22" s="1"/>
  <c r="O97" i="22"/>
  <c r="V97" i="22" s="1"/>
  <c r="AC97" i="22" s="1"/>
  <c r="N97" i="22"/>
  <c r="U97" i="22" s="1"/>
  <c r="AB97" i="22" s="1"/>
  <c r="M97" i="22"/>
  <c r="T97" i="22" s="1"/>
  <c r="AA97" i="22" s="1"/>
  <c r="L97" i="22"/>
  <c r="S97" i="22" s="1"/>
  <c r="Z97" i="22" s="1"/>
  <c r="K97" i="22"/>
  <c r="R97" i="22" s="1"/>
  <c r="Y97" i="22" s="1"/>
  <c r="Q96" i="22"/>
  <c r="X96" i="22" s="1"/>
  <c r="AE96" i="22" s="1"/>
  <c r="P96" i="22"/>
  <c r="W96" i="22" s="1"/>
  <c r="AD96" i="22" s="1"/>
  <c r="O96" i="22"/>
  <c r="V96" i="22" s="1"/>
  <c r="AC96" i="22" s="1"/>
  <c r="N96" i="22"/>
  <c r="U96" i="22" s="1"/>
  <c r="AB96" i="22" s="1"/>
  <c r="M96" i="22"/>
  <c r="T96" i="22" s="1"/>
  <c r="AA96" i="22" s="1"/>
  <c r="L96" i="22"/>
  <c r="S96" i="22" s="1"/>
  <c r="Z96" i="22" s="1"/>
  <c r="K96" i="22"/>
  <c r="R96" i="22" s="1"/>
  <c r="Y96" i="22" s="1"/>
  <c r="Q95" i="22"/>
  <c r="X95" i="22" s="1"/>
  <c r="AE95" i="22" s="1"/>
  <c r="P95" i="22"/>
  <c r="W95" i="22" s="1"/>
  <c r="AD95" i="22" s="1"/>
  <c r="O95" i="22"/>
  <c r="V95" i="22" s="1"/>
  <c r="AC95" i="22" s="1"/>
  <c r="N95" i="22"/>
  <c r="U95" i="22" s="1"/>
  <c r="AB95" i="22" s="1"/>
  <c r="M95" i="22"/>
  <c r="T95" i="22" s="1"/>
  <c r="AA95" i="22" s="1"/>
  <c r="L95" i="22"/>
  <c r="S95" i="22" s="1"/>
  <c r="Z95" i="22" s="1"/>
  <c r="K95" i="22"/>
  <c r="R95" i="22" s="1"/>
  <c r="Y95" i="22" s="1"/>
  <c r="Q94" i="22"/>
  <c r="X94" i="22" s="1"/>
  <c r="AE94" i="22" s="1"/>
  <c r="P94" i="22"/>
  <c r="W94" i="22" s="1"/>
  <c r="AD94" i="22" s="1"/>
  <c r="O94" i="22"/>
  <c r="V94" i="22" s="1"/>
  <c r="AC94" i="22" s="1"/>
  <c r="N94" i="22"/>
  <c r="U94" i="22" s="1"/>
  <c r="AB94" i="22" s="1"/>
  <c r="M94" i="22"/>
  <c r="T94" i="22" s="1"/>
  <c r="AA94" i="22" s="1"/>
  <c r="L94" i="22"/>
  <c r="S94" i="22" s="1"/>
  <c r="Z94" i="22" s="1"/>
  <c r="K94" i="22"/>
  <c r="R94" i="22" s="1"/>
  <c r="Y94" i="22" s="1"/>
  <c r="Q93" i="22"/>
  <c r="X93" i="22" s="1"/>
  <c r="AE93" i="22" s="1"/>
  <c r="P93" i="22"/>
  <c r="W93" i="22" s="1"/>
  <c r="AD93" i="22" s="1"/>
  <c r="O93" i="22"/>
  <c r="V93" i="22" s="1"/>
  <c r="AC93" i="22" s="1"/>
  <c r="N93" i="22"/>
  <c r="U93" i="22" s="1"/>
  <c r="AB93" i="22" s="1"/>
  <c r="M93" i="22"/>
  <c r="T93" i="22" s="1"/>
  <c r="AA93" i="22" s="1"/>
  <c r="L93" i="22"/>
  <c r="S93" i="22" s="1"/>
  <c r="Z93" i="22" s="1"/>
  <c r="K93" i="22"/>
  <c r="R93" i="22" s="1"/>
  <c r="Y93" i="22" s="1"/>
  <c r="Q92" i="22"/>
  <c r="X92" i="22" s="1"/>
  <c r="AE92" i="22" s="1"/>
  <c r="P92" i="22"/>
  <c r="W92" i="22" s="1"/>
  <c r="AD92" i="22" s="1"/>
  <c r="O92" i="22"/>
  <c r="V92" i="22" s="1"/>
  <c r="AC92" i="22" s="1"/>
  <c r="N92" i="22"/>
  <c r="U92" i="22" s="1"/>
  <c r="AB92" i="22" s="1"/>
  <c r="M92" i="22"/>
  <c r="T92" i="22" s="1"/>
  <c r="AA92" i="22" s="1"/>
  <c r="L92" i="22"/>
  <c r="S92" i="22" s="1"/>
  <c r="Z92" i="22" s="1"/>
  <c r="K92" i="22"/>
  <c r="R92" i="22" s="1"/>
  <c r="Y92" i="22" s="1"/>
  <c r="Q91" i="22"/>
  <c r="X91" i="22" s="1"/>
  <c r="AE91" i="22" s="1"/>
  <c r="P91" i="22"/>
  <c r="W91" i="22" s="1"/>
  <c r="AD91" i="22" s="1"/>
  <c r="O91" i="22"/>
  <c r="V91" i="22" s="1"/>
  <c r="AC91" i="22" s="1"/>
  <c r="N91" i="22"/>
  <c r="U91" i="22" s="1"/>
  <c r="AB91" i="22" s="1"/>
  <c r="M91" i="22"/>
  <c r="T91" i="22" s="1"/>
  <c r="AA91" i="22" s="1"/>
  <c r="L91" i="22"/>
  <c r="S91" i="22" s="1"/>
  <c r="Z91" i="22" s="1"/>
  <c r="K91" i="22"/>
  <c r="R91" i="22" s="1"/>
  <c r="Y91" i="22" s="1"/>
  <c r="Q90" i="22"/>
  <c r="X90" i="22" s="1"/>
  <c r="AE90" i="22" s="1"/>
  <c r="P90" i="22"/>
  <c r="W90" i="22" s="1"/>
  <c r="AD90" i="22" s="1"/>
  <c r="O90" i="22"/>
  <c r="V90" i="22" s="1"/>
  <c r="AC90" i="22" s="1"/>
  <c r="N90" i="22"/>
  <c r="U90" i="22" s="1"/>
  <c r="AB90" i="22" s="1"/>
  <c r="M90" i="22"/>
  <c r="T90" i="22" s="1"/>
  <c r="AA90" i="22" s="1"/>
  <c r="L90" i="22"/>
  <c r="S90" i="22" s="1"/>
  <c r="Z90" i="22" s="1"/>
  <c r="K90" i="22"/>
  <c r="R90" i="22" s="1"/>
  <c r="Y90" i="22" s="1"/>
  <c r="Q89" i="22"/>
  <c r="X89" i="22" s="1"/>
  <c r="AE89" i="22" s="1"/>
  <c r="P89" i="22"/>
  <c r="W89" i="22" s="1"/>
  <c r="AD89" i="22" s="1"/>
  <c r="O89" i="22"/>
  <c r="V89" i="22" s="1"/>
  <c r="AC89" i="22" s="1"/>
  <c r="N89" i="22"/>
  <c r="U89" i="22" s="1"/>
  <c r="AB89" i="22" s="1"/>
  <c r="M89" i="22"/>
  <c r="T89" i="22" s="1"/>
  <c r="AA89" i="22" s="1"/>
  <c r="L89" i="22"/>
  <c r="S89" i="22" s="1"/>
  <c r="Z89" i="22" s="1"/>
  <c r="K89" i="22"/>
  <c r="R89" i="22" s="1"/>
  <c r="Y89" i="22" s="1"/>
  <c r="Q88" i="22"/>
  <c r="X88" i="22" s="1"/>
  <c r="AE88" i="22" s="1"/>
  <c r="P88" i="22"/>
  <c r="W88" i="22" s="1"/>
  <c r="AD88" i="22" s="1"/>
  <c r="O88" i="22"/>
  <c r="V88" i="22" s="1"/>
  <c r="AC88" i="22" s="1"/>
  <c r="N88" i="22"/>
  <c r="U88" i="22" s="1"/>
  <c r="AB88" i="22" s="1"/>
  <c r="M88" i="22"/>
  <c r="T88" i="22" s="1"/>
  <c r="AA88" i="22" s="1"/>
  <c r="L88" i="22"/>
  <c r="S88" i="22" s="1"/>
  <c r="Z88" i="22" s="1"/>
  <c r="K88" i="22"/>
  <c r="R88" i="22" s="1"/>
  <c r="Y88" i="22" s="1"/>
  <c r="Q87" i="22"/>
  <c r="X87" i="22" s="1"/>
  <c r="AE87" i="22" s="1"/>
  <c r="P87" i="22"/>
  <c r="W87" i="22" s="1"/>
  <c r="AD87" i="22" s="1"/>
  <c r="O87" i="22"/>
  <c r="V87" i="22" s="1"/>
  <c r="AC87" i="22" s="1"/>
  <c r="N87" i="22"/>
  <c r="U87" i="22" s="1"/>
  <c r="AB87" i="22" s="1"/>
  <c r="M87" i="22"/>
  <c r="T87" i="22" s="1"/>
  <c r="AA87" i="22" s="1"/>
  <c r="L87" i="22"/>
  <c r="S87" i="22" s="1"/>
  <c r="Z87" i="22" s="1"/>
  <c r="K87" i="22"/>
  <c r="R87" i="22" s="1"/>
  <c r="Y87" i="22" s="1"/>
  <c r="Q86" i="22"/>
  <c r="X86" i="22" s="1"/>
  <c r="AE86" i="22" s="1"/>
  <c r="P86" i="22"/>
  <c r="W86" i="22" s="1"/>
  <c r="AD86" i="22" s="1"/>
  <c r="O86" i="22"/>
  <c r="V86" i="22" s="1"/>
  <c r="AC86" i="22" s="1"/>
  <c r="N86" i="22"/>
  <c r="U86" i="22" s="1"/>
  <c r="AB86" i="22" s="1"/>
  <c r="M86" i="22"/>
  <c r="T86" i="22" s="1"/>
  <c r="AA86" i="22" s="1"/>
  <c r="L86" i="22"/>
  <c r="S86" i="22" s="1"/>
  <c r="Z86" i="22" s="1"/>
  <c r="K86" i="22"/>
  <c r="R86" i="22" s="1"/>
  <c r="Y86" i="22" s="1"/>
  <c r="Q85" i="22"/>
  <c r="X85" i="22" s="1"/>
  <c r="AE85" i="22" s="1"/>
  <c r="P85" i="22"/>
  <c r="W85" i="22" s="1"/>
  <c r="AD85" i="22" s="1"/>
  <c r="O85" i="22"/>
  <c r="V85" i="22" s="1"/>
  <c r="AC85" i="22" s="1"/>
  <c r="N85" i="22"/>
  <c r="U85" i="22" s="1"/>
  <c r="AB85" i="22" s="1"/>
  <c r="M85" i="22"/>
  <c r="T85" i="22" s="1"/>
  <c r="AA85" i="22" s="1"/>
  <c r="L85" i="22"/>
  <c r="S85" i="22" s="1"/>
  <c r="Z85" i="22" s="1"/>
  <c r="K85" i="22"/>
  <c r="R85" i="22" s="1"/>
  <c r="Y85" i="22" s="1"/>
  <c r="Q84" i="22"/>
  <c r="X84" i="22" s="1"/>
  <c r="AE84" i="22" s="1"/>
  <c r="P84" i="22"/>
  <c r="W84" i="22" s="1"/>
  <c r="AD84" i="22" s="1"/>
  <c r="O84" i="22"/>
  <c r="V84" i="22" s="1"/>
  <c r="AC84" i="22" s="1"/>
  <c r="N84" i="22"/>
  <c r="U84" i="22" s="1"/>
  <c r="AB84" i="22" s="1"/>
  <c r="M84" i="22"/>
  <c r="T84" i="22" s="1"/>
  <c r="AA84" i="22" s="1"/>
  <c r="L84" i="22"/>
  <c r="S84" i="22" s="1"/>
  <c r="Z84" i="22" s="1"/>
  <c r="K84" i="22"/>
  <c r="R84" i="22" s="1"/>
  <c r="Y84" i="22" s="1"/>
  <c r="Q83" i="22"/>
  <c r="X83" i="22" s="1"/>
  <c r="AE83" i="22" s="1"/>
  <c r="P83" i="22"/>
  <c r="W83" i="22" s="1"/>
  <c r="AD83" i="22" s="1"/>
  <c r="O83" i="22"/>
  <c r="V83" i="22" s="1"/>
  <c r="AC83" i="22" s="1"/>
  <c r="N83" i="22"/>
  <c r="U83" i="22" s="1"/>
  <c r="AB83" i="22" s="1"/>
  <c r="M83" i="22"/>
  <c r="T83" i="22" s="1"/>
  <c r="AA83" i="22" s="1"/>
  <c r="L83" i="22"/>
  <c r="S83" i="22" s="1"/>
  <c r="Z83" i="22" s="1"/>
  <c r="K83" i="22"/>
  <c r="R83" i="22" s="1"/>
  <c r="Y83" i="22" s="1"/>
  <c r="Q82" i="22"/>
  <c r="X82" i="22" s="1"/>
  <c r="AE82" i="22" s="1"/>
  <c r="P82" i="22"/>
  <c r="W82" i="22" s="1"/>
  <c r="AD82" i="22" s="1"/>
  <c r="O82" i="22"/>
  <c r="V82" i="22" s="1"/>
  <c r="AC82" i="22" s="1"/>
  <c r="N82" i="22"/>
  <c r="U82" i="22" s="1"/>
  <c r="AB82" i="22" s="1"/>
  <c r="M82" i="22"/>
  <c r="T82" i="22" s="1"/>
  <c r="AA82" i="22" s="1"/>
  <c r="L82" i="22"/>
  <c r="S82" i="22" s="1"/>
  <c r="Z82" i="22" s="1"/>
  <c r="K82" i="22"/>
  <c r="R82" i="22" s="1"/>
  <c r="Y82" i="22" s="1"/>
  <c r="Q81" i="22"/>
  <c r="X81" i="22" s="1"/>
  <c r="AE81" i="22" s="1"/>
  <c r="P81" i="22"/>
  <c r="W81" i="22" s="1"/>
  <c r="AD81" i="22" s="1"/>
  <c r="O81" i="22"/>
  <c r="V81" i="22" s="1"/>
  <c r="AC81" i="22" s="1"/>
  <c r="N81" i="22"/>
  <c r="U81" i="22" s="1"/>
  <c r="AB81" i="22" s="1"/>
  <c r="M81" i="22"/>
  <c r="T81" i="22" s="1"/>
  <c r="AA81" i="22" s="1"/>
  <c r="L81" i="22"/>
  <c r="S81" i="22" s="1"/>
  <c r="Z81" i="22" s="1"/>
  <c r="K81" i="22"/>
  <c r="R81" i="22" s="1"/>
  <c r="Y81" i="22" s="1"/>
  <c r="Q80" i="22"/>
  <c r="X80" i="22" s="1"/>
  <c r="AE80" i="22" s="1"/>
  <c r="P80" i="22"/>
  <c r="W80" i="22" s="1"/>
  <c r="AD80" i="22" s="1"/>
  <c r="O80" i="22"/>
  <c r="V80" i="22" s="1"/>
  <c r="AC80" i="22" s="1"/>
  <c r="N80" i="22"/>
  <c r="U80" i="22" s="1"/>
  <c r="AB80" i="22" s="1"/>
  <c r="M80" i="22"/>
  <c r="T80" i="22" s="1"/>
  <c r="AA80" i="22" s="1"/>
  <c r="L80" i="22"/>
  <c r="S80" i="22" s="1"/>
  <c r="Z80" i="22" s="1"/>
  <c r="K80" i="22"/>
  <c r="R80" i="22" s="1"/>
  <c r="Y80" i="22" s="1"/>
  <c r="Q79" i="22"/>
  <c r="X79" i="22" s="1"/>
  <c r="AE79" i="22" s="1"/>
  <c r="P79" i="22"/>
  <c r="W79" i="22" s="1"/>
  <c r="AD79" i="22" s="1"/>
  <c r="O79" i="22"/>
  <c r="V79" i="22" s="1"/>
  <c r="AC79" i="22" s="1"/>
  <c r="N79" i="22"/>
  <c r="U79" i="22" s="1"/>
  <c r="AB79" i="22" s="1"/>
  <c r="M79" i="22"/>
  <c r="T79" i="22" s="1"/>
  <c r="AA79" i="22" s="1"/>
  <c r="L79" i="22"/>
  <c r="S79" i="22" s="1"/>
  <c r="Z79" i="22" s="1"/>
  <c r="K79" i="22"/>
  <c r="R79" i="22" s="1"/>
  <c r="Y79" i="22" s="1"/>
  <c r="Q78" i="22"/>
  <c r="X78" i="22" s="1"/>
  <c r="AE78" i="22" s="1"/>
  <c r="P78" i="22"/>
  <c r="W78" i="22" s="1"/>
  <c r="AD78" i="22" s="1"/>
  <c r="O78" i="22"/>
  <c r="V78" i="22" s="1"/>
  <c r="AC78" i="22" s="1"/>
  <c r="N78" i="22"/>
  <c r="U78" i="22" s="1"/>
  <c r="AB78" i="22" s="1"/>
  <c r="M78" i="22"/>
  <c r="T78" i="22" s="1"/>
  <c r="AA78" i="22" s="1"/>
  <c r="L78" i="22"/>
  <c r="S78" i="22" s="1"/>
  <c r="Z78" i="22" s="1"/>
  <c r="K78" i="22"/>
  <c r="R78" i="22" s="1"/>
  <c r="Y78" i="22" s="1"/>
  <c r="Q77" i="22"/>
  <c r="X77" i="22" s="1"/>
  <c r="AE77" i="22" s="1"/>
  <c r="P77" i="22"/>
  <c r="W77" i="22" s="1"/>
  <c r="AD77" i="22" s="1"/>
  <c r="O77" i="22"/>
  <c r="V77" i="22" s="1"/>
  <c r="AC77" i="22" s="1"/>
  <c r="N77" i="22"/>
  <c r="U77" i="22" s="1"/>
  <c r="AB77" i="22" s="1"/>
  <c r="M77" i="22"/>
  <c r="T77" i="22" s="1"/>
  <c r="AA77" i="22" s="1"/>
  <c r="L77" i="22"/>
  <c r="S77" i="22" s="1"/>
  <c r="Z77" i="22" s="1"/>
  <c r="K77" i="22"/>
  <c r="R77" i="22" s="1"/>
  <c r="Y77" i="22" s="1"/>
  <c r="Q76" i="22"/>
  <c r="X76" i="22" s="1"/>
  <c r="AE76" i="22" s="1"/>
  <c r="P76" i="22"/>
  <c r="W76" i="22" s="1"/>
  <c r="AD76" i="22" s="1"/>
  <c r="O76" i="22"/>
  <c r="V76" i="22" s="1"/>
  <c r="AC76" i="22" s="1"/>
  <c r="N76" i="22"/>
  <c r="U76" i="22" s="1"/>
  <c r="AB76" i="22" s="1"/>
  <c r="M76" i="22"/>
  <c r="T76" i="22" s="1"/>
  <c r="AA76" i="22" s="1"/>
  <c r="L76" i="22"/>
  <c r="S76" i="22" s="1"/>
  <c r="Z76" i="22" s="1"/>
  <c r="K76" i="22"/>
  <c r="R76" i="22" s="1"/>
  <c r="Y76" i="22" s="1"/>
  <c r="Q75" i="22"/>
  <c r="X75" i="22" s="1"/>
  <c r="AE75" i="22" s="1"/>
  <c r="P75" i="22"/>
  <c r="W75" i="22" s="1"/>
  <c r="AD75" i="22" s="1"/>
  <c r="O75" i="22"/>
  <c r="V75" i="22" s="1"/>
  <c r="AC75" i="22" s="1"/>
  <c r="N75" i="22"/>
  <c r="U75" i="22" s="1"/>
  <c r="AB75" i="22" s="1"/>
  <c r="M75" i="22"/>
  <c r="T75" i="22" s="1"/>
  <c r="AA75" i="22" s="1"/>
  <c r="L75" i="22"/>
  <c r="S75" i="22" s="1"/>
  <c r="Z75" i="22" s="1"/>
  <c r="K75" i="22"/>
  <c r="R75" i="22" s="1"/>
  <c r="Y75" i="22" s="1"/>
  <c r="Q74" i="22"/>
  <c r="X74" i="22" s="1"/>
  <c r="AE74" i="22" s="1"/>
  <c r="P74" i="22"/>
  <c r="W74" i="22" s="1"/>
  <c r="AD74" i="22" s="1"/>
  <c r="O74" i="22"/>
  <c r="V74" i="22" s="1"/>
  <c r="AC74" i="22" s="1"/>
  <c r="N74" i="22"/>
  <c r="U74" i="22" s="1"/>
  <c r="AB74" i="22" s="1"/>
  <c r="M74" i="22"/>
  <c r="T74" i="22" s="1"/>
  <c r="AA74" i="22" s="1"/>
  <c r="L74" i="22"/>
  <c r="S74" i="22" s="1"/>
  <c r="Z74" i="22" s="1"/>
  <c r="K74" i="22"/>
  <c r="R74" i="22" s="1"/>
  <c r="Y74" i="22" s="1"/>
  <c r="Q73" i="22"/>
  <c r="X73" i="22" s="1"/>
  <c r="AE73" i="22" s="1"/>
  <c r="P73" i="22"/>
  <c r="W73" i="22" s="1"/>
  <c r="AD73" i="22" s="1"/>
  <c r="O73" i="22"/>
  <c r="V73" i="22" s="1"/>
  <c r="AC73" i="22" s="1"/>
  <c r="N73" i="22"/>
  <c r="U73" i="22" s="1"/>
  <c r="AB73" i="22" s="1"/>
  <c r="M73" i="22"/>
  <c r="T73" i="22" s="1"/>
  <c r="AA73" i="22" s="1"/>
  <c r="L73" i="22"/>
  <c r="S73" i="22" s="1"/>
  <c r="Z73" i="22" s="1"/>
  <c r="K73" i="22"/>
  <c r="R73" i="22" s="1"/>
  <c r="Y73" i="22" s="1"/>
  <c r="Q72" i="22"/>
  <c r="X72" i="22" s="1"/>
  <c r="AE72" i="22" s="1"/>
  <c r="P72" i="22"/>
  <c r="W72" i="22" s="1"/>
  <c r="AD72" i="22" s="1"/>
  <c r="O72" i="22"/>
  <c r="V72" i="22" s="1"/>
  <c r="AC72" i="22" s="1"/>
  <c r="N72" i="22"/>
  <c r="U72" i="22" s="1"/>
  <c r="AB72" i="22" s="1"/>
  <c r="M72" i="22"/>
  <c r="T72" i="22" s="1"/>
  <c r="AA72" i="22" s="1"/>
  <c r="L72" i="22"/>
  <c r="S72" i="22" s="1"/>
  <c r="Z72" i="22" s="1"/>
  <c r="K72" i="22"/>
  <c r="R72" i="22" s="1"/>
  <c r="Y72" i="22" s="1"/>
  <c r="Q71" i="22"/>
  <c r="X71" i="22" s="1"/>
  <c r="AE71" i="22" s="1"/>
  <c r="P71" i="22"/>
  <c r="W71" i="22" s="1"/>
  <c r="AD71" i="22" s="1"/>
  <c r="O71" i="22"/>
  <c r="V71" i="22" s="1"/>
  <c r="AC71" i="22" s="1"/>
  <c r="N71" i="22"/>
  <c r="U71" i="22" s="1"/>
  <c r="AB71" i="22" s="1"/>
  <c r="M71" i="22"/>
  <c r="T71" i="22" s="1"/>
  <c r="AA71" i="22" s="1"/>
  <c r="L71" i="22"/>
  <c r="S71" i="22" s="1"/>
  <c r="Z71" i="22" s="1"/>
  <c r="K71" i="22"/>
  <c r="R71" i="22" s="1"/>
  <c r="Y71" i="22" s="1"/>
  <c r="Q70" i="22"/>
  <c r="X70" i="22" s="1"/>
  <c r="AE70" i="22" s="1"/>
  <c r="P70" i="22"/>
  <c r="W70" i="22" s="1"/>
  <c r="AD70" i="22" s="1"/>
  <c r="O70" i="22"/>
  <c r="V70" i="22" s="1"/>
  <c r="AC70" i="22" s="1"/>
  <c r="N70" i="22"/>
  <c r="U70" i="22" s="1"/>
  <c r="AB70" i="22" s="1"/>
  <c r="M70" i="22"/>
  <c r="T70" i="22" s="1"/>
  <c r="AA70" i="22" s="1"/>
  <c r="L70" i="22"/>
  <c r="S70" i="22" s="1"/>
  <c r="Z70" i="22" s="1"/>
  <c r="K70" i="22"/>
  <c r="R70" i="22" s="1"/>
  <c r="Y70" i="22" s="1"/>
  <c r="Q69" i="22"/>
  <c r="X69" i="22" s="1"/>
  <c r="AE69" i="22" s="1"/>
  <c r="P69" i="22"/>
  <c r="W69" i="22" s="1"/>
  <c r="AD69" i="22" s="1"/>
  <c r="O69" i="22"/>
  <c r="V69" i="22" s="1"/>
  <c r="AC69" i="22" s="1"/>
  <c r="N69" i="22"/>
  <c r="U69" i="22" s="1"/>
  <c r="AB69" i="22" s="1"/>
  <c r="M69" i="22"/>
  <c r="T69" i="22" s="1"/>
  <c r="AA69" i="22" s="1"/>
  <c r="L69" i="22"/>
  <c r="S69" i="22" s="1"/>
  <c r="Z69" i="22" s="1"/>
  <c r="K69" i="22"/>
  <c r="R69" i="22" s="1"/>
  <c r="Y69" i="22" s="1"/>
  <c r="Q68" i="22"/>
  <c r="X68" i="22" s="1"/>
  <c r="AE68" i="22" s="1"/>
  <c r="P68" i="22"/>
  <c r="W68" i="22" s="1"/>
  <c r="AD68" i="22" s="1"/>
  <c r="O68" i="22"/>
  <c r="V68" i="22" s="1"/>
  <c r="AC68" i="22" s="1"/>
  <c r="N68" i="22"/>
  <c r="U68" i="22" s="1"/>
  <c r="AB68" i="22" s="1"/>
  <c r="M68" i="22"/>
  <c r="T68" i="22" s="1"/>
  <c r="AA68" i="22" s="1"/>
  <c r="L68" i="22"/>
  <c r="S68" i="22" s="1"/>
  <c r="Z68" i="22" s="1"/>
  <c r="K68" i="22"/>
  <c r="R68" i="22" s="1"/>
  <c r="Y68" i="22" s="1"/>
  <c r="Q67" i="22"/>
  <c r="X67" i="22" s="1"/>
  <c r="AE67" i="22" s="1"/>
  <c r="P67" i="22"/>
  <c r="W67" i="22" s="1"/>
  <c r="AD67" i="22" s="1"/>
  <c r="O67" i="22"/>
  <c r="V67" i="22" s="1"/>
  <c r="AC67" i="22" s="1"/>
  <c r="N67" i="22"/>
  <c r="U67" i="22" s="1"/>
  <c r="AB67" i="22" s="1"/>
  <c r="M67" i="22"/>
  <c r="T67" i="22" s="1"/>
  <c r="AA67" i="22" s="1"/>
  <c r="L67" i="22"/>
  <c r="S67" i="22" s="1"/>
  <c r="Z67" i="22" s="1"/>
  <c r="K67" i="22"/>
  <c r="R67" i="22" s="1"/>
  <c r="Y67" i="22" s="1"/>
  <c r="Q66" i="22"/>
  <c r="X66" i="22" s="1"/>
  <c r="AE66" i="22" s="1"/>
  <c r="P66" i="22"/>
  <c r="W66" i="22" s="1"/>
  <c r="AD66" i="22" s="1"/>
  <c r="O66" i="22"/>
  <c r="V66" i="22" s="1"/>
  <c r="AC66" i="22" s="1"/>
  <c r="N66" i="22"/>
  <c r="U66" i="22" s="1"/>
  <c r="AB66" i="22" s="1"/>
  <c r="M66" i="22"/>
  <c r="T66" i="22" s="1"/>
  <c r="AA66" i="22" s="1"/>
  <c r="L66" i="22"/>
  <c r="S66" i="22" s="1"/>
  <c r="Z66" i="22" s="1"/>
  <c r="K66" i="22"/>
  <c r="R66" i="22" s="1"/>
  <c r="Y66" i="22" s="1"/>
  <c r="Q65" i="22"/>
  <c r="X65" i="22" s="1"/>
  <c r="AE65" i="22" s="1"/>
  <c r="P65" i="22"/>
  <c r="W65" i="22" s="1"/>
  <c r="AD65" i="22" s="1"/>
  <c r="O65" i="22"/>
  <c r="V65" i="22" s="1"/>
  <c r="AC65" i="22" s="1"/>
  <c r="N65" i="22"/>
  <c r="U65" i="22" s="1"/>
  <c r="AB65" i="22" s="1"/>
  <c r="M65" i="22"/>
  <c r="T65" i="22" s="1"/>
  <c r="AA65" i="22" s="1"/>
  <c r="L65" i="22"/>
  <c r="S65" i="22" s="1"/>
  <c r="Z65" i="22" s="1"/>
  <c r="K65" i="22"/>
  <c r="R65" i="22" s="1"/>
  <c r="Y65" i="22" s="1"/>
  <c r="Q64" i="22"/>
  <c r="X64" i="22" s="1"/>
  <c r="AE64" i="22" s="1"/>
  <c r="P64" i="22"/>
  <c r="W64" i="22" s="1"/>
  <c r="AD64" i="22" s="1"/>
  <c r="O64" i="22"/>
  <c r="V64" i="22" s="1"/>
  <c r="AC64" i="22" s="1"/>
  <c r="N64" i="22"/>
  <c r="U64" i="22" s="1"/>
  <c r="AB64" i="22" s="1"/>
  <c r="M64" i="22"/>
  <c r="T64" i="22" s="1"/>
  <c r="AA64" i="22" s="1"/>
  <c r="L64" i="22"/>
  <c r="S64" i="22" s="1"/>
  <c r="Z64" i="22" s="1"/>
  <c r="K64" i="22"/>
  <c r="R64" i="22" s="1"/>
  <c r="Y64" i="22" s="1"/>
  <c r="Q63" i="22"/>
  <c r="X63" i="22" s="1"/>
  <c r="AE63" i="22" s="1"/>
  <c r="P63" i="22"/>
  <c r="W63" i="22" s="1"/>
  <c r="AD63" i="22" s="1"/>
  <c r="O63" i="22"/>
  <c r="V63" i="22" s="1"/>
  <c r="AC63" i="22" s="1"/>
  <c r="N63" i="22"/>
  <c r="U63" i="22" s="1"/>
  <c r="AB63" i="22" s="1"/>
  <c r="M63" i="22"/>
  <c r="T63" i="22" s="1"/>
  <c r="AA63" i="22" s="1"/>
  <c r="L63" i="22"/>
  <c r="S63" i="22" s="1"/>
  <c r="Z63" i="22" s="1"/>
  <c r="K63" i="22"/>
  <c r="R63" i="22" s="1"/>
  <c r="Y63" i="22" s="1"/>
  <c r="Q62" i="22"/>
  <c r="X62" i="22" s="1"/>
  <c r="AE62" i="22" s="1"/>
  <c r="P62" i="22"/>
  <c r="W62" i="22" s="1"/>
  <c r="AD62" i="22" s="1"/>
  <c r="O62" i="22"/>
  <c r="V62" i="22" s="1"/>
  <c r="AC62" i="22" s="1"/>
  <c r="N62" i="22"/>
  <c r="U62" i="22" s="1"/>
  <c r="AB62" i="22" s="1"/>
  <c r="M62" i="22"/>
  <c r="T62" i="22" s="1"/>
  <c r="AA62" i="22" s="1"/>
  <c r="L62" i="22"/>
  <c r="S62" i="22" s="1"/>
  <c r="Z62" i="22" s="1"/>
  <c r="K62" i="22"/>
  <c r="R62" i="22" s="1"/>
  <c r="Y62" i="22" s="1"/>
  <c r="Q61" i="22"/>
  <c r="X61" i="22" s="1"/>
  <c r="AE61" i="22" s="1"/>
  <c r="P61" i="22"/>
  <c r="W61" i="22" s="1"/>
  <c r="AD61" i="22" s="1"/>
  <c r="O61" i="22"/>
  <c r="V61" i="22" s="1"/>
  <c r="AC61" i="22" s="1"/>
  <c r="N61" i="22"/>
  <c r="U61" i="22" s="1"/>
  <c r="AB61" i="22" s="1"/>
  <c r="M61" i="22"/>
  <c r="T61" i="22" s="1"/>
  <c r="AA61" i="22" s="1"/>
  <c r="L61" i="22"/>
  <c r="S61" i="22" s="1"/>
  <c r="Z61" i="22" s="1"/>
  <c r="K61" i="22"/>
  <c r="R61" i="22" s="1"/>
  <c r="Y61" i="22" s="1"/>
  <c r="Q60" i="22"/>
  <c r="X60" i="22" s="1"/>
  <c r="AE60" i="22" s="1"/>
  <c r="P60" i="22"/>
  <c r="W60" i="22" s="1"/>
  <c r="AD60" i="22" s="1"/>
  <c r="O60" i="22"/>
  <c r="V60" i="22" s="1"/>
  <c r="AC60" i="22" s="1"/>
  <c r="N60" i="22"/>
  <c r="U60" i="22" s="1"/>
  <c r="AB60" i="22" s="1"/>
  <c r="M60" i="22"/>
  <c r="T60" i="22" s="1"/>
  <c r="AA60" i="22" s="1"/>
  <c r="L60" i="22"/>
  <c r="S60" i="22" s="1"/>
  <c r="Z60" i="22" s="1"/>
  <c r="K60" i="22"/>
  <c r="R60" i="22" s="1"/>
  <c r="Y60" i="22" s="1"/>
  <c r="Q59" i="22"/>
  <c r="X59" i="22" s="1"/>
  <c r="AE59" i="22" s="1"/>
  <c r="P59" i="22"/>
  <c r="W59" i="22" s="1"/>
  <c r="AD59" i="22" s="1"/>
  <c r="O59" i="22"/>
  <c r="V59" i="22" s="1"/>
  <c r="AC59" i="22" s="1"/>
  <c r="N59" i="22"/>
  <c r="U59" i="22" s="1"/>
  <c r="AB59" i="22" s="1"/>
  <c r="M59" i="22"/>
  <c r="T59" i="22" s="1"/>
  <c r="AA59" i="22" s="1"/>
  <c r="L59" i="22"/>
  <c r="S59" i="22" s="1"/>
  <c r="Z59" i="22" s="1"/>
  <c r="K59" i="22"/>
  <c r="R59" i="22" s="1"/>
  <c r="Y59" i="22" s="1"/>
  <c r="Q58" i="22"/>
  <c r="X58" i="22" s="1"/>
  <c r="AE58" i="22" s="1"/>
  <c r="P58" i="22"/>
  <c r="W58" i="22" s="1"/>
  <c r="AD58" i="22" s="1"/>
  <c r="O58" i="22"/>
  <c r="V58" i="22" s="1"/>
  <c r="AC58" i="22" s="1"/>
  <c r="N58" i="22"/>
  <c r="U58" i="22" s="1"/>
  <c r="AB58" i="22" s="1"/>
  <c r="M58" i="22"/>
  <c r="T58" i="22" s="1"/>
  <c r="AA58" i="22" s="1"/>
  <c r="L58" i="22"/>
  <c r="S58" i="22" s="1"/>
  <c r="Z58" i="22" s="1"/>
  <c r="K58" i="22"/>
  <c r="R58" i="22" s="1"/>
  <c r="Y58" i="22" s="1"/>
  <c r="Q57" i="22"/>
  <c r="X57" i="22" s="1"/>
  <c r="AE57" i="22" s="1"/>
  <c r="P57" i="22"/>
  <c r="W57" i="22" s="1"/>
  <c r="AD57" i="22" s="1"/>
  <c r="O57" i="22"/>
  <c r="V57" i="22" s="1"/>
  <c r="AC57" i="22" s="1"/>
  <c r="N57" i="22"/>
  <c r="U57" i="22" s="1"/>
  <c r="AB57" i="22" s="1"/>
  <c r="M57" i="22"/>
  <c r="T57" i="22" s="1"/>
  <c r="AA57" i="22" s="1"/>
  <c r="L57" i="22"/>
  <c r="S57" i="22" s="1"/>
  <c r="Z57" i="22" s="1"/>
  <c r="K57" i="22"/>
  <c r="R57" i="22" s="1"/>
  <c r="Y57" i="22" s="1"/>
  <c r="Q56" i="22"/>
  <c r="X56" i="22" s="1"/>
  <c r="AE56" i="22" s="1"/>
  <c r="P56" i="22"/>
  <c r="W56" i="22" s="1"/>
  <c r="AD56" i="22" s="1"/>
  <c r="O56" i="22"/>
  <c r="V56" i="22" s="1"/>
  <c r="AC56" i="22" s="1"/>
  <c r="N56" i="22"/>
  <c r="U56" i="22" s="1"/>
  <c r="AB56" i="22" s="1"/>
  <c r="M56" i="22"/>
  <c r="T56" i="22" s="1"/>
  <c r="AA56" i="22" s="1"/>
  <c r="L56" i="22"/>
  <c r="S56" i="22" s="1"/>
  <c r="Z56" i="22" s="1"/>
  <c r="K56" i="22"/>
  <c r="R56" i="22" s="1"/>
  <c r="Y56" i="22" s="1"/>
  <c r="Q55" i="22"/>
  <c r="X55" i="22" s="1"/>
  <c r="AE55" i="22" s="1"/>
  <c r="P55" i="22"/>
  <c r="W55" i="22" s="1"/>
  <c r="AD55" i="22" s="1"/>
  <c r="O55" i="22"/>
  <c r="V55" i="22" s="1"/>
  <c r="AC55" i="22" s="1"/>
  <c r="N55" i="22"/>
  <c r="U55" i="22" s="1"/>
  <c r="AB55" i="22" s="1"/>
  <c r="M55" i="22"/>
  <c r="T55" i="22" s="1"/>
  <c r="AA55" i="22" s="1"/>
  <c r="L55" i="22"/>
  <c r="S55" i="22" s="1"/>
  <c r="Z55" i="22" s="1"/>
  <c r="K55" i="22"/>
  <c r="R55" i="22" s="1"/>
  <c r="Y55" i="22" s="1"/>
  <c r="Q54" i="22"/>
  <c r="X54" i="22" s="1"/>
  <c r="AE54" i="22" s="1"/>
  <c r="P54" i="22"/>
  <c r="W54" i="22" s="1"/>
  <c r="AD54" i="22" s="1"/>
  <c r="O54" i="22"/>
  <c r="V54" i="22" s="1"/>
  <c r="AC54" i="22" s="1"/>
  <c r="N54" i="22"/>
  <c r="U54" i="22" s="1"/>
  <c r="AB54" i="22" s="1"/>
  <c r="M54" i="22"/>
  <c r="T54" i="22" s="1"/>
  <c r="AA54" i="22" s="1"/>
  <c r="L54" i="22"/>
  <c r="S54" i="22" s="1"/>
  <c r="Z54" i="22" s="1"/>
  <c r="K54" i="22"/>
  <c r="R54" i="22" s="1"/>
  <c r="Y54" i="22" s="1"/>
  <c r="Q53" i="22"/>
  <c r="X53" i="22" s="1"/>
  <c r="AE53" i="22" s="1"/>
  <c r="P53" i="22"/>
  <c r="W53" i="22" s="1"/>
  <c r="AD53" i="22" s="1"/>
  <c r="O53" i="22"/>
  <c r="V53" i="22" s="1"/>
  <c r="AC53" i="22" s="1"/>
  <c r="N53" i="22"/>
  <c r="U53" i="22" s="1"/>
  <c r="AB53" i="22" s="1"/>
  <c r="M53" i="22"/>
  <c r="T53" i="22" s="1"/>
  <c r="AA53" i="22" s="1"/>
  <c r="L53" i="22"/>
  <c r="S53" i="22" s="1"/>
  <c r="Z53" i="22" s="1"/>
  <c r="K53" i="22"/>
  <c r="R53" i="22" s="1"/>
  <c r="Y53" i="22" s="1"/>
  <c r="Q52" i="22"/>
  <c r="X52" i="22" s="1"/>
  <c r="AE52" i="22" s="1"/>
  <c r="P52" i="22"/>
  <c r="W52" i="22" s="1"/>
  <c r="AD52" i="22" s="1"/>
  <c r="O52" i="22"/>
  <c r="V52" i="22" s="1"/>
  <c r="AC52" i="22" s="1"/>
  <c r="N52" i="22"/>
  <c r="U52" i="22" s="1"/>
  <c r="AB52" i="22" s="1"/>
  <c r="M52" i="22"/>
  <c r="T52" i="22" s="1"/>
  <c r="AA52" i="22" s="1"/>
  <c r="L52" i="22"/>
  <c r="S52" i="22" s="1"/>
  <c r="Z52" i="22" s="1"/>
  <c r="K52" i="22"/>
  <c r="R52" i="22" s="1"/>
  <c r="Y52" i="22" s="1"/>
  <c r="Q51" i="22"/>
  <c r="X51" i="22" s="1"/>
  <c r="AE51" i="22" s="1"/>
  <c r="P51" i="22"/>
  <c r="W51" i="22" s="1"/>
  <c r="AD51" i="22" s="1"/>
  <c r="O51" i="22"/>
  <c r="V51" i="22" s="1"/>
  <c r="AC51" i="22" s="1"/>
  <c r="N51" i="22"/>
  <c r="U51" i="22" s="1"/>
  <c r="AB51" i="22" s="1"/>
  <c r="M51" i="22"/>
  <c r="T51" i="22" s="1"/>
  <c r="AA51" i="22" s="1"/>
  <c r="L51" i="22"/>
  <c r="S51" i="22" s="1"/>
  <c r="Z51" i="22" s="1"/>
  <c r="K51" i="22"/>
  <c r="R51" i="22" s="1"/>
  <c r="Y51" i="22" s="1"/>
  <c r="Q50" i="22"/>
  <c r="X50" i="22" s="1"/>
  <c r="AE50" i="22" s="1"/>
  <c r="P50" i="22"/>
  <c r="W50" i="22" s="1"/>
  <c r="AD50" i="22" s="1"/>
  <c r="O50" i="22"/>
  <c r="V50" i="22" s="1"/>
  <c r="AC50" i="22" s="1"/>
  <c r="N50" i="22"/>
  <c r="U50" i="22" s="1"/>
  <c r="AB50" i="22" s="1"/>
  <c r="M50" i="22"/>
  <c r="T50" i="22" s="1"/>
  <c r="AA50" i="22" s="1"/>
  <c r="L50" i="22"/>
  <c r="S50" i="22" s="1"/>
  <c r="Z50" i="22" s="1"/>
  <c r="K50" i="22"/>
  <c r="R50" i="22" s="1"/>
  <c r="Y50" i="22" s="1"/>
  <c r="Q49" i="22"/>
  <c r="X49" i="22" s="1"/>
  <c r="AE49" i="22" s="1"/>
  <c r="P49" i="22"/>
  <c r="W49" i="22" s="1"/>
  <c r="AD49" i="22" s="1"/>
  <c r="O49" i="22"/>
  <c r="V49" i="22" s="1"/>
  <c r="AC49" i="22" s="1"/>
  <c r="N49" i="22"/>
  <c r="U49" i="22" s="1"/>
  <c r="AB49" i="22" s="1"/>
  <c r="M49" i="22"/>
  <c r="T49" i="22" s="1"/>
  <c r="AA49" i="22" s="1"/>
  <c r="L49" i="22"/>
  <c r="S49" i="22" s="1"/>
  <c r="Z49" i="22" s="1"/>
  <c r="K49" i="22"/>
  <c r="R49" i="22" s="1"/>
  <c r="Y49" i="22" s="1"/>
  <c r="Q48" i="22"/>
  <c r="X48" i="22" s="1"/>
  <c r="AE48" i="22" s="1"/>
  <c r="P48" i="22"/>
  <c r="W48" i="22" s="1"/>
  <c r="AD48" i="22" s="1"/>
  <c r="O48" i="22"/>
  <c r="V48" i="22" s="1"/>
  <c r="AC48" i="22" s="1"/>
  <c r="N48" i="22"/>
  <c r="U48" i="22" s="1"/>
  <c r="AB48" i="22" s="1"/>
  <c r="M48" i="22"/>
  <c r="T48" i="22" s="1"/>
  <c r="AA48" i="22" s="1"/>
  <c r="L48" i="22"/>
  <c r="S48" i="22" s="1"/>
  <c r="Z48" i="22" s="1"/>
  <c r="K48" i="22"/>
  <c r="R48" i="22" s="1"/>
  <c r="Y48" i="22" s="1"/>
  <c r="Q47" i="22"/>
  <c r="X47" i="22" s="1"/>
  <c r="AE47" i="22" s="1"/>
  <c r="P47" i="22"/>
  <c r="W47" i="22" s="1"/>
  <c r="AD47" i="22" s="1"/>
  <c r="O47" i="22"/>
  <c r="V47" i="22" s="1"/>
  <c r="AC47" i="22" s="1"/>
  <c r="N47" i="22"/>
  <c r="U47" i="22" s="1"/>
  <c r="AB47" i="22" s="1"/>
  <c r="M47" i="22"/>
  <c r="T47" i="22" s="1"/>
  <c r="AA47" i="22" s="1"/>
  <c r="L47" i="22"/>
  <c r="S47" i="22" s="1"/>
  <c r="Z47" i="22" s="1"/>
  <c r="K47" i="22"/>
  <c r="R47" i="22" s="1"/>
  <c r="Y47" i="22" s="1"/>
  <c r="Q46" i="22"/>
  <c r="X46" i="22" s="1"/>
  <c r="AE46" i="22" s="1"/>
  <c r="P46" i="22"/>
  <c r="W46" i="22" s="1"/>
  <c r="AD46" i="22" s="1"/>
  <c r="O46" i="22"/>
  <c r="V46" i="22" s="1"/>
  <c r="AC46" i="22" s="1"/>
  <c r="N46" i="22"/>
  <c r="U46" i="22" s="1"/>
  <c r="AB46" i="22" s="1"/>
  <c r="M46" i="22"/>
  <c r="T46" i="22" s="1"/>
  <c r="AA46" i="22" s="1"/>
  <c r="L46" i="22"/>
  <c r="S46" i="22" s="1"/>
  <c r="Z46" i="22" s="1"/>
  <c r="K46" i="22"/>
  <c r="R46" i="22" s="1"/>
  <c r="Y46" i="22" s="1"/>
  <c r="Q45" i="22"/>
  <c r="X45" i="22" s="1"/>
  <c r="AE45" i="22" s="1"/>
  <c r="P45" i="22"/>
  <c r="W45" i="22" s="1"/>
  <c r="AD45" i="22" s="1"/>
  <c r="O45" i="22"/>
  <c r="V45" i="22" s="1"/>
  <c r="AC45" i="22" s="1"/>
  <c r="N45" i="22"/>
  <c r="U45" i="22" s="1"/>
  <c r="AB45" i="22" s="1"/>
  <c r="M45" i="22"/>
  <c r="T45" i="22" s="1"/>
  <c r="AA45" i="22" s="1"/>
  <c r="L45" i="22"/>
  <c r="S45" i="22" s="1"/>
  <c r="Z45" i="22" s="1"/>
  <c r="K45" i="22"/>
  <c r="R45" i="22" s="1"/>
  <c r="Y45" i="22" s="1"/>
  <c r="Q44" i="22"/>
  <c r="X44" i="22" s="1"/>
  <c r="AE44" i="22" s="1"/>
  <c r="P44" i="22"/>
  <c r="W44" i="22" s="1"/>
  <c r="AD44" i="22" s="1"/>
  <c r="O44" i="22"/>
  <c r="V44" i="22" s="1"/>
  <c r="AC44" i="22" s="1"/>
  <c r="N44" i="22"/>
  <c r="U44" i="22" s="1"/>
  <c r="AB44" i="22" s="1"/>
  <c r="M44" i="22"/>
  <c r="T44" i="22" s="1"/>
  <c r="AA44" i="22" s="1"/>
  <c r="L44" i="22"/>
  <c r="S44" i="22" s="1"/>
  <c r="Z44" i="22" s="1"/>
  <c r="K44" i="22"/>
  <c r="R44" i="22" s="1"/>
  <c r="Y44" i="22" s="1"/>
  <c r="Q43" i="22"/>
  <c r="X43" i="22" s="1"/>
  <c r="AE43" i="22" s="1"/>
  <c r="P43" i="22"/>
  <c r="W43" i="22" s="1"/>
  <c r="AD43" i="22" s="1"/>
  <c r="O43" i="22"/>
  <c r="V43" i="22" s="1"/>
  <c r="AC43" i="22" s="1"/>
  <c r="N43" i="22"/>
  <c r="U43" i="22" s="1"/>
  <c r="AB43" i="22" s="1"/>
  <c r="M43" i="22"/>
  <c r="T43" i="22" s="1"/>
  <c r="AA43" i="22" s="1"/>
  <c r="L43" i="22"/>
  <c r="S43" i="22" s="1"/>
  <c r="Z43" i="22" s="1"/>
  <c r="K43" i="22"/>
  <c r="R43" i="22" s="1"/>
  <c r="Y43" i="22" s="1"/>
  <c r="Q42" i="22"/>
  <c r="X42" i="22" s="1"/>
  <c r="AE42" i="22" s="1"/>
  <c r="P42" i="22"/>
  <c r="W42" i="22" s="1"/>
  <c r="AD42" i="22" s="1"/>
  <c r="O42" i="22"/>
  <c r="V42" i="22" s="1"/>
  <c r="AC42" i="22" s="1"/>
  <c r="N42" i="22"/>
  <c r="U42" i="22" s="1"/>
  <c r="AB42" i="22" s="1"/>
  <c r="M42" i="22"/>
  <c r="T42" i="22" s="1"/>
  <c r="AA42" i="22" s="1"/>
  <c r="L42" i="22"/>
  <c r="S42" i="22" s="1"/>
  <c r="Z42" i="22" s="1"/>
  <c r="K42" i="22"/>
  <c r="R42" i="22" s="1"/>
  <c r="Y42" i="22" s="1"/>
  <c r="Q41" i="22"/>
  <c r="X41" i="22" s="1"/>
  <c r="AE41" i="22" s="1"/>
  <c r="P41" i="22"/>
  <c r="W41" i="22" s="1"/>
  <c r="AD41" i="22" s="1"/>
  <c r="O41" i="22"/>
  <c r="V41" i="22" s="1"/>
  <c r="AC41" i="22" s="1"/>
  <c r="N41" i="22"/>
  <c r="U41" i="22" s="1"/>
  <c r="AB41" i="22" s="1"/>
  <c r="M41" i="22"/>
  <c r="T41" i="22" s="1"/>
  <c r="AA41" i="22" s="1"/>
  <c r="L41" i="22"/>
  <c r="S41" i="22" s="1"/>
  <c r="Z41" i="22" s="1"/>
  <c r="K41" i="22"/>
  <c r="R41" i="22" s="1"/>
  <c r="Y41" i="22" s="1"/>
  <c r="Q40" i="22"/>
  <c r="X40" i="22" s="1"/>
  <c r="AE40" i="22" s="1"/>
  <c r="P40" i="22"/>
  <c r="W40" i="22" s="1"/>
  <c r="AD40" i="22" s="1"/>
  <c r="O40" i="22"/>
  <c r="V40" i="22" s="1"/>
  <c r="AC40" i="22" s="1"/>
  <c r="N40" i="22"/>
  <c r="U40" i="22" s="1"/>
  <c r="AB40" i="22" s="1"/>
  <c r="M40" i="22"/>
  <c r="T40" i="22" s="1"/>
  <c r="AA40" i="22" s="1"/>
  <c r="L40" i="22"/>
  <c r="S40" i="22" s="1"/>
  <c r="Z40" i="22" s="1"/>
  <c r="K40" i="22"/>
  <c r="R40" i="22" s="1"/>
  <c r="Y40" i="22" s="1"/>
  <c r="Q39" i="22"/>
  <c r="X39" i="22" s="1"/>
  <c r="AE39" i="22" s="1"/>
  <c r="P39" i="22"/>
  <c r="W39" i="22" s="1"/>
  <c r="AD39" i="22" s="1"/>
  <c r="O39" i="22"/>
  <c r="V39" i="22" s="1"/>
  <c r="AC39" i="22" s="1"/>
  <c r="N39" i="22"/>
  <c r="U39" i="22" s="1"/>
  <c r="AB39" i="22" s="1"/>
  <c r="M39" i="22"/>
  <c r="T39" i="22" s="1"/>
  <c r="AA39" i="22" s="1"/>
  <c r="L39" i="22"/>
  <c r="S39" i="22" s="1"/>
  <c r="Z39" i="22" s="1"/>
  <c r="K39" i="22"/>
  <c r="R39" i="22" s="1"/>
  <c r="Y39" i="22" s="1"/>
  <c r="Q38" i="22"/>
  <c r="X38" i="22" s="1"/>
  <c r="AE38" i="22" s="1"/>
  <c r="P38" i="22"/>
  <c r="W38" i="22" s="1"/>
  <c r="AD38" i="22" s="1"/>
  <c r="O38" i="22"/>
  <c r="V38" i="22" s="1"/>
  <c r="AC38" i="22" s="1"/>
  <c r="N38" i="22"/>
  <c r="U38" i="22" s="1"/>
  <c r="AB38" i="22" s="1"/>
  <c r="M38" i="22"/>
  <c r="T38" i="22" s="1"/>
  <c r="AA38" i="22" s="1"/>
  <c r="L38" i="22"/>
  <c r="S38" i="22" s="1"/>
  <c r="Z38" i="22" s="1"/>
  <c r="K38" i="22"/>
  <c r="R38" i="22" s="1"/>
  <c r="Y38" i="22" s="1"/>
  <c r="Q37" i="22"/>
  <c r="X37" i="22" s="1"/>
  <c r="AE37" i="22" s="1"/>
  <c r="P37" i="22"/>
  <c r="W37" i="22" s="1"/>
  <c r="AD37" i="22" s="1"/>
  <c r="O37" i="22"/>
  <c r="V37" i="22" s="1"/>
  <c r="AC37" i="22" s="1"/>
  <c r="N37" i="22"/>
  <c r="U37" i="22" s="1"/>
  <c r="AB37" i="22" s="1"/>
  <c r="M37" i="22"/>
  <c r="T37" i="22" s="1"/>
  <c r="AA37" i="22" s="1"/>
  <c r="L37" i="22"/>
  <c r="S37" i="22" s="1"/>
  <c r="Z37" i="22" s="1"/>
  <c r="K37" i="22"/>
  <c r="R37" i="22" s="1"/>
  <c r="Y37" i="22" s="1"/>
  <c r="Q36" i="22"/>
  <c r="X36" i="22" s="1"/>
  <c r="AE36" i="22" s="1"/>
  <c r="P36" i="22"/>
  <c r="W36" i="22" s="1"/>
  <c r="AD36" i="22" s="1"/>
  <c r="O36" i="22"/>
  <c r="V36" i="22" s="1"/>
  <c r="AC36" i="22" s="1"/>
  <c r="N36" i="22"/>
  <c r="U36" i="22" s="1"/>
  <c r="AB36" i="22" s="1"/>
  <c r="M36" i="22"/>
  <c r="T36" i="22" s="1"/>
  <c r="AA36" i="22" s="1"/>
  <c r="L36" i="22"/>
  <c r="S36" i="22" s="1"/>
  <c r="Z36" i="22" s="1"/>
  <c r="K36" i="22"/>
  <c r="R36" i="22" s="1"/>
  <c r="Y36" i="22" s="1"/>
  <c r="Q35" i="22"/>
  <c r="X35" i="22" s="1"/>
  <c r="AE35" i="22" s="1"/>
  <c r="P35" i="22"/>
  <c r="W35" i="22" s="1"/>
  <c r="AD35" i="22" s="1"/>
  <c r="O35" i="22"/>
  <c r="V35" i="22" s="1"/>
  <c r="AC35" i="22" s="1"/>
  <c r="N35" i="22"/>
  <c r="U35" i="22" s="1"/>
  <c r="AB35" i="22" s="1"/>
  <c r="M35" i="22"/>
  <c r="T35" i="22" s="1"/>
  <c r="AA35" i="22" s="1"/>
  <c r="L35" i="22"/>
  <c r="S35" i="22" s="1"/>
  <c r="Z35" i="22" s="1"/>
  <c r="K35" i="22"/>
  <c r="R35" i="22" s="1"/>
  <c r="Y35" i="22" s="1"/>
  <c r="Q34" i="22"/>
  <c r="X34" i="22" s="1"/>
  <c r="AE34" i="22" s="1"/>
  <c r="P34" i="22"/>
  <c r="W34" i="22" s="1"/>
  <c r="AD34" i="22" s="1"/>
  <c r="O34" i="22"/>
  <c r="V34" i="22" s="1"/>
  <c r="AC34" i="22" s="1"/>
  <c r="N34" i="22"/>
  <c r="U34" i="22" s="1"/>
  <c r="AB34" i="22" s="1"/>
  <c r="M34" i="22"/>
  <c r="T34" i="22" s="1"/>
  <c r="AA34" i="22" s="1"/>
  <c r="L34" i="22"/>
  <c r="S34" i="22" s="1"/>
  <c r="Z34" i="22" s="1"/>
  <c r="K34" i="22"/>
  <c r="R34" i="22" s="1"/>
  <c r="Y34" i="22" s="1"/>
  <c r="Q33" i="22"/>
  <c r="X33" i="22" s="1"/>
  <c r="AE33" i="22" s="1"/>
  <c r="P33" i="22"/>
  <c r="W33" i="22" s="1"/>
  <c r="AD33" i="22" s="1"/>
  <c r="O33" i="22"/>
  <c r="V33" i="22" s="1"/>
  <c r="AC33" i="22" s="1"/>
  <c r="N33" i="22"/>
  <c r="U33" i="22" s="1"/>
  <c r="AB33" i="22" s="1"/>
  <c r="M33" i="22"/>
  <c r="T33" i="22" s="1"/>
  <c r="AA33" i="22" s="1"/>
  <c r="L33" i="22"/>
  <c r="S33" i="22" s="1"/>
  <c r="Z33" i="22" s="1"/>
  <c r="K33" i="22"/>
  <c r="R33" i="22" s="1"/>
  <c r="Y33" i="22" s="1"/>
  <c r="Q32" i="22"/>
  <c r="X32" i="22" s="1"/>
  <c r="AE32" i="22" s="1"/>
  <c r="P32" i="22"/>
  <c r="W32" i="22" s="1"/>
  <c r="AD32" i="22" s="1"/>
  <c r="O32" i="22"/>
  <c r="V32" i="22" s="1"/>
  <c r="AC32" i="22" s="1"/>
  <c r="N32" i="22"/>
  <c r="U32" i="22" s="1"/>
  <c r="AB32" i="22" s="1"/>
  <c r="M32" i="22"/>
  <c r="T32" i="22" s="1"/>
  <c r="AA32" i="22" s="1"/>
  <c r="L32" i="22"/>
  <c r="S32" i="22" s="1"/>
  <c r="Z32" i="22" s="1"/>
  <c r="K32" i="22"/>
  <c r="R32" i="22" s="1"/>
  <c r="Y32" i="22" s="1"/>
  <c r="Q31" i="22"/>
  <c r="X31" i="22" s="1"/>
  <c r="AE31" i="22" s="1"/>
  <c r="P31" i="22"/>
  <c r="W31" i="22" s="1"/>
  <c r="AD31" i="22" s="1"/>
  <c r="O31" i="22"/>
  <c r="V31" i="22" s="1"/>
  <c r="AC31" i="22" s="1"/>
  <c r="N31" i="22"/>
  <c r="U31" i="22" s="1"/>
  <c r="AB31" i="22" s="1"/>
  <c r="M31" i="22"/>
  <c r="T31" i="22" s="1"/>
  <c r="AA31" i="22" s="1"/>
  <c r="L31" i="22"/>
  <c r="S31" i="22" s="1"/>
  <c r="Z31" i="22" s="1"/>
  <c r="K31" i="22"/>
  <c r="R31" i="22" s="1"/>
  <c r="Y31" i="22" s="1"/>
  <c r="Q30" i="22"/>
  <c r="X30" i="22" s="1"/>
  <c r="AE30" i="22" s="1"/>
  <c r="P30" i="22"/>
  <c r="W30" i="22" s="1"/>
  <c r="AD30" i="22" s="1"/>
  <c r="O30" i="22"/>
  <c r="V30" i="22" s="1"/>
  <c r="AC30" i="22" s="1"/>
  <c r="N30" i="22"/>
  <c r="U30" i="22" s="1"/>
  <c r="AB30" i="22" s="1"/>
  <c r="M30" i="22"/>
  <c r="T30" i="22" s="1"/>
  <c r="AA30" i="22" s="1"/>
  <c r="L30" i="22"/>
  <c r="S30" i="22" s="1"/>
  <c r="Z30" i="22" s="1"/>
  <c r="K30" i="22"/>
  <c r="R30" i="22" s="1"/>
  <c r="Y30" i="22" s="1"/>
  <c r="Q29" i="22"/>
  <c r="X29" i="22" s="1"/>
  <c r="AE29" i="22" s="1"/>
  <c r="P29" i="22"/>
  <c r="W29" i="22" s="1"/>
  <c r="AD29" i="22" s="1"/>
  <c r="O29" i="22"/>
  <c r="V29" i="22" s="1"/>
  <c r="AC29" i="22" s="1"/>
  <c r="N29" i="22"/>
  <c r="U29" i="22" s="1"/>
  <c r="AB29" i="22" s="1"/>
  <c r="M29" i="22"/>
  <c r="T29" i="22" s="1"/>
  <c r="AA29" i="22" s="1"/>
  <c r="L29" i="22"/>
  <c r="S29" i="22" s="1"/>
  <c r="Z29" i="22" s="1"/>
  <c r="K29" i="22"/>
  <c r="R29" i="22" s="1"/>
  <c r="Y29" i="22" s="1"/>
  <c r="Q28" i="22"/>
  <c r="X28" i="22" s="1"/>
  <c r="AE28" i="22" s="1"/>
  <c r="P28" i="22"/>
  <c r="W28" i="22" s="1"/>
  <c r="AD28" i="22" s="1"/>
  <c r="O28" i="22"/>
  <c r="V28" i="22" s="1"/>
  <c r="AC28" i="22" s="1"/>
  <c r="N28" i="22"/>
  <c r="U28" i="22" s="1"/>
  <c r="AB28" i="22" s="1"/>
  <c r="M28" i="22"/>
  <c r="T28" i="22" s="1"/>
  <c r="AA28" i="22" s="1"/>
  <c r="L28" i="22"/>
  <c r="S28" i="22" s="1"/>
  <c r="Z28" i="22" s="1"/>
  <c r="K28" i="22"/>
  <c r="R28" i="22" s="1"/>
  <c r="Y28" i="22" s="1"/>
  <c r="Q27" i="22"/>
  <c r="X27" i="22" s="1"/>
  <c r="AE27" i="22" s="1"/>
  <c r="P27" i="22"/>
  <c r="W27" i="22" s="1"/>
  <c r="AD27" i="22" s="1"/>
  <c r="O27" i="22"/>
  <c r="V27" i="22" s="1"/>
  <c r="AC27" i="22" s="1"/>
  <c r="N27" i="22"/>
  <c r="U27" i="22" s="1"/>
  <c r="AB27" i="22" s="1"/>
  <c r="M27" i="22"/>
  <c r="T27" i="22" s="1"/>
  <c r="AA27" i="22" s="1"/>
  <c r="L27" i="22"/>
  <c r="S27" i="22" s="1"/>
  <c r="Z27" i="22" s="1"/>
  <c r="K27" i="22"/>
  <c r="R27" i="22" s="1"/>
  <c r="Y27" i="22" s="1"/>
  <c r="Q26" i="22"/>
  <c r="X26" i="22" s="1"/>
  <c r="AE26" i="22" s="1"/>
  <c r="P26" i="22"/>
  <c r="W26" i="22" s="1"/>
  <c r="AD26" i="22" s="1"/>
  <c r="O26" i="22"/>
  <c r="V26" i="22" s="1"/>
  <c r="AC26" i="22" s="1"/>
  <c r="N26" i="22"/>
  <c r="U26" i="22" s="1"/>
  <c r="AB26" i="22" s="1"/>
  <c r="M26" i="22"/>
  <c r="T26" i="22" s="1"/>
  <c r="AA26" i="22" s="1"/>
  <c r="L26" i="22"/>
  <c r="S26" i="22" s="1"/>
  <c r="Z26" i="22" s="1"/>
  <c r="K26" i="22"/>
  <c r="R26" i="22" s="1"/>
  <c r="Y26" i="22" s="1"/>
  <c r="Q25" i="22"/>
  <c r="X25" i="22" s="1"/>
  <c r="AE25" i="22" s="1"/>
  <c r="P25" i="22"/>
  <c r="W25" i="22" s="1"/>
  <c r="AD25" i="22" s="1"/>
  <c r="O25" i="22"/>
  <c r="V25" i="22" s="1"/>
  <c r="AC25" i="22" s="1"/>
  <c r="N25" i="22"/>
  <c r="U25" i="22" s="1"/>
  <c r="AB25" i="22" s="1"/>
  <c r="M25" i="22"/>
  <c r="T25" i="22" s="1"/>
  <c r="AA25" i="22" s="1"/>
  <c r="L25" i="22"/>
  <c r="S25" i="22" s="1"/>
  <c r="Z25" i="22" s="1"/>
  <c r="K25" i="22"/>
  <c r="R25" i="22" s="1"/>
  <c r="Y25" i="22" s="1"/>
  <c r="Q24" i="22"/>
  <c r="X24" i="22" s="1"/>
  <c r="AE24" i="22" s="1"/>
  <c r="P24" i="22"/>
  <c r="W24" i="22" s="1"/>
  <c r="AD24" i="22" s="1"/>
  <c r="O24" i="22"/>
  <c r="V24" i="22" s="1"/>
  <c r="AC24" i="22" s="1"/>
  <c r="N24" i="22"/>
  <c r="U24" i="22" s="1"/>
  <c r="AB24" i="22" s="1"/>
  <c r="M24" i="22"/>
  <c r="T24" i="22" s="1"/>
  <c r="AA24" i="22" s="1"/>
  <c r="L24" i="22"/>
  <c r="S24" i="22" s="1"/>
  <c r="Z24" i="22" s="1"/>
  <c r="K24" i="22"/>
  <c r="R24" i="22" s="1"/>
  <c r="Y24" i="22" s="1"/>
  <c r="Q23" i="22"/>
  <c r="X23" i="22" s="1"/>
  <c r="AE23" i="22" s="1"/>
  <c r="P23" i="22"/>
  <c r="W23" i="22" s="1"/>
  <c r="AD23" i="22" s="1"/>
  <c r="O23" i="22"/>
  <c r="V23" i="22" s="1"/>
  <c r="AC23" i="22" s="1"/>
  <c r="N23" i="22"/>
  <c r="U23" i="22" s="1"/>
  <c r="AB23" i="22" s="1"/>
  <c r="M23" i="22"/>
  <c r="T23" i="22" s="1"/>
  <c r="AA23" i="22" s="1"/>
  <c r="L23" i="22"/>
  <c r="S23" i="22" s="1"/>
  <c r="Z23" i="22" s="1"/>
  <c r="K23" i="22"/>
  <c r="R23" i="22" s="1"/>
  <c r="Y23" i="22" s="1"/>
  <c r="Q22" i="22"/>
  <c r="X22" i="22" s="1"/>
  <c r="AE22" i="22" s="1"/>
  <c r="P22" i="22"/>
  <c r="W22" i="22" s="1"/>
  <c r="AD22" i="22" s="1"/>
  <c r="O22" i="22"/>
  <c r="V22" i="22" s="1"/>
  <c r="AC22" i="22" s="1"/>
  <c r="N22" i="22"/>
  <c r="U22" i="22" s="1"/>
  <c r="AB22" i="22" s="1"/>
  <c r="M22" i="22"/>
  <c r="T22" i="22" s="1"/>
  <c r="AA22" i="22" s="1"/>
  <c r="L22" i="22"/>
  <c r="S22" i="22" s="1"/>
  <c r="Z22" i="22" s="1"/>
  <c r="K22" i="22"/>
  <c r="R22" i="22" s="1"/>
  <c r="Y22" i="22" s="1"/>
  <c r="Q21" i="22"/>
  <c r="X21" i="22" s="1"/>
  <c r="AE21" i="22" s="1"/>
  <c r="P21" i="22"/>
  <c r="W21" i="22" s="1"/>
  <c r="AD21" i="22" s="1"/>
  <c r="O21" i="22"/>
  <c r="V21" i="22" s="1"/>
  <c r="AC21" i="22" s="1"/>
  <c r="N21" i="22"/>
  <c r="U21" i="22" s="1"/>
  <c r="AB21" i="22" s="1"/>
  <c r="M21" i="22"/>
  <c r="T21" i="22" s="1"/>
  <c r="AA21" i="22" s="1"/>
  <c r="L21" i="22"/>
  <c r="S21" i="22" s="1"/>
  <c r="Z21" i="22" s="1"/>
  <c r="K21" i="22"/>
  <c r="R21" i="22" s="1"/>
  <c r="Y21" i="22" s="1"/>
  <c r="Q20" i="22"/>
  <c r="X20" i="22" s="1"/>
  <c r="AE20" i="22" s="1"/>
  <c r="P20" i="22"/>
  <c r="W20" i="22" s="1"/>
  <c r="AD20" i="22" s="1"/>
  <c r="O20" i="22"/>
  <c r="V20" i="22" s="1"/>
  <c r="AC20" i="22" s="1"/>
  <c r="N20" i="22"/>
  <c r="U20" i="22" s="1"/>
  <c r="AB20" i="22" s="1"/>
  <c r="M20" i="22"/>
  <c r="T20" i="22" s="1"/>
  <c r="AA20" i="22" s="1"/>
  <c r="L20" i="22"/>
  <c r="S20" i="22" s="1"/>
  <c r="Z20" i="22" s="1"/>
  <c r="K20" i="22"/>
  <c r="R20" i="22" s="1"/>
  <c r="Y20" i="22" s="1"/>
  <c r="Q19" i="22"/>
  <c r="X19" i="22" s="1"/>
  <c r="AE19" i="22" s="1"/>
  <c r="P19" i="22"/>
  <c r="W19" i="22" s="1"/>
  <c r="AD19" i="22" s="1"/>
  <c r="O19" i="22"/>
  <c r="V19" i="22" s="1"/>
  <c r="AC19" i="22" s="1"/>
  <c r="N19" i="22"/>
  <c r="U19" i="22" s="1"/>
  <c r="AB19" i="22" s="1"/>
  <c r="M19" i="22"/>
  <c r="T19" i="22" s="1"/>
  <c r="AA19" i="22" s="1"/>
  <c r="L19" i="22"/>
  <c r="S19" i="22" s="1"/>
  <c r="Z19" i="22" s="1"/>
  <c r="K19" i="22"/>
  <c r="R19" i="22" s="1"/>
  <c r="Y19" i="22" s="1"/>
  <c r="Q18" i="22"/>
  <c r="X18" i="22" s="1"/>
  <c r="AE18" i="22" s="1"/>
  <c r="P18" i="22"/>
  <c r="W18" i="22" s="1"/>
  <c r="AD18" i="22" s="1"/>
  <c r="O18" i="22"/>
  <c r="V18" i="22" s="1"/>
  <c r="AC18" i="22" s="1"/>
  <c r="N18" i="22"/>
  <c r="U18" i="22" s="1"/>
  <c r="AB18" i="22" s="1"/>
  <c r="M18" i="22"/>
  <c r="T18" i="22" s="1"/>
  <c r="AA18" i="22" s="1"/>
  <c r="L18" i="22"/>
  <c r="S18" i="22" s="1"/>
  <c r="Z18" i="22" s="1"/>
  <c r="K18" i="22"/>
  <c r="R18" i="22" s="1"/>
  <c r="Y18" i="22" s="1"/>
  <c r="Q17" i="22"/>
  <c r="X17" i="22" s="1"/>
  <c r="AE17" i="22" s="1"/>
  <c r="P17" i="22"/>
  <c r="W17" i="22" s="1"/>
  <c r="AD17" i="22" s="1"/>
  <c r="O17" i="22"/>
  <c r="V17" i="22" s="1"/>
  <c r="AC17" i="22" s="1"/>
  <c r="N17" i="22"/>
  <c r="U17" i="22" s="1"/>
  <c r="AB17" i="22" s="1"/>
  <c r="M17" i="22"/>
  <c r="T17" i="22" s="1"/>
  <c r="AA17" i="22" s="1"/>
  <c r="L17" i="22"/>
  <c r="S17" i="22" s="1"/>
  <c r="Z17" i="22" s="1"/>
  <c r="K17" i="22"/>
  <c r="R17" i="22" s="1"/>
  <c r="Y17" i="22" s="1"/>
  <c r="Q16" i="22"/>
  <c r="X16" i="22" s="1"/>
  <c r="AE16" i="22" s="1"/>
  <c r="P16" i="22"/>
  <c r="W16" i="22" s="1"/>
  <c r="AD16" i="22" s="1"/>
  <c r="O16" i="22"/>
  <c r="V16" i="22" s="1"/>
  <c r="AC16" i="22" s="1"/>
  <c r="N16" i="22"/>
  <c r="U16" i="22" s="1"/>
  <c r="AB16" i="22" s="1"/>
  <c r="M16" i="22"/>
  <c r="T16" i="22" s="1"/>
  <c r="AA16" i="22" s="1"/>
  <c r="L16" i="22"/>
  <c r="S16" i="22" s="1"/>
  <c r="Z16" i="22" s="1"/>
  <c r="K16" i="22"/>
  <c r="R16" i="22" s="1"/>
  <c r="Y16" i="22" s="1"/>
  <c r="Q15" i="22"/>
  <c r="X15" i="22" s="1"/>
  <c r="AE15" i="22" s="1"/>
  <c r="P15" i="22"/>
  <c r="W15" i="22" s="1"/>
  <c r="AD15" i="22" s="1"/>
  <c r="O15" i="22"/>
  <c r="V15" i="22" s="1"/>
  <c r="AC15" i="22" s="1"/>
  <c r="N15" i="22"/>
  <c r="U15" i="22" s="1"/>
  <c r="AB15" i="22" s="1"/>
  <c r="M15" i="22"/>
  <c r="T15" i="22" s="1"/>
  <c r="AA15" i="22" s="1"/>
  <c r="L15" i="22"/>
  <c r="S15" i="22" s="1"/>
  <c r="Z15" i="22" s="1"/>
  <c r="K15" i="22"/>
  <c r="R15" i="22" s="1"/>
  <c r="Y15" i="22" s="1"/>
  <c r="Q14" i="22"/>
  <c r="X14" i="22" s="1"/>
  <c r="AE14" i="22" s="1"/>
  <c r="P14" i="22"/>
  <c r="W14" i="22" s="1"/>
  <c r="AD14" i="22" s="1"/>
  <c r="O14" i="22"/>
  <c r="V14" i="22" s="1"/>
  <c r="AC14" i="22" s="1"/>
  <c r="N14" i="22"/>
  <c r="U14" i="22" s="1"/>
  <c r="AB14" i="22" s="1"/>
  <c r="M14" i="22"/>
  <c r="T14" i="22" s="1"/>
  <c r="AA14" i="22" s="1"/>
  <c r="L14" i="22"/>
  <c r="S14" i="22" s="1"/>
  <c r="Z14" i="22" s="1"/>
  <c r="K14" i="22"/>
  <c r="R14" i="22" s="1"/>
  <c r="Y14" i="22" s="1"/>
  <c r="Q13" i="22"/>
  <c r="X13" i="22" s="1"/>
  <c r="AE13" i="22" s="1"/>
  <c r="P13" i="22"/>
  <c r="W13" i="22" s="1"/>
  <c r="AD13" i="22" s="1"/>
  <c r="O13" i="22"/>
  <c r="V13" i="22" s="1"/>
  <c r="AC13" i="22" s="1"/>
  <c r="N13" i="22"/>
  <c r="U13" i="22" s="1"/>
  <c r="AB13" i="22" s="1"/>
  <c r="M13" i="22"/>
  <c r="T13" i="22" s="1"/>
  <c r="AA13" i="22" s="1"/>
  <c r="L13" i="22"/>
  <c r="S13" i="22" s="1"/>
  <c r="Z13" i="22" s="1"/>
  <c r="K13" i="22"/>
  <c r="R13" i="22" s="1"/>
  <c r="Y13" i="22" s="1"/>
  <c r="Q12" i="22"/>
  <c r="X12" i="22" s="1"/>
  <c r="AE12" i="22" s="1"/>
  <c r="P12" i="22"/>
  <c r="W12" i="22" s="1"/>
  <c r="AD12" i="22" s="1"/>
  <c r="O12" i="22"/>
  <c r="V12" i="22" s="1"/>
  <c r="AC12" i="22" s="1"/>
  <c r="N12" i="22"/>
  <c r="U12" i="22" s="1"/>
  <c r="AB12" i="22" s="1"/>
  <c r="M12" i="22"/>
  <c r="T12" i="22" s="1"/>
  <c r="AA12" i="22" s="1"/>
  <c r="L12" i="22"/>
  <c r="S12" i="22" s="1"/>
  <c r="Z12" i="22" s="1"/>
  <c r="K12" i="22"/>
  <c r="R12" i="22" s="1"/>
  <c r="Y12" i="22" s="1"/>
  <c r="Q11" i="22"/>
  <c r="X11" i="22" s="1"/>
  <c r="AE11" i="22" s="1"/>
  <c r="P11" i="22"/>
  <c r="W11" i="22" s="1"/>
  <c r="AD11" i="22" s="1"/>
  <c r="O11" i="22"/>
  <c r="V11" i="22" s="1"/>
  <c r="AC11" i="22" s="1"/>
  <c r="N11" i="22"/>
  <c r="U11" i="22" s="1"/>
  <c r="AB11" i="22" s="1"/>
  <c r="M11" i="22"/>
  <c r="T11" i="22" s="1"/>
  <c r="AA11" i="22" s="1"/>
  <c r="L11" i="22"/>
  <c r="S11" i="22" s="1"/>
  <c r="Z11" i="22" s="1"/>
  <c r="K11" i="22"/>
  <c r="R11" i="22" s="1"/>
  <c r="Y11" i="22" s="1"/>
  <c r="Q10" i="22"/>
  <c r="X10" i="22" s="1"/>
  <c r="AE10" i="22" s="1"/>
  <c r="P10" i="22"/>
  <c r="W10" i="22" s="1"/>
  <c r="AD10" i="22" s="1"/>
  <c r="O10" i="22"/>
  <c r="V10" i="22" s="1"/>
  <c r="AC10" i="22" s="1"/>
  <c r="N10" i="22"/>
  <c r="U10" i="22" s="1"/>
  <c r="AB10" i="22" s="1"/>
  <c r="M10" i="22"/>
  <c r="T10" i="22" s="1"/>
  <c r="AA10" i="22" s="1"/>
  <c r="L10" i="22"/>
  <c r="S10" i="22" s="1"/>
  <c r="Z10" i="22" s="1"/>
  <c r="K10" i="22"/>
  <c r="R10" i="22" s="1"/>
  <c r="Y10" i="22" s="1"/>
  <c r="Q9" i="22"/>
  <c r="X9" i="22" s="1"/>
  <c r="AE9" i="22" s="1"/>
  <c r="P9" i="22"/>
  <c r="W9" i="22" s="1"/>
  <c r="AD9" i="22" s="1"/>
  <c r="O9" i="22"/>
  <c r="V9" i="22" s="1"/>
  <c r="AC9" i="22" s="1"/>
  <c r="N9" i="22"/>
  <c r="U9" i="22" s="1"/>
  <c r="AB9" i="22" s="1"/>
  <c r="M9" i="22"/>
  <c r="T9" i="22" s="1"/>
  <c r="AA9" i="22" s="1"/>
  <c r="L9" i="22"/>
  <c r="S9" i="22" s="1"/>
  <c r="Z9" i="22" s="1"/>
  <c r="K9" i="22"/>
  <c r="R9" i="22" s="1"/>
  <c r="Y9" i="22" s="1"/>
  <c r="Q8" i="22"/>
  <c r="X8" i="22" s="1"/>
  <c r="AE8" i="22" s="1"/>
  <c r="P8" i="22"/>
  <c r="W8" i="22" s="1"/>
  <c r="AD8" i="22" s="1"/>
  <c r="O8" i="22"/>
  <c r="V8" i="22" s="1"/>
  <c r="AC8" i="22" s="1"/>
  <c r="N8" i="22"/>
  <c r="U8" i="22" s="1"/>
  <c r="AB8" i="22" s="1"/>
  <c r="M8" i="22"/>
  <c r="T8" i="22" s="1"/>
  <c r="AA8" i="22" s="1"/>
  <c r="L8" i="22"/>
  <c r="S8" i="22" s="1"/>
  <c r="Z8" i="22" s="1"/>
  <c r="K8" i="22"/>
  <c r="R8" i="22" s="1"/>
  <c r="Y8" i="22" s="1"/>
  <c r="Q7" i="22"/>
  <c r="X7" i="22" s="1"/>
  <c r="AE7" i="22" s="1"/>
  <c r="P7" i="22"/>
  <c r="W7" i="22" s="1"/>
  <c r="AD7" i="22" s="1"/>
  <c r="O7" i="22"/>
  <c r="V7" i="22" s="1"/>
  <c r="AC7" i="22" s="1"/>
  <c r="N7" i="22"/>
  <c r="U7" i="22" s="1"/>
  <c r="AB7" i="22" s="1"/>
  <c r="M7" i="22"/>
  <c r="T7" i="22" s="1"/>
  <c r="AA7" i="22" s="1"/>
  <c r="L7" i="22"/>
  <c r="S7" i="22" s="1"/>
  <c r="Z7" i="22" s="1"/>
  <c r="K7" i="22"/>
  <c r="R7" i="22" s="1"/>
  <c r="Y7" i="22" s="1"/>
  <c r="Q6" i="22"/>
  <c r="X6" i="22" s="1"/>
  <c r="AE6" i="22" s="1"/>
  <c r="P6" i="22"/>
  <c r="W6" i="22" s="1"/>
  <c r="AD6" i="22" s="1"/>
  <c r="O6" i="22"/>
  <c r="V6" i="22" s="1"/>
  <c r="AC6" i="22" s="1"/>
  <c r="N6" i="22"/>
  <c r="U6" i="22" s="1"/>
  <c r="AB6" i="22" s="1"/>
  <c r="M6" i="22"/>
  <c r="T6" i="22" s="1"/>
  <c r="AA6" i="22" s="1"/>
  <c r="S6" i="22"/>
  <c r="Z6" i="22" s="1"/>
  <c r="K6" i="22"/>
  <c r="R6" i="22" s="1"/>
  <c r="Y6" i="22" s="1"/>
  <c r="Q5" i="22"/>
  <c r="X5" i="22" s="1"/>
  <c r="AE5" i="22" s="1"/>
  <c r="P5" i="22"/>
  <c r="W5" i="22" s="1"/>
  <c r="AD5" i="22" s="1"/>
  <c r="O5" i="22"/>
  <c r="V5" i="22" s="1"/>
  <c r="AC5" i="22" s="1"/>
  <c r="N5" i="22"/>
  <c r="U5" i="22" s="1"/>
  <c r="AB5" i="22" s="1"/>
  <c r="M5" i="22"/>
  <c r="T5" i="22" s="1"/>
  <c r="AA5" i="22" s="1"/>
  <c r="L5" i="22"/>
  <c r="S5" i="22" s="1"/>
  <c r="Z5" i="22" s="1"/>
  <c r="K5" i="22"/>
  <c r="R5" i="22" s="1"/>
  <c r="Y5" i="22" s="1"/>
  <c r="Q4" i="22"/>
  <c r="X4" i="22" s="1"/>
  <c r="AE4" i="22" s="1"/>
  <c r="P4" i="22"/>
  <c r="W4" i="22" s="1"/>
  <c r="AD4" i="22" s="1"/>
  <c r="O4" i="22"/>
  <c r="V4" i="22" s="1"/>
  <c r="AC4" i="22" s="1"/>
  <c r="N4" i="22"/>
  <c r="U4" i="22" s="1"/>
  <c r="AB4" i="22" s="1"/>
  <c r="M4" i="22"/>
  <c r="T4" i="22" s="1"/>
  <c r="AA4" i="22" s="1"/>
  <c r="L4" i="22"/>
  <c r="S4" i="22" s="1"/>
  <c r="Z4" i="22" s="1"/>
  <c r="K4" i="22"/>
  <c r="R4" i="22" s="1"/>
  <c r="Y4" i="22" s="1"/>
  <c r="Q103" i="21"/>
  <c r="X103" i="21" s="1"/>
  <c r="AE103" i="21" s="1"/>
  <c r="P103" i="21"/>
  <c r="W103" i="21" s="1"/>
  <c r="AD103" i="21" s="1"/>
  <c r="O103" i="21"/>
  <c r="V103" i="21" s="1"/>
  <c r="AC103" i="21" s="1"/>
  <c r="N103" i="21"/>
  <c r="U103" i="21" s="1"/>
  <c r="AB103" i="21" s="1"/>
  <c r="M103" i="21"/>
  <c r="T103" i="21" s="1"/>
  <c r="AA103" i="21" s="1"/>
  <c r="L103" i="21"/>
  <c r="S103" i="21" s="1"/>
  <c r="Z103" i="21" s="1"/>
  <c r="K103" i="21"/>
  <c r="R103" i="21" s="1"/>
  <c r="Y103" i="21" s="1"/>
  <c r="Q102" i="21"/>
  <c r="X102" i="21" s="1"/>
  <c r="AE102" i="21" s="1"/>
  <c r="P102" i="21"/>
  <c r="W102" i="21" s="1"/>
  <c r="AD102" i="21" s="1"/>
  <c r="O102" i="21"/>
  <c r="V102" i="21" s="1"/>
  <c r="AC102" i="21" s="1"/>
  <c r="N102" i="21"/>
  <c r="U102" i="21" s="1"/>
  <c r="AB102" i="21" s="1"/>
  <c r="M102" i="21"/>
  <c r="T102" i="21" s="1"/>
  <c r="AA102" i="21" s="1"/>
  <c r="L102" i="21"/>
  <c r="S102" i="21" s="1"/>
  <c r="Z102" i="21" s="1"/>
  <c r="K102" i="21"/>
  <c r="R102" i="21" s="1"/>
  <c r="Y102" i="21" s="1"/>
  <c r="Q101" i="21"/>
  <c r="X101" i="21" s="1"/>
  <c r="AE101" i="21" s="1"/>
  <c r="P101" i="21"/>
  <c r="W101" i="21" s="1"/>
  <c r="AD101" i="21" s="1"/>
  <c r="O101" i="21"/>
  <c r="V101" i="21" s="1"/>
  <c r="AC101" i="21" s="1"/>
  <c r="N101" i="21"/>
  <c r="U101" i="21" s="1"/>
  <c r="AB101" i="21" s="1"/>
  <c r="M101" i="21"/>
  <c r="T101" i="21" s="1"/>
  <c r="AA101" i="21" s="1"/>
  <c r="L101" i="21"/>
  <c r="S101" i="21" s="1"/>
  <c r="Z101" i="21" s="1"/>
  <c r="K101" i="21"/>
  <c r="Q100" i="21"/>
  <c r="X100" i="21" s="1"/>
  <c r="AE100" i="21" s="1"/>
  <c r="P100" i="21"/>
  <c r="O100" i="21"/>
  <c r="V100" i="21" s="1"/>
  <c r="AC100" i="21" s="1"/>
  <c r="N100" i="21"/>
  <c r="U100" i="21" s="1"/>
  <c r="AB100" i="21" s="1"/>
  <c r="M100" i="21"/>
  <c r="T100" i="21" s="1"/>
  <c r="AA100" i="21" s="1"/>
  <c r="L100" i="21"/>
  <c r="K100" i="21"/>
  <c r="R100" i="21" s="1"/>
  <c r="Y100" i="21" s="1"/>
  <c r="Q99" i="21"/>
  <c r="P99" i="21"/>
  <c r="W99" i="21" s="1"/>
  <c r="AD99" i="21" s="1"/>
  <c r="O99" i="21"/>
  <c r="V99" i="21" s="1"/>
  <c r="AC99" i="21" s="1"/>
  <c r="N99" i="21"/>
  <c r="U99" i="21" s="1"/>
  <c r="AB99" i="21" s="1"/>
  <c r="M99" i="21"/>
  <c r="L99" i="21"/>
  <c r="S99" i="21" s="1"/>
  <c r="Z99" i="21" s="1"/>
  <c r="K99" i="21"/>
  <c r="R99" i="21" s="1"/>
  <c r="Y99" i="21" s="1"/>
  <c r="Q98" i="21"/>
  <c r="X98" i="21" s="1"/>
  <c r="AE98" i="21" s="1"/>
  <c r="P98" i="21"/>
  <c r="W98" i="21" s="1"/>
  <c r="AD98" i="21" s="1"/>
  <c r="O98" i="21"/>
  <c r="V98" i="21" s="1"/>
  <c r="AC98" i="21" s="1"/>
  <c r="N98" i="21"/>
  <c r="U98" i="21" s="1"/>
  <c r="AB98" i="21" s="1"/>
  <c r="M98" i="21"/>
  <c r="T98" i="21" s="1"/>
  <c r="AA98" i="21" s="1"/>
  <c r="L98" i="21"/>
  <c r="S98" i="21" s="1"/>
  <c r="Z98" i="21" s="1"/>
  <c r="K98" i="21"/>
  <c r="R98" i="21" s="1"/>
  <c r="Y98" i="21" s="1"/>
  <c r="Q97" i="21"/>
  <c r="X97" i="21" s="1"/>
  <c r="AE97" i="21" s="1"/>
  <c r="P97" i="21"/>
  <c r="W97" i="21" s="1"/>
  <c r="AD97" i="21" s="1"/>
  <c r="O97" i="21"/>
  <c r="V97" i="21" s="1"/>
  <c r="AC97" i="21" s="1"/>
  <c r="N97" i="21"/>
  <c r="U97" i="21" s="1"/>
  <c r="AB97" i="21" s="1"/>
  <c r="M97" i="21"/>
  <c r="T97" i="21" s="1"/>
  <c r="AA97" i="21" s="1"/>
  <c r="L97" i="21"/>
  <c r="S97" i="21" s="1"/>
  <c r="Z97" i="21" s="1"/>
  <c r="K97" i="21"/>
  <c r="R97" i="21" s="1"/>
  <c r="Y97" i="21" s="1"/>
  <c r="Q96" i="21"/>
  <c r="X96" i="21" s="1"/>
  <c r="AE96" i="21" s="1"/>
  <c r="P96" i="21"/>
  <c r="O96" i="21"/>
  <c r="V96" i="21" s="1"/>
  <c r="AC96" i="21" s="1"/>
  <c r="N96" i="21"/>
  <c r="U96" i="21" s="1"/>
  <c r="AB96" i="21" s="1"/>
  <c r="M96" i="21"/>
  <c r="T96" i="21" s="1"/>
  <c r="AA96" i="21" s="1"/>
  <c r="L96" i="21"/>
  <c r="K96" i="21"/>
  <c r="R96" i="21" s="1"/>
  <c r="Y96" i="21" s="1"/>
  <c r="Q95" i="21"/>
  <c r="P95" i="21"/>
  <c r="W95" i="21" s="1"/>
  <c r="AD95" i="21" s="1"/>
  <c r="O95" i="21"/>
  <c r="V95" i="21" s="1"/>
  <c r="AC95" i="21" s="1"/>
  <c r="N95" i="21"/>
  <c r="U95" i="21" s="1"/>
  <c r="AB95" i="21" s="1"/>
  <c r="M95" i="21"/>
  <c r="T95" i="21" s="1"/>
  <c r="AA95" i="21" s="1"/>
  <c r="L95" i="21"/>
  <c r="S95" i="21" s="1"/>
  <c r="Z95" i="21" s="1"/>
  <c r="K95" i="21"/>
  <c r="R95" i="21" s="1"/>
  <c r="Y95" i="21" s="1"/>
  <c r="Q94" i="21"/>
  <c r="X94" i="21" s="1"/>
  <c r="AE94" i="21" s="1"/>
  <c r="P94" i="21"/>
  <c r="W94" i="21" s="1"/>
  <c r="AD94" i="21" s="1"/>
  <c r="O94" i="21"/>
  <c r="V94" i="21" s="1"/>
  <c r="AC94" i="21" s="1"/>
  <c r="N94" i="21"/>
  <c r="U94" i="21" s="1"/>
  <c r="AB94" i="21" s="1"/>
  <c r="M94" i="21"/>
  <c r="T94" i="21" s="1"/>
  <c r="AA94" i="21" s="1"/>
  <c r="L94" i="21"/>
  <c r="S94" i="21" s="1"/>
  <c r="Z94" i="21" s="1"/>
  <c r="K94" i="21"/>
  <c r="R94" i="21" s="1"/>
  <c r="Y94" i="21" s="1"/>
  <c r="Q93" i="21"/>
  <c r="X93" i="21" s="1"/>
  <c r="AE93" i="21" s="1"/>
  <c r="P93" i="21"/>
  <c r="W93" i="21" s="1"/>
  <c r="AD93" i="21" s="1"/>
  <c r="O93" i="21"/>
  <c r="V93" i="21" s="1"/>
  <c r="AC93" i="21" s="1"/>
  <c r="N93" i="21"/>
  <c r="U93" i="21" s="1"/>
  <c r="AB93" i="21" s="1"/>
  <c r="M93" i="21"/>
  <c r="T93" i="21" s="1"/>
  <c r="AA93" i="21" s="1"/>
  <c r="L93" i="21"/>
  <c r="S93" i="21" s="1"/>
  <c r="Z93" i="21" s="1"/>
  <c r="K93" i="21"/>
  <c r="Q92" i="21"/>
  <c r="X92" i="21" s="1"/>
  <c r="AE92" i="21" s="1"/>
  <c r="P92" i="21"/>
  <c r="O92" i="21"/>
  <c r="V92" i="21" s="1"/>
  <c r="AC92" i="21" s="1"/>
  <c r="N92" i="21"/>
  <c r="U92" i="21" s="1"/>
  <c r="AB92" i="21" s="1"/>
  <c r="M92" i="21"/>
  <c r="T92" i="21" s="1"/>
  <c r="AA92" i="21" s="1"/>
  <c r="L92" i="21"/>
  <c r="K92" i="21"/>
  <c r="R92" i="21" s="1"/>
  <c r="Y92" i="21" s="1"/>
  <c r="Q91" i="21"/>
  <c r="P91" i="21"/>
  <c r="W91" i="21" s="1"/>
  <c r="AD91" i="21" s="1"/>
  <c r="O91" i="21"/>
  <c r="V91" i="21" s="1"/>
  <c r="AC91" i="21" s="1"/>
  <c r="N91" i="21"/>
  <c r="U91" i="21" s="1"/>
  <c r="AB91" i="21" s="1"/>
  <c r="M91" i="21"/>
  <c r="L91" i="21"/>
  <c r="S91" i="21" s="1"/>
  <c r="Z91" i="21" s="1"/>
  <c r="K91" i="21"/>
  <c r="R91" i="21" s="1"/>
  <c r="Y91" i="21" s="1"/>
  <c r="Q90" i="21"/>
  <c r="X90" i="21" s="1"/>
  <c r="AE90" i="21" s="1"/>
  <c r="P90" i="21"/>
  <c r="W90" i="21" s="1"/>
  <c r="AD90" i="21" s="1"/>
  <c r="O90" i="21"/>
  <c r="V90" i="21" s="1"/>
  <c r="AC90" i="21" s="1"/>
  <c r="N90" i="21"/>
  <c r="U90" i="21" s="1"/>
  <c r="AB90" i="21" s="1"/>
  <c r="M90" i="21"/>
  <c r="T90" i="21" s="1"/>
  <c r="AA90" i="21" s="1"/>
  <c r="L90" i="21"/>
  <c r="S90" i="21" s="1"/>
  <c r="Z90" i="21" s="1"/>
  <c r="K90" i="21"/>
  <c r="R90" i="21" s="1"/>
  <c r="Y90" i="21" s="1"/>
  <c r="Q89" i="21"/>
  <c r="X89" i="21" s="1"/>
  <c r="AE89" i="21" s="1"/>
  <c r="P89" i="21"/>
  <c r="W89" i="21" s="1"/>
  <c r="AD89" i="21" s="1"/>
  <c r="O89" i="21"/>
  <c r="V89" i="21" s="1"/>
  <c r="AC89" i="21" s="1"/>
  <c r="N89" i="21"/>
  <c r="U89" i="21" s="1"/>
  <c r="AB89" i="21" s="1"/>
  <c r="M89" i="21"/>
  <c r="T89" i="21" s="1"/>
  <c r="AA89" i="21" s="1"/>
  <c r="L89" i="21"/>
  <c r="S89" i="21" s="1"/>
  <c r="Z89" i="21" s="1"/>
  <c r="K89" i="21"/>
  <c r="R89" i="21" s="1"/>
  <c r="Y89" i="21" s="1"/>
  <c r="Q88" i="21"/>
  <c r="X88" i="21" s="1"/>
  <c r="AE88" i="21" s="1"/>
  <c r="P88" i="21"/>
  <c r="W88" i="21" s="1"/>
  <c r="AD88" i="21" s="1"/>
  <c r="O88" i="21"/>
  <c r="V88" i="21" s="1"/>
  <c r="AC88" i="21" s="1"/>
  <c r="N88" i="21"/>
  <c r="U88" i="21" s="1"/>
  <c r="AB88" i="21" s="1"/>
  <c r="M88" i="21"/>
  <c r="T88" i="21" s="1"/>
  <c r="AA88" i="21" s="1"/>
  <c r="L88" i="21"/>
  <c r="S88" i="21" s="1"/>
  <c r="Z88" i="21" s="1"/>
  <c r="K88" i="21"/>
  <c r="R88" i="21" s="1"/>
  <c r="Y88" i="21" s="1"/>
  <c r="Q87" i="21"/>
  <c r="P87" i="21"/>
  <c r="W87" i="21" s="1"/>
  <c r="AD87" i="21" s="1"/>
  <c r="O87" i="21"/>
  <c r="V87" i="21" s="1"/>
  <c r="AC87" i="21" s="1"/>
  <c r="N87" i="21"/>
  <c r="U87" i="21" s="1"/>
  <c r="AB87" i="21" s="1"/>
  <c r="M87" i="21"/>
  <c r="L87" i="21"/>
  <c r="S87" i="21" s="1"/>
  <c r="Z87" i="21" s="1"/>
  <c r="K87" i="21"/>
  <c r="R87" i="21" s="1"/>
  <c r="Y87" i="21" s="1"/>
  <c r="Q86" i="21"/>
  <c r="X86" i="21" s="1"/>
  <c r="AE86" i="21" s="1"/>
  <c r="P86" i="21"/>
  <c r="W86" i="21" s="1"/>
  <c r="AD86" i="21" s="1"/>
  <c r="O86" i="21"/>
  <c r="V86" i="21" s="1"/>
  <c r="AC86" i="21" s="1"/>
  <c r="N86" i="21"/>
  <c r="U86" i="21" s="1"/>
  <c r="AB86" i="21" s="1"/>
  <c r="M86" i="21"/>
  <c r="T86" i="21" s="1"/>
  <c r="AA86" i="21" s="1"/>
  <c r="L86" i="21"/>
  <c r="S86" i="21" s="1"/>
  <c r="Z86" i="21" s="1"/>
  <c r="K86" i="21"/>
  <c r="R86" i="21" s="1"/>
  <c r="Y86" i="21" s="1"/>
  <c r="Q85" i="21"/>
  <c r="X85" i="21" s="1"/>
  <c r="AE85" i="21" s="1"/>
  <c r="P85" i="21"/>
  <c r="W85" i="21" s="1"/>
  <c r="AD85" i="21" s="1"/>
  <c r="O85" i="21"/>
  <c r="V85" i="21" s="1"/>
  <c r="AC85" i="21" s="1"/>
  <c r="N85" i="21"/>
  <c r="U85" i="21" s="1"/>
  <c r="AB85" i="21" s="1"/>
  <c r="M85" i="21"/>
  <c r="T85" i="21" s="1"/>
  <c r="AA85" i="21" s="1"/>
  <c r="L85" i="21"/>
  <c r="S85" i="21" s="1"/>
  <c r="Z85" i="21" s="1"/>
  <c r="K85" i="21"/>
  <c r="R85" i="21" s="1"/>
  <c r="Y85" i="21" s="1"/>
  <c r="Q84" i="21"/>
  <c r="X84" i="21" s="1"/>
  <c r="AE84" i="21" s="1"/>
  <c r="P84" i="21"/>
  <c r="O84" i="21"/>
  <c r="V84" i="21" s="1"/>
  <c r="AC84" i="21" s="1"/>
  <c r="N84" i="21"/>
  <c r="U84" i="21" s="1"/>
  <c r="AB84" i="21" s="1"/>
  <c r="M84" i="21"/>
  <c r="T84" i="21" s="1"/>
  <c r="AA84" i="21" s="1"/>
  <c r="L84" i="21"/>
  <c r="K84" i="21"/>
  <c r="R84" i="21" s="1"/>
  <c r="Y84" i="21" s="1"/>
  <c r="Q83" i="21"/>
  <c r="P83" i="21"/>
  <c r="W83" i="21" s="1"/>
  <c r="AD83" i="21" s="1"/>
  <c r="O83" i="21"/>
  <c r="V83" i="21" s="1"/>
  <c r="AC83" i="21" s="1"/>
  <c r="N83" i="21"/>
  <c r="U83" i="21" s="1"/>
  <c r="AB83" i="21" s="1"/>
  <c r="M83" i="21"/>
  <c r="L83" i="21"/>
  <c r="S83" i="21" s="1"/>
  <c r="Z83" i="21" s="1"/>
  <c r="K83" i="21"/>
  <c r="R83" i="21" s="1"/>
  <c r="Y83" i="21" s="1"/>
  <c r="Q82" i="21"/>
  <c r="X82" i="21" s="1"/>
  <c r="AE82" i="21" s="1"/>
  <c r="P82" i="21"/>
  <c r="W82" i="21" s="1"/>
  <c r="AD82" i="21" s="1"/>
  <c r="O82" i="21"/>
  <c r="V82" i="21" s="1"/>
  <c r="AC82" i="21" s="1"/>
  <c r="N82" i="21"/>
  <c r="U82" i="21" s="1"/>
  <c r="AB82" i="21" s="1"/>
  <c r="M82" i="21"/>
  <c r="T82" i="21" s="1"/>
  <c r="AA82" i="21" s="1"/>
  <c r="L82" i="21"/>
  <c r="S82" i="21" s="1"/>
  <c r="Z82" i="21" s="1"/>
  <c r="K82" i="21"/>
  <c r="R82" i="21" s="1"/>
  <c r="Y82" i="21" s="1"/>
  <c r="Q81" i="21"/>
  <c r="X81" i="21" s="1"/>
  <c r="AE81" i="21" s="1"/>
  <c r="P81" i="21"/>
  <c r="W81" i="21" s="1"/>
  <c r="AD81" i="21" s="1"/>
  <c r="O81" i="21"/>
  <c r="V81" i="21" s="1"/>
  <c r="AC81" i="21" s="1"/>
  <c r="N81" i="21"/>
  <c r="U81" i="21" s="1"/>
  <c r="AB81" i="21" s="1"/>
  <c r="M81" i="21"/>
  <c r="T81" i="21" s="1"/>
  <c r="AA81" i="21" s="1"/>
  <c r="L81" i="21"/>
  <c r="S81" i="21" s="1"/>
  <c r="Z81" i="21" s="1"/>
  <c r="K81" i="21"/>
  <c r="Q80" i="21"/>
  <c r="X80" i="21" s="1"/>
  <c r="AE80" i="21" s="1"/>
  <c r="P80" i="21"/>
  <c r="O80" i="21"/>
  <c r="V80" i="21" s="1"/>
  <c r="AC80" i="21" s="1"/>
  <c r="N80" i="21"/>
  <c r="U80" i="21" s="1"/>
  <c r="AB80" i="21" s="1"/>
  <c r="M80" i="21"/>
  <c r="T80" i="21" s="1"/>
  <c r="AA80" i="21" s="1"/>
  <c r="L80" i="21"/>
  <c r="S80" i="21" s="1"/>
  <c r="Z80" i="21" s="1"/>
  <c r="K80" i="21"/>
  <c r="R80" i="21" s="1"/>
  <c r="Y80" i="21" s="1"/>
  <c r="Q79" i="21"/>
  <c r="X79" i="21" s="1"/>
  <c r="AE79" i="21" s="1"/>
  <c r="P79" i="21"/>
  <c r="W79" i="21" s="1"/>
  <c r="AD79" i="21" s="1"/>
  <c r="O79" i="21"/>
  <c r="V79" i="21" s="1"/>
  <c r="AC79" i="21" s="1"/>
  <c r="N79" i="21"/>
  <c r="M79" i="21"/>
  <c r="T79" i="21" s="1"/>
  <c r="AA79" i="21" s="1"/>
  <c r="L79" i="21"/>
  <c r="K79" i="21"/>
  <c r="R79" i="21" s="1"/>
  <c r="Y79" i="21" s="1"/>
  <c r="Q78" i="21"/>
  <c r="X78" i="21" s="1"/>
  <c r="AE78" i="21" s="1"/>
  <c r="P78" i="21"/>
  <c r="W78" i="21" s="1"/>
  <c r="AD78" i="21" s="1"/>
  <c r="O78" i="21"/>
  <c r="V78" i="21" s="1"/>
  <c r="AC78" i="21" s="1"/>
  <c r="N78" i="21"/>
  <c r="U78" i="21" s="1"/>
  <c r="AB78" i="21" s="1"/>
  <c r="M78" i="21"/>
  <c r="T78" i="21" s="1"/>
  <c r="AA78" i="21" s="1"/>
  <c r="L78" i="21"/>
  <c r="S78" i="21" s="1"/>
  <c r="Z78" i="21" s="1"/>
  <c r="K78" i="21"/>
  <c r="Q77" i="21"/>
  <c r="X77" i="21" s="1"/>
  <c r="AE77" i="21" s="1"/>
  <c r="P77" i="21"/>
  <c r="O77" i="21"/>
  <c r="V77" i="21" s="1"/>
  <c r="AC77" i="21" s="1"/>
  <c r="N77" i="21"/>
  <c r="U77" i="21" s="1"/>
  <c r="AB77" i="21" s="1"/>
  <c r="M77" i="21"/>
  <c r="T77" i="21" s="1"/>
  <c r="AA77" i="21" s="1"/>
  <c r="L77" i="21"/>
  <c r="S77" i="21" s="1"/>
  <c r="Z77" i="21" s="1"/>
  <c r="K77" i="21"/>
  <c r="R77" i="21" s="1"/>
  <c r="Y77" i="21" s="1"/>
  <c r="Q76" i="21"/>
  <c r="X76" i="21" s="1"/>
  <c r="AE76" i="21" s="1"/>
  <c r="P76" i="21"/>
  <c r="W76" i="21" s="1"/>
  <c r="AD76" i="21" s="1"/>
  <c r="O76" i="21"/>
  <c r="V76" i="21" s="1"/>
  <c r="AC76" i="21" s="1"/>
  <c r="N76" i="21"/>
  <c r="U76" i="21" s="1"/>
  <c r="AB76" i="21" s="1"/>
  <c r="M76" i="21"/>
  <c r="L76" i="21"/>
  <c r="S76" i="21" s="1"/>
  <c r="Z76" i="21" s="1"/>
  <c r="K76" i="21"/>
  <c r="R76" i="21" s="1"/>
  <c r="Y76" i="21" s="1"/>
  <c r="Q75" i="21"/>
  <c r="X75" i="21" s="1"/>
  <c r="AE75" i="21" s="1"/>
  <c r="P75" i="21"/>
  <c r="W75" i="21" s="1"/>
  <c r="AD75" i="21" s="1"/>
  <c r="O75" i="21"/>
  <c r="V75" i="21" s="1"/>
  <c r="AC75" i="21" s="1"/>
  <c r="N75" i="21"/>
  <c r="M75" i="21"/>
  <c r="T75" i="21" s="1"/>
  <c r="AA75" i="21" s="1"/>
  <c r="L75" i="21"/>
  <c r="K75" i="21"/>
  <c r="R75" i="21" s="1"/>
  <c r="Y75" i="21" s="1"/>
  <c r="Q74" i="21"/>
  <c r="X74" i="21" s="1"/>
  <c r="AE74" i="21" s="1"/>
  <c r="P74" i="21"/>
  <c r="W74" i="21" s="1"/>
  <c r="AD74" i="21" s="1"/>
  <c r="O74" i="21"/>
  <c r="V74" i="21" s="1"/>
  <c r="AC74" i="21" s="1"/>
  <c r="N74" i="21"/>
  <c r="U74" i="21" s="1"/>
  <c r="AB74" i="21" s="1"/>
  <c r="M74" i="21"/>
  <c r="T74" i="21" s="1"/>
  <c r="AA74" i="21" s="1"/>
  <c r="L74" i="21"/>
  <c r="S74" i="21" s="1"/>
  <c r="Z74" i="21" s="1"/>
  <c r="K74" i="21"/>
  <c r="Q73" i="21"/>
  <c r="X73" i="21" s="1"/>
  <c r="AE73" i="21" s="1"/>
  <c r="P73" i="21"/>
  <c r="W73" i="21" s="1"/>
  <c r="AD73" i="21" s="1"/>
  <c r="O73" i="21"/>
  <c r="V73" i="21" s="1"/>
  <c r="AC73" i="21" s="1"/>
  <c r="N73" i="21"/>
  <c r="M73" i="21"/>
  <c r="T73" i="21" s="1"/>
  <c r="AA73" i="21" s="1"/>
  <c r="L73" i="21"/>
  <c r="S73" i="21" s="1"/>
  <c r="Z73" i="21" s="1"/>
  <c r="K73" i="21"/>
  <c r="R73" i="21" s="1"/>
  <c r="Y73" i="21" s="1"/>
  <c r="Q72" i="21"/>
  <c r="X72" i="21" s="1"/>
  <c r="AE72" i="21" s="1"/>
  <c r="P72" i="21"/>
  <c r="W72" i="21" s="1"/>
  <c r="AD72" i="21" s="1"/>
  <c r="O72" i="21"/>
  <c r="V72" i="21" s="1"/>
  <c r="AC72" i="21" s="1"/>
  <c r="N72" i="21"/>
  <c r="U72" i="21" s="1"/>
  <c r="AB72" i="21" s="1"/>
  <c r="M72" i="21"/>
  <c r="L72" i="21"/>
  <c r="S72" i="21" s="1"/>
  <c r="Z72" i="21" s="1"/>
  <c r="K72" i="21"/>
  <c r="Q71" i="21"/>
  <c r="X71" i="21" s="1"/>
  <c r="AE71" i="21" s="1"/>
  <c r="P71" i="21"/>
  <c r="O71" i="21"/>
  <c r="V71" i="21" s="1"/>
  <c r="AC71" i="21" s="1"/>
  <c r="N71" i="21"/>
  <c r="U71" i="21" s="1"/>
  <c r="AB71" i="21" s="1"/>
  <c r="M71" i="21"/>
  <c r="T71" i="21" s="1"/>
  <c r="AA71" i="21" s="1"/>
  <c r="L71" i="21"/>
  <c r="S71" i="21" s="1"/>
  <c r="Z71" i="21" s="1"/>
  <c r="K71" i="21"/>
  <c r="R71" i="21" s="1"/>
  <c r="Y71" i="21" s="1"/>
  <c r="Q70" i="21"/>
  <c r="X70" i="21" s="1"/>
  <c r="AE70" i="21" s="1"/>
  <c r="P70" i="21"/>
  <c r="W70" i="21" s="1"/>
  <c r="AD70" i="21" s="1"/>
  <c r="O70" i="21"/>
  <c r="V70" i="21" s="1"/>
  <c r="AC70" i="21" s="1"/>
  <c r="N70" i="21"/>
  <c r="U70" i="21" s="1"/>
  <c r="AB70" i="21" s="1"/>
  <c r="M70" i="21"/>
  <c r="L70" i="21"/>
  <c r="S70" i="21" s="1"/>
  <c r="Z70" i="21" s="1"/>
  <c r="K70" i="21"/>
  <c r="R70" i="21" s="1"/>
  <c r="Y70" i="21" s="1"/>
  <c r="Q69" i="21"/>
  <c r="X69" i="21" s="1"/>
  <c r="AE69" i="21" s="1"/>
  <c r="P69" i="21"/>
  <c r="W69" i="21" s="1"/>
  <c r="AD69" i="21" s="1"/>
  <c r="O69" i="21"/>
  <c r="V69" i="21" s="1"/>
  <c r="AC69" i="21" s="1"/>
  <c r="N69" i="21"/>
  <c r="M69" i="21"/>
  <c r="T69" i="21" s="1"/>
  <c r="AA69" i="21" s="1"/>
  <c r="L69" i="21"/>
  <c r="K69" i="21"/>
  <c r="R69" i="21" s="1"/>
  <c r="Y69" i="21" s="1"/>
  <c r="Q68" i="21"/>
  <c r="X68" i="21" s="1"/>
  <c r="AE68" i="21" s="1"/>
  <c r="P68" i="21"/>
  <c r="W68" i="21" s="1"/>
  <c r="AD68" i="21" s="1"/>
  <c r="O68" i="21"/>
  <c r="V68" i="21" s="1"/>
  <c r="AC68" i="21" s="1"/>
  <c r="N68" i="21"/>
  <c r="U68" i="21" s="1"/>
  <c r="AB68" i="21" s="1"/>
  <c r="M68" i="21"/>
  <c r="T68" i="21" s="1"/>
  <c r="AA68" i="21" s="1"/>
  <c r="L68" i="21"/>
  <c r="S68" i="21" s="1"/>
  <c r="Z68" i="21" s="1"/>
  <c r="K68" i="21"/>
  <c r="Q67" i="21"/>
  <c r="X67" i="21" s="1"/>
  <c r="AE67" i="21" s="1"/>
  <c r="P67" i="21"/>
  <c r="O67" i="21"/>
  <c r="V67" i="21" s="1"/>
  <c r="AC67" i="21" s="1"/>
  <c r="N67" i="21"/>
  <c r="U67" i="21" s="1"/>
  <c r="AB67" i="21" s="1"/>
  <c r="M67" i="21"/>
  <c r="T67" i="21" s="1"/>
  <c r="AA67" i="21" s="1"/>
  <c r="L67" i="21"/>
  <c r="S67" i="21" s="1"/>
  <c r="Z67" i="21" s="1"/>
  <c r="K67" i="21"/>
  <c r="R67" i="21" s="1"/>
  <c r="Y67" i="21" s="1"/>
  <c r="Q66" i="21"/>
  <c r="X66" i="21" s="1"/>
  <c r="AE66" i="21" s="1"/>
  <c r="P66" i="21"/>
  <c r="W66" i="21" s="1"/>
  <c r="AD66" i="21" s="1"/>
  <c r="O66" i="21"/>
  <c r="V66" i="21" s="1"/>
  <c r="AC66" i="21" s="1"/>
  <c r="N66" i="21"/>
  <c r="U66" i="21" s="1"/>
  <c r="AB66" i="21" s="1"/>
  <c r="M66" i="21"/>
  <c r="L66" i="21"/>
  <c r="S66" i="21" s="1"/>
  <c r="Z66" i="21" s="1"/>
  <c r="K66" i="21"/>
  <c r="R66" i="21" s="1"/>
  <c r="Y66" i="21" s="1"/>
  <c r="Q65" i="21"/>
  <c r="X65" i="21" s="1"/>
  <c r="AE65" i="21" s="1"/>
  <c r="P65" i="21"/>
  <c r="W65" i="21" s="1"/>
  <c r="AD65" i="21" s="1"/>
  <c r="O65" i="21"/>
  <c r="V65" i="21" s="1"/>
  <c r="AC65" i="21" s="1"/>
  <c r="N65" i="21"/>
  <c r="U65" i="21" s="1"/>
  <c r="AB65" i="21" s="1"/>
  <c r="M65" i="21"/>
  <c r="T65" i="21" s="1"/>
  <c r="AA65" i="21" s="1"/>
  <c r="L65" i="21"/>
  <c r="K65" i="21"/>
  <c r="R65" i="21" s="1"/>
  <c r="Y65" i="21" s="1"/>
  <c r="Q64" i="21"/>
  <c r="X64" i="21" s="1"/>
  <c r="AE64" i="21" s="1"/>
  <c r="P64" i="21"/>
  <c r="W64" i="21" s="1"/>
  <c r="AD64" i="21" s="1"/>
  <c r="O64" i="21"/>
  <c r="N64" i="21"/>
  <c r="U64" i="21" s="1"/>
  <c r="AB64" i="21" s="1"/>
  <c r="M64" i="21"/>
  <c r="T64" i="21" s="1"/>
  <c r="AA64" i="21" s="1"/>
  <c r="L64" i="21"/>
  <c r="S64" i="21" s="1"/>
  <c r="Z64" i="21" s="1"/>
  <c r="K64" i="21"/>
  <c r="Q63" i="21"/>
  <c r="X63" i="21" s="1"/>
  <c r="AE63" i="21" s="1"/>
  <c r="P63" i="21"/>
  <c r="O63" i="21"/>
  <c r="V63" i="21" s="1"/>
  <c r="AC63" i="21" s="1"/>
  <c r="N63" i="21"/>
  <c r="U63" i="21" s="1"/>
  <c r="AB63" i="21" s="1"/>
  <c r="M63" i="21"/>
  <c r="T63" i="21" s="1"/>
  <c r="AA63" i="21" s="1"/>
  <c r="L63" i="21"/>
  <c r="S63" i="21" s="1"/>
  <c r="Z63" i="21" s="1"/>
  <c r="K63" i="21"/>
  <c r="R63" i="21" s="1"/>
  <c r="Y63" i="21" s="1"/>
  <c r="Q62" i="21"/>
  <c r="P62" i="21"/>
  <c r="W62" i="21" s="1"/>
  <c r="AD62" i="21" s="1"/>
  <c r="O62" i="21"/>
  <c r="N62" i="21"/>
  <c r="U62" i="21" s="1"/>
  <c r="AB62" i="21" s="1"/>
  <c r="M62" i="21"/>
  <c r="T62" i="21" s="1"/>
  <c r="AA62" i="21" s="1"/>
  <c r="L62" i="21"/>
  <c r="S62" i="21" s="1"/>
  <c r="Z62" i="21" s="1"/>
  <c r="K62" i="21"/>
  <c r="Q61" i="21"/>
  <c r="X61" i="21" s="1"/>
  <c r="AE61" i="21" s="1"/>
  <c r="P61" i="21"/>
  <c r="W61" i="21" s="1"/>
  <c r="AD61" i="21" s="1"/>
  <c r="O61" i="21"/>
  <c r="V61" i="21" s="1"/>
  <c r="AC61" i="21" s="1"/>
  <c r="N61" i="21"/>
  <c r="M61" i="21"/>
  <c r="T61" i="21" s="1"/>
  <c r="AA61" i="21" s="1"/>
  <c r="L61" i="21"/>
  <c r="S61" i="21" s="1"/>
  <c r="Z61" i="21" s="1"/>
  <c r="K61" i="21"/>
  <c r="R61" i="21" s="1"/>
  <c r="Y61" i="21" s="1"/>
  <c r="Q60" i="21"/>
  <c r="X60" i="21" s="1"/>
  <c r="AE60" i="21" s="1"/>
  <c r="P60" i="21"/>
  <c r="W60" i="21" s="1"/>
  <c r="AD60" i="21" s="1"/>
  <c r="O60" i="21"/>
  <c r="V60" i="21" s="1"/>
  <c r="AC60" i="21" s="1"/>
  <c r="N60" i="21"/>
  <c r="U60" i="21" s="1"/>
  <c r="AB60" i="21" s="1"/>
  <c r="M60" i="21"/>
  <c r="L60" i="21"/>
  <c r="S60" i="21" s="1"/>
  <c r="Z60" i="21" s="1"/>
  <c r="K60" i="21"/>
  <c r="Q59" i="21"/>
  <c r="P59" i="21"/>
  <c r="W59" i="21" s="1"/>
  <c r="AD59" i="21" s="1"/>
  <c r="O59" i="21"/>
  <c r="V59" i="21" s="1"/>
  <c r="AC59" i="21" s="1"/>
  <c r="N59" i="21"/>
  <c r="U59" i="21" s="1"/>
  <c r="AB59" i="21" s="1"/>
  <c r="M59" i="21"/>
  <c r="T59" i="21" s="1"/>
  <c r="AA59" i="21" s="1"/>
  <c r="L59" i="21"/>
  <c r="K59" i="21"/>
  <c r="R59" i="21" s="1"/>
  <c r="Y59" i="21" s="1"/>
  <c r="Q58" i="21"/>
  <c r="X58" i="21" s="1"/>
  <c r="AE58" i="21" s="1"/>
  <c r="P58" i="21"/>
  <c r="O58" i="21"/>
  <c r="V58" i="21" s="1"/>
  <c r="AC58" i="21" s="1"/>
  <c r="N58" i="21"/>
  <c r="U58" i="21" s="1"/>
  <c r="AB58" i="21" s="1"/>
  <c r="M58" i="21"/>
  <c r="T58" i="21" s="1"/>
  <c r="AA58" i="21" s="1"/>
  <c r="L58" i="21"/>
  <c r="K58" i="21"/>
  <c r="R58" i="21" s="1"/>
  <c r="Y58" i="21" s="1"/>
  <c r="Q57" i="21"/>
  <c r="X57" i="21" s="1"/>
  <c r="AE57" i="21" s="1"/>
  <c r="P57" i="21"/>
  <c r="W57" i="21" s="1"/>
  <c r="AD57" i="21" s="1"/>
  <c r="O57" i="21"/>
  <c r="N57" i="21"/>
  <c r="U57" i="21" s="1"/>
  <c r="AB57" i="21" s="1"/>
  <c r="M57" i="21"/>
  <c r="T57" i="21" s="1"/>
  <c r="AA57" i="21" s="1"/>
  <c r="L57" i="21"/>
  <c r="S57" i="21" s="1"/>
  <c r="Z57" i="21" s="1"/>
  <c r="K57" i="21"/>
  <c r="Q56" i="21"/>
  <c r="X56" i="21" s="1"/>
  <c r="AE56" i="21" s="1"/>
  <c r="P56" i="21"/>
  <c r="O56" i="21"/>
  <c r="N56" i="21"/>
  <c r="U56" i="21" s="1"/>
  <c r="AB56" i="21" s="1"/>
  <c r="M56" i="21"/>
  <c r="T56" i="21" s="1"/>
  <c r="AA56" i="21" s="1"/>
  <c r="L56" i="21"/>
  <c r="K56" i="21"/>
  <c r="Q55" i="21"/>
  <c r="P55" i="21"/>
  <c r="W55" i="21" s="1"/>
  <c r="AD55" i="21" s="1"/>
  <c r="O55" i="21"/>
  <c r="V55" i="21" s="1"/>
  <c r="AC55" i="21" s="1"/>
  <c r="N55" i="21"/>
  <c r="U55" i="21" s="1"/>
  <c r="AB55" i="21" s="1"/>
  <c r="M55" i="21"/>
  <c r="L55" i="21"/>
  <c r="K55" i="21"/>
  <c r="R55" i="21" s="1"/>
  <c r="Y55" i="21" s="1"/>
  <c r="Q54" i="21"/>
  <c r="X54" i="21" s="1"/>
  <c r="AE54" i="21" s="1"/>
  <c r="P54" i="21"/>
  <c r="W54" i="21" s="1"/>
  <c r="AD54" i="21" s="1"/>
  <c r="O54" i="21"/>
  <c r="V54" i="21" s="1"/>
  <c r="AC54" i="21" s="1"/>
  <c r="N54" i="21"/>
  <c r="U54" i="21" s="1"/>
  <c r="AB54" i="21" s="1"/>
  <c r="M54" i="21"/>
  <c r="L54" i="21"/>
  <c r="S54" i="21" s="1"/>
  <c r="Z54" i="21" s="1"/>
  <c r="K54" i="21"/>
  <c r="R54" i="21" s="1"/>
  <c r="Y54" i="21" s="1"/>
  <c r="Q53" i="21"/>
  <c r="X53" i="21" s="1"/>
  <c r="AE53" i="21" s="1"/>
  <c r="P53" i="21"/>
  <c r="W53" i="21" s="1"/>
  <c r="AD53" i="21" s="1"/>
  <c r="O53" i="21"/>
  <c r="V53" i="21" s="1"/>
  <c r="AC53" i="21" s="1"/>
  <c r="N53" i="21"/>
  <c r="U53" i="21" s="1"/>
  <c r="AB53" i="21" s="1"/>
  <c r="M53" i="21"/>
  <c r="L53" i="21"/>
  <c r="S53" i="21" s="1"/>
  <c r="Z53" i="21" s="1"/>
  <c r="K53" i="21"/>
  <c r="R53" i="21" s="1"/>
  <c r="Y53" i="21" s="1"/>
  <c r="Q52" i="21"/>
  <c r="X52" i="21" s="1"/>
  <c r="AE52" i="21" s="1"/>
  <c r="P52" i="21"/>
  <c r="W52" i="21" s="1"/>
  <c r="AD52" i="21" s="1"/>
  <c r="O52" i="21"/>
  <c r="N52" i="21"/>
  <c r="M52" i="21"/>
  <c r="T52" i="21" s="1"/>
  <c r="AA52" i="21" s="1"/>
  <c r="L52" i="21"/>
  <c r="S52" i="21" s="1"/>
  <c r="Z52" i="21" s="1"/>
  <c r="K52" i="21"/>
  <c r="Q51" i="21"/>
  <c r="P51" i="21"/>
  <c r="O51" i="21"/>
  <c r="V51" i="21" s="1"/>
  <c r="AC51" i="21" s="1"/>
  <c r="N51" i="21"/>
  <c r="U51" i="21" s="1"/>
  <c r="AB51" i="21" s="1"/>
  <c r="M51" i="21"/>
  <c r="L51" i="21"/>
  <c r="K51" i="21"/>
  <c r="R51" i="21" s="1"/>
  <c r="Y51" i="21" s="1"/>
  <c r="Q50" i="21"/>
  <c r="P50" i="21"/>
  <c r="W50" i="21" s="1"/>
  <c r="AD50" i="21" s="1"/>
  <c r="O50" i="21"/>
  <c r="V50" i="21" s="1"/>
  <c r="AC50" i="21" s="1"/>
  <c r="N50" i="21"/>
  <c r="U50" i="21" s="1"/>
  <c r="AB50" i="21" s="1"/>
  <c r="M50" i="21"/>
  <c r="L50" i="21"/>
  <c r="S50" i="21" s="1"/>
  <c r="Z50" i="21" s="1"/>
  <c r="K50" i="21"/>
  <c r="R50" i="21" s="1"/>
  <c r="Y50" i="21" s="1"/>
  <c r="Q49" i="21"/>
  <c r="X49" i="21" s="1"/>
  <c r="AE49" i="21" s="1"/>
  <c r="P49" i="21"/>
  <c r="W49" i="21" s="1"/>
  <c r="AD49" i="21" s="1"/>
  <c r="O49" i="21"/>
  <c r="V49" i="21" s="1"/>
  <c r="AC49" i="21" s="1"/>
  <c r="N49" i="21"/>
  <c r="M49" i="21"/>
  <c r="L49" i="21"/>
  <c r="S49" i="21" s="1"/>
  <c r="Z49" i="21" s="1"/>
  <c r="K49" i="21"/>
  <c r="R49" i="21" s="1"/>
  <c r="Y49" i="21" s="1"/>
  <c r="Q48" i="21"/>
  <c r="X48" i="21" s="1"/>
  <c r="AE48" i="21" s="1"/>
  <c r="P48" i="21"/>
  <c r="W48" i="21" s="1"/>
  <c r="AD48" i="21" s="1"/>
  <c r="O48" i="21"/>
  <c r="N48" i="21"/>
  <c r="M48" i="21"/>
  <c r="T48" i="21" s="1"/>
  <c r="AA48" i="21" s="1"/>
  <c r="L48" i="21"/>
  <c r="S48" i="21" s="1"/>
  <c r="Z48" i="21" s="1"/>
  <c r="K48" i="21"/>
  <c r="Q47" i="21"/>
  <c r="P47" i="21"/>
  <c r="W47" i="21" s="1"/>
  <c r="AD47" i="21" s="1"/>
  <c r="O47" i="21"/>
  <c r="V47" i="21" s="1"/>
  <c r="AC47" i="21" s="1"/>
  <c r="N47" i="21"/>
  <c r="U47" i="21" s="1"/>
  <c r="AB47" i="21" s="1"/>
  <c r="M47" i="21"/>
  <c r="L47" i="21"/>
  <c r="K47" i="21"/>
  <c r="R47" i="21" s="1"/>
  <c r="Y47" i="21" s="1"/>
  <c r="Q46" i="21"/>
  <c r="X46" i="21" s="1"/>
  <c r="AE46" i="21" s="1"/>
  <c r="P46" i="21"/>
  <c r="W46" i="21" s="1"/>
  <c r="AD46" i="21" s="1"/>
  <c r="O46" i="21"/>
  <c r="V46" i="21" s="1"/>
  <c r="AC46" i="21" s="1"/>
  <c r="N46" i="21"/>
  <c r="U46" i="21" s="1"/>
  <c r="AB46" i="21" s="1"/>
  <c r="M46" i="21"/>
  <c r="L46" i="21"/>
  <c r="S46" i="21" s="1"/>
  <c r="Z46" i="21" s="1"/>
  <c r="K46" i="21"/>
  <c r="R46" i="21" s="1"/>
  <c r="Y46" i="21" s="1"/>
  <c r="Q45" i="21"/>
  <c r="P45" i="21"/>
  <c r="W45" i="21" s="1"/>
  <c r="AD45" i="21" s="1"/>
  <c r="O45" i="21"/>
  <c r="V45" i="21" s="1"/>
  <c r="AC45" i="21" s="1"/>
  <c r="N45" i="21"/>
  <c r="U45" i="21" s="1"/>
  <c r="AB45" i="21" s="1"/>
  <c r="M45" i="21"/>
  <c r="L45" i="21"/>
  <c r="S45" i="21" s="1"/>
  <c r="Z45" i="21" s="1"/>
  <c r="K45" i="21"/>
  <c r="Q44" i="21"/>
  <c r="X44" i="21" s="1"/>
  <c r="AE44" i="21" s="1"/>
  <c r="P44" i="21"/>
  <c r="W44" i="21" s="1"/>
  <c r="AD44" i="21" s="1"/>
  <c r="O44" i="21"/>
  <c r="V44" i="21" s="1"/>
  <c r="AC44" i="21" s="1"/>
  <c r="N44" i="21"/>
  <c r="U44" i="21" s="1"/>
  <c r="AB44" i="21" s="1"/>
  <c r="M44" i="21"/>
  <c r="T44" i="21" s="1"/>
  <c r="AA44" i="21" s="1"/>
  <c r="L44" i="21"/>
  <c r="K44" i="21"/>
  <c r="R44" i="21" s="1"/>
  <c r="Y44" i="21" s="1"/>
  <c r="Q43" i="21"/>
  <c r="X43" i="21" s="1"/>
  <c r="AE43" i="21" s="1"/>
  <c r="P43" i="21"/>
  <c r="W43" i="21" s="1"/>
  <c r="AD43" i="21" s="1"/>
  <c r="O43" i="21"/>
  <c r="V43" i="21" s="1"/>
  <c r="AC43" i="21" s="1"/>
  <c r="N43" i="21"/>
  <c r="U43" i="21" s="1"/>
  <c r="AB43" i="21" s="1"/>
  <c r="M43" i="21"/>
  <c r="T43" i="21" s="1"/>
  <c r="AA43" i="21" s="1"/>
  <c r="L43" i="21"/>
  <c r="K43" i="21"/>
  <c r="R43" i="21" s="1"/>
  <c r="Y43" i="21" s="1"/>
  <c r="Q42" i="21"/>
  <c r="X42" i="21" s="1"/>
  <c r="AE42" i="21" s="1"/>
  <c r="P42" i="21"/>
  <c r="O42" i="21"/>
  <c r="V42" i="21" s="1"/>
  <c r="AC42" i="21" s="1"/>
  <c r="N42" i="21"/>
  <c r="U42" i="21" s="1"/>
  <c r="AB42" i="21" s="1"/>
  <c r="M42" i="21"/>
  <c r="T42" i="21" s="1"/>
  <c r="AA42" i="21" s="1"/>
  <c r="L42" i="21"/>
  <c r="K42" i="21"/>
  <c r="R42" i="21" s="1"/>
  <c r="Y42" i="21" s="1"/>
  <c r="Q41" i="21"/>
  <c r="X41" i="21" s="1"/>
  <c r="AE41" i="21" s="1"/>
  <c r="P41" i="21"/>
  <c r="W41" i="21" s="1"/>
  <c r="AD41" i="21" s="1"/>
  <c r="O41" i="21"/>
  <c r="N41" i="21"/>
  <c r="U41" i="21" s="1"/>
  <c r="AB41" i="21" s="1"/>
  <c r="M41" i="21"/>
  <c r="T41" i="21" s="1"/>
  <c r="AA41" i="21" s="1"/>
  <c r="L41" i="21"/>
  <c r="S41" i="21" s="1"/>
  <c r="Z41" i="21" s="1"/>
  <c r="K41" i="21"/>
  <c r="Q40" i="21"/>
  <c r="X40" i="21" s="1"/>
  <c r="AE40" i="21" s="1"/>
  <c r="P40" i="21"/>
  <c r="O40" i="21"/>
  <c r="N40" i="21"/>
  <c r="U40" i="21" s="1"/>
  <c r="AB40" i="21" s="1"/>
  <c r="M40" i="21"/>
  <c r="T40" i="21" s="1"/>
  <c r="AA40" i="21" s="1"/>
  <c r="L40" i="21"/>
  <c r="K40" i="21"/>
  <c r="Q39" i="21"/>
  <c r="X39" i="21" s="1"/>
  <c r="AE39" i="21" s="1"/>
  <c r="P39" i="21"/>
  <c r="W39" i="21" s="1"/>
  <c r="AD39" i="21" s="1"/>
  <c r="O39" i="21"/>
  <c r="V39" i="21" s="1"/>
  <c r="AC39" i="21" s="1"/>
  <c r="N39" i="21"/>
  <c r="U39" i="21" s="1"/>
  <c r="AB39" i="21" s="1"/>
  <c r="M39" i="21"/>
  <c r="L39" i="21"/>
  <c r="S39" i="21" s="1"/>
  <c r="Z39" i="21" s="1"/>
  <c r="K39" i="21"/>
  <c r="R39" i="21" s="1"/>
  <c r="Y39" i="21" s="1"/>
  <c r="Q38" i="21"/>
  <c r="P38" i="21"/>
  <c r="O38" i="21"/>
  <c r="V38" i="21" s="1"/>
  <c r="AC38" i="21" s="1"/>
  <c r="N38" i="21"/>
  <c r="U38" i="21" s="1"/>
  <c r="AB38" i="21" s="1"/>
  <c r="M38" i="21"/>
  <c r="L38" i="21"/>
  <c r="S38" i="21" s="1"/>
  <c r="Z38" i="21" s="1"/>
  <c r="K38" i="21"/>
  <c r="R38" i="21" s="1"/>
  <c r="Y38" i="21" s="1"/>
  <c r="Q37" i="21"/>
  <c r="X37" i="21" s="1"/>
  <c r="AE37" i="21" s="1"/>
  <c r="P37" i="21"/>
  <c r="W37" i="21" s="1"/>
  <c r="AD37" i="21" s="1"/>
  <c r="O37" i="21"/>
  <c r="N37" i="21"/>
  <c r="U37" i="21" s="1"/>
  <c r="AB37" i="21" s="1"/>
  <c r="M37" i="21"/>
  <c r="T37" i="21" s="1"/>
  <c r="AA37" i="21" s="1"/>
  <c r="L37" i="21"/>
  <c r="S37" i="21" s="1"/>
  <c r="Z37" i="21" s="1"/>
  <c r="K37" i="21"/>
  <c r="Q36" i="21"/>
  <c r="X36" i="21" s="1"/>
  <c r="AE36" i="21" s="1"/>
  <c r="P36" i="21"/>
  <c r="W36" i="21" s="1"/>
  <c r="AD36" i="21" s="1"/>
  <c r="O36" i="21"/>
  <c r="V36" i="21" s="1"/>
  <c r="AC36" i="21" s="1"/>
  <c r="N36" i="21"/>
  <c r="U36" i="21" s="1"/>
  <c r="AB36" i="21" s="1"/>
  <c r="M36" i="21"/>
  <c r="T36" i="21" s="1"/>
  <c r="AA36" i="21" s="1"/>
  <c r="L36" i="21"/>
  <c r="K36" i="21"/>
  <c r="Q35" i="21"/>
  <c r="X35" i="21" s="1"/>
  <c r="AE35" i="21" s="1"/>
  <c r="P35" i="21"/>
  <c r="W35" i="21" s="1"/>
  <c r="AD35" i="21" s="1"/>
  <c r="O35" i="21"/>
  <c r="N35" i="21"/>
  <c r="U35" i="21" s="1"/>
  <c r="AB35" i="21" s="1"/>
  <c r="M35" i="21"/>
  <c r="L35" i="21"/>
  <c r="S35" i="21" s="1"/>
  <c r="Z35" i="21" s="1"/>
  <c r="K35" i="21"/>
  <c r="Q34" i="21"/>
  <c r="X34" i="21" s="1"/>
  <c r="AE34" i="21" s="1"/>
  <c r="P34" i="21"/>
  <c r="W34" i="21" s="1"/>
  <c r="AD34" i="21" s="1"/>
  <c r="O34" i="21"/>
  <c r="V34" i="21" s="1"/>
  <c r="AC34" i="21" s="1"/>
  <c r="N34" i="21"/>
  <c r="U34" i="21" s="1"/>
  <c r="AB34" i="21" s="1"/>
  <c r="M34" i="21"/>
  <c r="T34" i="21" s="1"/>
  <c r="AA34" i="21" s="1"/>
  <c r="L34" i="21"/>
  <c r="S34" i="21" s="1"/>
  <c r="Z34" i="21" s="1"/>
  <c r="K34" i="21"/>
  <c r="R34" i="21" s="1"/>
  <c r="Y34" i="21" s="1"/>
  <c r="Q33" i="21"/>
  <c r="X33" i="21" s="1"/>
  <c r="AE33" i="21" s="1"/>
  <c r="P33" i="21"/>
  <c r="W33" i="21" s="1"/>
  <c r="AD33" i="21" s="1"/>
  <c r="O33" i="21"/>
  <c r="V33" i="21" s="1"/>
  <c r="AC33" i="21" s="1"/>
  <c r="N33" i="21"/>
  <c r="U33" i="21" s="1"/>
  <c r="AB33" i="21" s="1"/>
  <c r="M33" i="21"/>
  <c r="L33" i="21"/>
  <c r="S33" i="21" s="1"/>
  <c r="Z33" i="21" s="1"/>
  <c r="K33" i="21"/>
  <c r="R33" i="21" s="1"/>
  <c r="Y33" i="21" s="1"/>
  <c r="Q32" i="21"/>
  <c r="X32" i="21" s="1"/>
  <c r="AE32" i="21" s="1"/>
  <c r="P32" i="21"/>
  <c r="O32" i="21"/>
  <c r="V32" i="21" s="1"/>
  <c r="AC32" i="21" s="1"/>
  <c r="N32" i="21"/>
  <c r="U32" i="21" s="1"/>
  <c r="AB32" i="21" s="1"/>
  <c r="M32" i="21"/>
  <c r="T32" i="21" s="1"/>
  <c r="AA32" i="21" s="1"/>
  <c r="L32" i="21"/>
  <c r="K32" i="21"/>
  <c r="R32" i="21" s="1"/>
  <c r="Y32" i="21" s="1"/>
  <c r="Q31" i="21"/>
  <c r="X31" i="21" s="1"/>
  <c r="AE31" i="21" s="1"/>
  <c r="P31" i="21"/>
  <c r="O31" i="21"/>
  <c r="V31" i="21" s="1"/>
  <c r="AC31" i="21" s="1"/>
  <c r="N31" i="21"/>
  <c r="U31" i="21" s="1"/>
  <c r="AB31" i="21" s="1"/>
  <c r="M31" i="21"/>
  <c r="T31" i="21" s="1"/>
  <c r="AA31" i="21" s="1"/>
  <c r="L31" i="21"/>
  <c r="K31" i="21"/>
  <c r="Q30" i="21"/>
  <c r="P30" i="21"/>
  <c r="W30" i="21" s="1"/>
  <c r="AD30" i="21" s="1"/>
  <c r="O30" i="21"/>
  <c r="V30" i="21" s="1"/>
  <c r="AC30" i="21" s="1"/>
  <c r="N30" i="21"/>
  <c r="U30" i="21" s="1"/>
  <c r="AB30" i="21" s="1"/>
  <c r="M30" i="21"/>
  <c r="L30" i="21"/>
  <c r="S30" i="21" s="1"/>
  <c r="Z30" i="21" s="1"/>
  <c r="K30" i="21"/>
  <c r="R30" i="21" s="1"/>
  <c r="Y30" i="21" s="1"/>
  <c r="Q29" i="21"/>
  <c r="X29" i="21" s="1"/>
  <c r="AE29" i="21" s="1"/>
  <c r="P29" i="21"/>
  <c r="W29" i="21" s="1"/>
  <c r="AD29" i="21" s="1"/>
  <c r="O29" i="21"/>
  <c r="V29" i="21" s="1"/>
  <c r="AC29" i="21" s="1"/>
  <c r="N29" i="21"/>
  <c r="M29" i="21"/>
  <c r="T29" i="21" s="1"/>
  <c r="AA29" i="21" s="1"/>
  <c r="L29" i="21"/>
  <c r="S29" i="21" s="1"/>
  <c r="Z29" i="21" s="1"/>
  <c r="K29" i="21"/>
  <c r="R29" i="21" s="1"/>
  <c r="Y29" i="21" s="1"/>
  <c r="Q28" i="21"/>
  <c r="X28" i="21" s="1"/>
  <c r="AE28" i="21" s="1"/>
  <c r="P28" i="21"/>
  <c r="W28" i="21" s="1"/>
  <c r="AD28" i="21" s="1"/>
  <c r="O28" i="21"/>
  <c r="V28" i="21" s="1"/>
  <c r="AC28" i="21" s="1"/>
  <c r="N28" i="21"/>
  <c r="U28" i="21" s="1"/>
  <c r="AB28" i="21" s="1"/>
  <c r="M28" i="21"/>
  <c r="T28" i="21" s="1"/>
  <c r="AA28" i="21" s="1"/>
  <c r="L28" i="21"/>
  <c r="K28" i="21"/>
  <c r="Q27" i="21"/>
  <c r="P27" i="21"/>
  <c r="W27" i="21" s="1"/>
  <c r="AD27" i="21" s="1"/>
  <c r="O27" i="21"/>
  <c r="V27" i="21" s="1"/>
  <c r="AC27" i="21" s="1"/>
  <c r="N27" i="21"/>
  <c r="U27" i="21" s="1"/>
  <c r="AB27" i="21" s="1"/>
  <c r="M27" i="21"/>
  <c r="T27" i="21" s="1"/>
  <c r="AA27" i="21" s="1"/>
  <c r="L27" i="21"/>
  <c r="S27" i="21" s="1"/>
  <c r="Z27" i="21" s="1"/>
  <c r="K27" i="21"/>
  <c r="R27" i="21" s="1"/>
  <c r="Y27" i="21" s="1"/>
  <c r="Q26" i="21"/>
  <c r="X26" i="21" s="1"/>
  <c r="AE26" i="21" s="1"/>
  <c r="P26" i="21"/>
  <c r="O26" i="21"/>
  <c r="V26" i="21" s="1"/>
  <c r="AC26" i="21" s="1"/>
  <c r="N26" i="21"/>
  <c r="M26" i="21"/>
  <c r="T26" i="21" s="1"/>
  <c r="AA26" i="21" s="1"/>
  <c r="L26" i="21"/>
  <c r="S26" i="21" s="1"/>
  <c r="Z26" i="21" s="1"/>
  <c r="K26" i="21"/>
  <c r="R26" i="21" s="1"/>
  <c r="Y26" i="21" s="1"/>
  <c r="Q25" i="21"/>
  <c r="P25" i="21"/>
  <c r="W25" i="21" s="1"/>
  <c r="AD25" i="21" s="1"/>
  <c r="O25" i="21"/>
  <c r="V25" i="21" s="1"/>
  <c r="AC25" i="21" s="1"/>
  <c r="N25" i="21"/>
  <c r="U25" i="21" s="1"/>
  <c r="AB25" i="21" s="1"/>
  <c r="M25" i="21"/>
  <c r="T25" i="21" s="1"/>
  <c r="AA25" i="21" s="1"/>
  <c r="L25" i="21"/>
  <c r="S25" i="21" s="1"/>
  <c r="Z25" i="21" s="1"/>
  <c r="K25" i="21"/>
  <c r="R25" i="21" s="1"/>
  <c r="Y25" i="21" s="1"/>
  <c r="Q24" i="21"/>
  <c r="X24" i="21" s="1"/>
  <c r="AE24" i="21" s="1"/>
  <c r="P24" i="21"/>
  <c r="W24" i="21" s="1"/>
  <c r="AD24" i="21" s="1"/>
  <c r="O24" i="21"/>
  <c r="V24" i="21" s="1"/>
  <c r="AC24" i="21" s="1"/>
  <c r="N24" i="21"/>
  <c r="M24" i="21"/>
  <c r="T24" i="21" s="1"/>
  <c r="AA24" i="21" s="1"/>
  <c r="L24" i="21"/>
  <c r="S24" i="21" s="1"/>
  <c r="Z24" i="21" s="1"/>
  <c r="K24" i="21"/>
  <c r="R24" i="21" s="1"/>
  <c r="Y24" i="21" s="1"/>
  <c r="Q23" i="21"/>
  <c r="X23" i="21" s="1"/>
  <c r="AE23" i="21" s="1"/>
  <c r="P23" i="21"/>
  <c r="W23" i="21" s="1"/>
  <c r="AD23" i="21" s="1"/>
  <c r="O23" i="21"/>
  <c r="V23" i="21" s="1"/>
  <c r="AC23" i="21" s="1"/>
  <c r="N23" i="21"/>
  <c r="U23" i="21" s="1"/>
  <c r="AB23" i="21" s="1"/>
  <c r="M23" i="21"/>
  <c r="L23" i="21"/>
  <c r="S23" i="21" s="1"/>
  <c r="Z23" i="21" s="1"/>
  <c r="K23" i="21"/>
  <c r="R23" i="21" s="1"/>
  <c r="Y23" i="21" s="1"/>
  <c r="Q22" i="21"/>
  <c r="X22" i="21" s="1"/>
  <c r="AE22" i="21" s="1"/>
  <c r="P22" i="21"/>
  <c r="W22" i="21" s="1"/>
  <c r="AD22" i="21" s="1"/>
  <c r="O22" i="21"/>
  <c r="V22" i="21" s="1"/>
  <c r="AC22" i="21" s="1"/>
  <c r="N22" i="21"/>
  <c r="U22" i="21" s="1"/>
  <c r="AB22" i="21" s="1"/>
  <c r="M22" i="21"/>
  <c r="T22" i="21" s="1"/>
  <c r="AA22" i="21" s="1"/>
  <c r="L22" i="21"/>
  <c r="S22" i="21" s="1"/>
  <c r="Z22" i="21" s="1"/>
  <c r="K22" i="21"/>
  <c r="R22" i="21" s="1"/>
  <c r="Y22" i="21" s="1"/>
  <c r="Q21" i="21"/>
  <c r="X21" i="21" s="1"/>
  <c r="AE21" i="21" s="1"/>
  <c r="P21" i="21"/>
  <c r="W21" i="21" s="1"/>
  <c r="AD21" i="21" s="1"/>
  <c r="O21" i="21"/>
  <c r="V21" i="21" s="1"/>
  <c r="AC21" i="21" s="1"/>
  <c r="N21" i="21"/>
  <c r="M21" i="21"/>
  <c r="T21" i="21" s="1"/>
  <c r="AA21" i="21" s="1"/>
  <c r="L21" i="21"/>
  <c r="S21" i="21" s="1"/>
  <c r="Z21" i="21" s="1"/>
  <c r="K21" i="21"/>
  <c r="R21" i="21" s="1"/>
  <c r="Y21" i="21" s="1"/>
  <c r="Q20" i="21"/>
  <c r="X20" i="21" s="1"/>
  <c r="AE20" i="21" s="1"/>
  <c r="P20" i="21"/>
  <c r="W20" i="21" s="1"/>
  <c r="AD20" i="21" s="1"/>
  <c r="O20" i="21"/>
  <c r="V20" i="21" s="1"/>
  <c r="AC20" i="21" s="1"/>
  <c r="N20" i="21"/>
  <c r="U20" i="21" s="1"/>
  <c r="AB20" i="21" s="1"/>
  <c r="M20" i="21"/>
  <c r="T20" i="21" s="1"/>
  <c r="AA20" i="21" s="1"/>
  <c r="L20" i="21"/>
  <c r="K20" i="21"/>
  <c r="Q19" i="21"/>
  <c r="P19" i="21"/>
  <c r="W19" i="21" s="1"/>
  <c r="AD19" i="21" s="1"/>
  <c r="O19" i="21"/>
  <c r="V19" i="21" s="1"/>
  <c r="AC19" i="21" s="1"/>
  <c r="N19" i="21"/>
  <c r="U19" i="21" s="1"/>
  <c r="AB19" i="21" s="1"/>
  <c r="M19" i="21"/>
  <c r="T19" i="21" s="1"/>
  <c r="AA19" i="21" s="1"/>
  <c r="L19" i="21"/>
  <c r="S19" i="21" s="1"/>
  <c r="Z19" i="21" s="1"/>
  <c r="K19" i="21"/>
  <c r="R19" i="21" s="1"/>
  <c r="Y19" i="21" s="1"/>
  <c r="Q18" i="21"/>
  <c r="X18" i="21" s="1"/>
  <c r="AE18" i="21" s="1"/>
  <c r="P18" i="21"/>
  <c r="W18" i="21" s="1"/>
  <c r="AD18" i="21" s="1"/>
  <c r="O18" i="21"/>
  <c r="V18" i="21" s="1"/>
  <c r="AC18" i="21" s="1"/>
  <c r="N18" i="21"/>
  <c r="U18" i="21" s="1"/>
  <c r="AB18" i="21" s="1"/>
  <c r="M18" i="21"/>
  <c r="T18" i="21" s="1"/>
  <c r="AA18" i="21" s="1"/>
  <c r="L18" i="21"/>
  <c r="K18" i="21"/>
  <c r="Q17" i="21"/>
  <c r="P17" i="21"/>
  <c r="W17" i="21" s="1"/>
  <c r="AD17" i="21" s="1"/>
  <c r="O17" i="21"/>
  <c r="V17" i="21" s="1"/>
  <c r="AC17" i="21" s="1"/>
  <c r="N17" i="21"/>
  <c r="U17" i="21" s="1"/>
  <c r="AB17" i="21" s="1"/>
  <c r="M17" i="21"/>
  <c r="L17" i="21"/>
  <c r="S17" i="21" s="1"/>
  <c r="Z17" i="21" s="1"/>
  <c r="K17" i="21"/>
  <c r="R17" i="21" s="1"/>
  <c r="Y17" i="21" s="1"/>
  <c r="Q16" i="21"/>
  <c r="X16" i="21" s="1"/>
  <c r="AE16" i="21" s="1"/>
  <c r="P16" i="21"/>
  <c r="O16" i="21"/>
  <c r="V16" i="21" s="1"/>
  <c r="AC16" i="21" s="1"/>
  <c r="N16" i="21"/>
  <c r="U16" i="21" s="1"/>
  <c r="AB16" i="21" s="1"/>
  <c r="M16" i="21"/>
  <c r="T16" i="21" s="1"/>
  <c r="AA16" i="21" s="1"/>
  <c r="L16" i="21"/>
  <c r="K16" i="21"/>
  <c r="R16" i="21" s="1"/>
  <c r="Y16" i="21" s="1"/>
  <c r="Q15" i="21"/>
  <c r="X15" i="21" s="1"/>
  <c r="AE15" i="21" s="1"/>
  <c r="P15" i="21"/>
  <c r="W15" i="21" s="1"/>
  <c r="AD15" i="21" s="1"/>
  <c r="O15" i="21"/>
  <c r="V15" i="21" s="1"/>
  <c r="AC15" i="21" s="1"/>
  <c r="N15" i="21"/>
  <c r="U15" i="21" s="1"/>
  <c r="AB15" i="21" s="1"/>
  <c r="M15" i="21"/>
  <c r="L15" i="21"/>
  <c r="S15" i="21" s="1"/>
  <c r="Z15" i="21" s="1"/>
  <c r="K15" i="21"/>
  <c r="Q14" i="21"/>
  <c r="X14" i="21" s="1"/>
  <c r="AE14" i="21" s="1"/>
  <c r="P14" i="21"/>
  <c r="O14" i="21"/>
  <c r="V14" i="21" s="1"/>
  <c r="AC14" i="21" s="1"/>
  <c r="N14" i="21"/>
  <c r="U14" i="21" s="1"/>
  <c r="AB14" i="21" s="1"/>
  <c r="M14" i="21"/>
  <c r="T14" i="21" s="1"/>
  <c r="AA14" i="21" s="1"/>
  <c r="L14" i="21"/>
  <c r="K14" i="21"/>
  <c r="Q13" i="21"/>
  <c r="P13" i="21"/>
  <c r="W13" i="21" s="1"/>
  <c r="AD13" i="21" s="1"/>
  <c r="O13" i="21"/>
  <c r="V13" i="21" s="1"/>
  <c r="AC13" i="21" s="1"/>
  <c r="N13" i="21"/>
  <c r="U13" i="21" s="1"/>
  <c r="AB13" i="21" s="1"/>
  <c r="M13" i="21"/>
  <c r="L13" i="21"/>
  <c r="K13" i="21"/>
  <c r="Q12" i="21"/>
  <c r="X12" i="21" s="1"/>
  <c r="AE12" i="21" s="1"/>
  <c r="P12" i="21"/>
  <c r="W12" i="21" s="1"/>
  <c r="AD12" i="21" s="1"/>
  <c r="O12" i="21"/>
  <c r="V12" i="21" s="1"/>
  <c r="AC12" i="21" s="1"/>
  <c r="N12" i="21"/>
  <c r="M12" i="21"/>
  <c r="T12" i="21" s="1"/>
  <c r="AA12" i="21" s="1"/>
  <c r="L12" i="21"/>
  <c r="S12" i="21" s="1"/>
  <c r="Z12" i="21" s="1"/>
  <c r="K12" i="21"/>
  <c r="R12" i="21" s="1"/>
  <c r="Y12" i="21" s="1"/>
  <c r="Q11" i="21"/>
  <c r="X11" i="21" s="1"/>
  <c r="AE11" i="21" s="1"/>
  <c r="P11" i="21"/>
  <c r="O11" i="21"/>
  <c r="N11" i="21"/>
  <c r="U11" i="21" s="1"/>
  <c r="AB11" i="21" s="1"/>
  <c r="M11" i="21"/>
  <c r="T11" i="21" s="1"/>
  <c r="AA11" i="21" s="1"/>
  <c r="L11" i="21"/>
  <c r="K11" i="21"/>
  <c r="Q10" i="21"/>
  <c r="P10" i="21"/>
  <c r="W10" i="21" s="1"/>
  <c r="AD10" i="21" s="1"/>
  <c r="O10" i="21"/>
  <c r="V10" i="21" s="1"/>
  <c r="AC10" i="21" s="1"/>
  <c r="N10" i="21"/>
  <c r="U10" i="21" s="1"/>
  <c r="AB10" i="21" s="1"/>
  <c r="M10" i="21"/>
  <c r="L10" i="21"/>
  <c r="K10" i="21"/>
  <c r="R10" i="21" s="1"/>
  <c r="Y10" i="21" s="1"/>
  <c r="Q9" i="21"/>
  <c r="P9" i="21"/>
  <c r="W9" i="21" s="1"/>
  <c r="AD9" i="21" s="1"/>
  <c r="O9" i="21"/>
  <c r="V9" i="21" s="1"/>
  <c r="AC9" i="21" s="1"/>
  <c r="N9" i="21"/>
  <c r="U9" i="21" s="1"/>
  <c r="AB9" i="21" s="1"/>
  <c r="M9" i="21"/>
  <c r="L9" i="21"/>
  <c r="S9" i="21" s="1"/>
  <c r="Z9" i="21" s="1"/>
  <c r="K9" i="21"/>
  <c r="Q8" i="21"/>
  <c r="X8" i="21" s="1"/>
  <c r="AE8" i="21" s="1"/>
  <c r="P8" i="21"/>
  <c r="W8" i="21" s="1"/>
  <c r="AD8" i="21" s="1"/>
  <c r="O8" i="21"/>
  <c r="V8" i="21" s="1"/>
  <c r="AC8" i="21" s="1"/>
  <c r="N8" i="21"/>
  <c r="M8" i="21"/>
  <c r="T8" i="21" s="1"/>
  <c r="AA8" i="21" s="1"/>
  <c r="L8" i="21"/>
  <c r="K8" i="21"/>
  <c r="R8" i="21" s="1"/>
  <c r="Y8" i="21" s="1"/>
  <c r="Q7" i="21"/>
  <c r="X7" i="21" s="1"/>
  <c r="AE7" i="21" s="1"/>
  <c r="P7" i="21"/>
  <c r="O7" i="21"/>
  <c r="N7" i="21"/>
  <c r="U7" i="21" s="1"/>
  <c r="AB7" i="21" s="1"/>
  <c r="M7" i="21"/>
  <c r="T7" i="21" s="1"/>
  <c r="AA7" i="21" s="1"/>
  <c r="L7" i="21"/>
  <c r="K7" i="21"/>
  <c r="Q6" i="21"/>
  <c r="X6" i="21" s="1"/>
  <c r="AE6" i="21" s="1"/>
  <c r="P6" i="21"/>
  <c r="O6" i="21"/>
  <c r="V6" i="21" s="1"/>
  <c r="AC6" i="21" s="1"/>
  <c r="N6" i="21"/>
  <c r="U6" i="21" s="1"/>
  <c r="AB6" i="21" s="1"/>
  <c r="M6" i="21"/>
  <c r="T6" i="21" s="1"/>
  <c r="AA6" i="21" s="1"/>
  <c r="L6" i="21"/>
  <c r="K6" i="21"/>
  <c r="R6" i="21" s="1"/>
  <c r="Y6" i="21" s="1"/>
  <c r="Q5" i="21"/>
  <c r="P5" i="21"/>
  <c r="W5" i="21" s="1"/>
  <c r="AD5" i="21" s="1"/>
  <c r="O5" i="21"/>
  <c r="V5" i="21" s="1"/>
  <c r="AC5" i="21" s="1"/>
  <c r="N5" i="21"/>
  <c r="U5" i="21" s="1"/>
  <c r="AB5" i="21" s="1"/>
  <c r="M5" i="21"/>
  <c r="L5" i="21"/>
  <c r="S5" i="21" s="1"/>
  <c r="Z5" i="21" s="1"/>
  <c r="K5" i="21"/>
  <c r="Q4" i="21"/>
  <c r="X4" i="21" s="1"/>
  <c r="AE4" i="21" s="1"/>
  <c r="P4" i="21"/>
  <c r="O4" i="21"/>
  <c r="V4" i="21" s="1"/>
  <c r="AC4" i="21" s="1"/>
  <c r="N4" i="21"/>
  <c r="U4" i="21" s="1"/>
  <c r="AB4" i="21" s="1"/>
  <c r="M4" i="21"/>
  <c r="T4" i="21" s="1"/>
  <c r="AA4" i="21" s="1"/>
  <c r="L4" i="21"/>
  <c r="K4" i="21"/>
  <c r="K103" i="9"/>
  <c r="R103" i="9" s="1"/>
  <c r="Y103" i="9" s="1"/>
  <c r="L103" i="9"/>
  <c r="S103" i="9" s="1"/>
  <c r="Z103" i="9" s="1"/>
  <c r="M103" i="9"/>
  <c r="N103" i="9"/>
  <c r="U103" i="9" s="1"/>
  <c r="AB103" i="9" s="1"/>
  <c r="O103" i="9"/>
  <c r="V103" i="9" s="1"/>
  <c r="AC103" i="9" s="1"/>
  <c r="P103" i="9"/>
  <c r="W103" i="9" s="1"/>
  <c r="AD103" i="9" s="1"/>
  <c r="Q103" i="9"/>
  <c r="T103" i="9"/>
  <c r="AA103" i="9" s="1"/>
  <c r="X103" i="9"/>
  <c r="AE103" i="9" s="1"/>
  <c r="K54" i="9"/>
  <c r="R54" i="9" s="1"/>
  <c r="Y54" i="9" s="1"/>
  <c r="L54" i="9"/>
  <c r="S54" i="9" s="1"/>
  <c r="Z54" i="9" s="1"/>
  <c r="M54" i="9"/>
  <c r="T54" i="9" s="1"/>
  <c r="AA54" i="9" s="1"/>
  <c r="N54" i="9"/>
  <c r="U54" i="9" s="1"/>
  <c r="AB54" i="9" s="1"/>
  <c r="O54" i="9"/>
  <c r="V54" i="9" s="1"/>
  <c r="AC54" i="9" s="1"/>
  <c r="P54" i="9"/>
  <c r="Q54" i="9"/>
  <c r="X54" i="9" s="1"/>
  <c r="AE54" i="9" s="1"/>
  <c r="W54" i="9"/>
  <c r="AD54" i="9" s="1"/>
  <c r="K55" i="9"/>
  <c r="R55" i="9" s="1"/>
  <c r="Y55" i="9" s="1"/>
  <c r="L55" i="9"/>
  <c r="S55" i="9" s="1"/>
  <c r="Z55" i="9" s="1"/>
  <c r="M55" i="9"/>
  <c r="T55" i="9" s="1"/>
  <c r="AA55" i="9" s="1"/>
  <c r="N55" i="9"/>
  <c r="O55" i="9"/>
  <c r="V55" i="9" s="1"/>
  <c r="AC55" i="9" s="1"/>
  <c r="P55" i="9"/>
  <c r="W55" i="9" s="1"/>
  <c r="AD55" i="9" s="1"/>
  <c r="Q55" i="9"/>
  <c r="X55" i="9" s="1"/>
  <c r="AE55" i="9" s="1"/>
  <c r="U55" i="9"/>
  <c r="AB55" i="9" s="1"/>
  <c r="K56" i="9"/>
  <c r="R56" i="9" s="1"/>
  <c r="L56" i="9"/>
  <c r="S56" i="9" s="1"/>
  <c r="Z56" i="9" s="1"/>
  <c r="M56" i="9"/>
  <c r="T56" i="9" s="1"/>
  <c r="AA56" i="9" s="1"/>
  <c r="N56" i="9"/>
  <c r="O56" i="9"/>
  <c r="V56" i="9" s="1"/>
  <c r="AC56" i="9" s="1"/>
  <c r="P56" i="9"/>
  <c r="W56" i="9" s="1"/>
  <c r="AD56" i="9" s="1"/>
  <c r="Q56" i="9"/>
  <c r="X56" i="9" s="1"/>
  <c r="AE56" i="9" s="1"/>
  <c r="U56" i="9"/>
  <c r="AB56" i="9" s="1"/>
  <c r="Y56" i="9"/>
  <c r="K57" i="9"/>
  <c r="R57" i="9" s="1"/>
  <c r="Y57" i="9" s="1"/>
  <c r="L57" i="9"/>
  <c r="S57" i="9" s="1"/>
  <c r="Z57" i="9" s="1"/>
  <c r="M57" i="9"/>
  <c r="T57" i="9" s="1"/>
  <c r="AA57" i="9" s="1"/>
  <c r="N57" i="9"/>
  <c r="U57" i="9" s="1"/>
  <c r="AB57" i="9" s="1"/>
  <c r="O57" i="9"/>
  <c r="V57" i="9" s="1"/>
  <c r="AC57" i="9" s="1"/>
  <c r="P57" i="9"/>
  <c r="W57" i="9" s="1"/>
  <c r="AD57" i="9" s="1"/>
  <c r="Q57" i="9"/>
  <c r="X57" i="9" s="1"/>
  <c r="AE57" i="9" s="1"/>
  <c r="K58" i="9"/>
  <c r="R58" i="9" s="1"/>
  <c r="Y58" i="9" s="1"/>
  <c r="L58" i="9"/>
  <c r="S58" i="9" s="1"/>
  <c r="Z58" i="9" s="1"/>
  <c r="M58" i="9"/>
  <c r="T58" i="9" s="1"/>
  <c r="AA58" i="9" s="1"/>
  <c r="N58" i="9"/>
  <c r="U58" i="9" s="1"/>
  <c r="AB58" i="9" s="1"/>
  <c r="O58" i="9"/>
  <c r="V58" i="9" s="1"/>
  <c r="AC58" i="9" s="1"/>
  <c r="P58" i="9"/>
  <c r="W58" i="9" s="1"/>
  <c r="AD58" i="9" s="1"/>
  <c r="Q58" i="9"/>
  <c r="X58" i="9" s="1"/>
  <c r="AE58" i="9" s="1"/>
  <c r="K59" i="9"/>
  <c r="R59" i="9" s="1"/>
  <c r="Y59" i="9" s="1"/>
  <c r="L59" i="9"/>
  <c r="S59" i="9" s="1"/>
  <c r="Z59" i="9" s="1"/>
  <c r="M59" i="9"/>
  <c r="T59" i="9" s="1"/>
  <c r="AA59" i="9" s="1"/>
  <c r="N59" i="9"/>
  <c r="U59" i="9" s="1"/>
  <c r="AB59" i="9" s="1"/>
  <c r="O59" i="9"/>
  <c r="V59" i="9" s="1"/>
  <c r="AC59" i="9" s="1"/>
  <c r="P59" i="9"/>
  <c r="W59" i="9" s="1"/>
  <c r="AD59" i="9" s="1"/>
  <c r="Q59" i="9"/>
  <c r="X59" i="9" s="1"/>
  <c r="AE59" i="9" s="1"/>
  <c r="K60" i="9"/>
  <c r="R60" i="9" s="1"/>
  <c r="L60" i="9"/>
  <c r="S60" i="9" s="1"/>
  <c r="Z60" i="9" s="1"/>
  <c r="M60" i="9"/>
  <c r="T60" i="9" s="1"/>
  <c r="AA60" i="9" s="1"/>
  <c r="N60" i="9"/>
  <c r="U60" i="9" s="1"/>
  <c r="AB60" i="9" s="1"/>
  <c r="O60" i="9"/>
  <c r="V60" i="9" s="1"/>
  <c r="P60" i="9"/>
  <c r="W60" i="9" s="1"/>
  <c r="AD60" i="9" s="1"/>
  <c r="Q60" i="9"/>
  <c r="X60" i="9" s="1"/>
  <c r="AE60" i="9" s="1"/>
  <c r="Y60" i="9"/>
  <c r="AC60" i="9"/>
  <c r="K61" i="9"/>
  <c r="R61" i="9" s="1"/>
  <c r="Y61" i="9" s="1"/>
  <c r="L61" i="9"/>
  <c r="S61" i="9" s="1"/>
  <c r="Z61" i="9" s="1"/>
  <c r="M61" i="9"/>
  <c r="T61" i="9" s="1"/>
  <c r="AA61" i="9" s="1"/>
  <c r="N61" i="9"/>
  <c r="U61" i="9" s="1"/>
  <c r="AB61" i="9" s="1"/>
  <c r="O61" i="9"/>
  <c r="V61" i="9" s="1"/>
  <c r="AC61" i="9" s="1"/>
  <c r="P61" i="9"/>
  <c r="W61" i="9" s="1"/>
  <c r="AD61" i="9" s="1"/>
  <c r="Q61" i="9"/>
  <c r="X61" i="9" s="1"/>
  <c r="AE61" i="9" s="1"/>
  <c r="K62" i="9"/>
  <c r="R62" i="9" s="1"/>
  <c r="Y62" i="9" s="1"/>
  <c r="L62" i="9"/>
  <c r="S62" i="9" s="1"/>
  <c r="Z62" i="9" s="1"/>
  <c r="M62" i="9"/>
  <c r="T62" i="9" s="1"/>
  <c r="AA62" i="9" s="1"/>
  <c r="N62" i="9"/>
  <c r="U62" i="9" s="1"/>
  <c r="AB62" i="9" s="1"/>
  <c r="O62" i="9"/>
  <c r="V62" i="9" s="1"/>
  <c r="AC62" i="9" s="1"/>
  <c r="P62" i="9"/>
  <c r="W62" i="9" s="1"/>
  <c r="AD62" i="9" s="1"/>
  <c r="Q62" i="9"/>
  <c r="X62" i="9" s="1"/>
  <c r="AE62" i="9" s="1"/>
  <c r="K63" i="9"/>
  <c r="R63" i="9" s="1"/>
  <c r="Y63" i="9" s="1"/>
  <c r="L63" i="9"/>
  <c r="S63" i="9" s="1"/>
  <c r="Z63" i="9" s="1"/>
  <c r="M63" i="9"/>
  <c r="T63" i="9" s="1"/>
  <c r="AA63" i="9" s="1"/>
  <c r="N63" i="9"/>
  <c r="U63" i="9" s="1"/>
  <c r="AB63" i="9" s="1"/>
  <c r="O63" i="9"/>
  <c r="V63" i="9" s="1"/>
  <c r="AC63" i="9" s="1"/>
  <c r="P63" i="9"/>
  <c r="W63" i="9" s="1"/>
  <c r="AD63" i="9" s="1"/>
  <c r="Q63" i="9"/>
  <c r="X63" i="9" s="1"/>
  <c r="AE63" i="9" s="1"/>
  <c r="K64" i="9"/>
  <c r="R64" i="9" s="1"/>
  <c r="Y64" i="9" s="1"/>
  <c r="L64" i="9"/>
  <c r="S64" i="9" s="1"/>
  <c r="Z64" i="9" s="1"/>
  <c r="M64" i="9"/>
  <c r="T64" i="9" s="1"/>
  <c r="AA64" i="9" s="1"/>
  <c r="N64" i="9"/>
  <c r="U64" i="9" s="1"/>
  <c r="AB64" i="9" s="1"/>
  <c r="O64" i="9"/>
  <c r="V64" i="9" s="1"/>
  <c r="AC64" i="9" s="1"/>
  <c r="P64" i="9"/>
  <c r="W64" i="9" s="1"/>
  <c r="AD64" i="9" s="1"/>
  <c r="Q64" i="9"/>
  <c r="X64" i="9"/>
  <c r="AE64" i="9" s="1"/>
  <c r="K65" i="9"/>
  <c r="R65" i="9" s="1"/>
  <c r="Y65" i="9" s="1"/>
  <c r="L65" i="9"/>
  <c r="S65" i="9" s="1"/>
  <c r="Z65" i="9" s="1"/>
  <c r="M65" i="9"/>
  <c r="T65" i="9" s="1"/>
  <c r="AA65" i="9" s="1"/>
  <c r="N65" i="9"/>
  <c r="U65" i="9" s="1"/>
  <c r="AB65" i="9" s="1"/>
  <c r="O65" i="9"/>
  <c r="V65" i="9" s="1"/>
  <c r="AC65" i="9" s="1"/>
  <c r="P65" i="9"/>
  <c r="W65" i="9" s="1"/>
  <c r="AD65" i="9" s="1"/>
  <c r="Q65" i="9"/>
  <c r="X65" i="9"/>
  <c r="AE65" i="9" s="1"/>
  <c r="K66" i="9"/>
  <c r="R66" i="9" s="1"/>
  <c r="Y66" i="9" s="1"/>
  <c r="L66" i="9"/>
  <c r="S66" i="9" s="1"/>
  <c r="Z66" i="9" s="1"/>
  <c r="M66" i="9"/>
  <c r="T66" i="9" s="1"/>
  <c r="AA66" i="9" s="1"/>
  <c r="N66" i="9"/>
  <c r="U66" i="9" s="1"/>
  <c r="AB66" i="9" s="1"/>
  <c r="O66" i="9"/>
  <c r="V66" i="9" s="1"/>
  <c r="AC66" i="9" s="1"/>
  <c r="P66" i="9"/>
  <c r="W66" i="9" s="1"/>
  <c r="AD66" i="9" s="1"/>
  <c r="Q66" i="9"/>
  <c r="X66" i="9" s="1"/>
  <c r="AE66" i="9" s="1"/>
  <c r="K67" i="9"/>
  <c r="R67" i="9" s="1"/>
  <c r="Y67" i="9" s="1"/>
  <c r="L67" i="9"/>
  <c r="S67" i="9" s="1"/>
  <c r="Z67" i="9" s="1"/>
  <c r="M67" i="9"/>
  <c r="T67" i="9" s="1"/>
  <c r="AA67" i="9" s="1"/>
  <c r="N67" i="9"/>
  <c r="U67" i="9" s="1"/>
  <c r="AB67" i="9" s="1"/>
  <c r="O67" i="9"/>
  <c r="V67" i="9" s="1"/>
  <c r="AC67" i="9" s="1"/>
  <c r="P67" i="9"/>
  <c r="W67" i="9" s="1"/>
  <c r="AD67" i="9" s="1"/>
  <c r="Q67" i="9"/>
  <c r="X67" i="9" s="1"/>
  <c r="AE67" i="9" s="1"/>
  <c r="K68" i="9"/>
  <c r="R68" i="9" s="1"/>
  <c r="L68" i="9"/>
  <c r="S68" i="9" s="1"/>
  <c r="Z68" i="9" s="1"/>
  <c r="M68" i="9"/>
  <c r="T68" i="9" s="1"/>
  <c r="AA68" i="9" s="1"/>
  <c r="N68" i="9"/>
  <c r="O68" i="9"/>
  <c r="V68" i="9" s="1"/>
  <c r="AC68" i="9" s="1"/>
  <c r="P68" i="9"/>
  <c r="W68" i="9" s="1"/>
  <c r="AD68" i="9" s="1"/>
  <c r="Q68" i="9"/>
  <c r="X68" i="9" s="1"/>
  <c r="AE68" i="9" s="1"/>
  <c r="U68" i="9"/>
  <c r="AB68" i="9" s="1"/>
  <c r="Y68" i="9"/>
  <c r="K69" i="9"/>
  <c r="R69" i="9" s="1"/>
  <c r="Y69" i="9" s="1"/>
  <c r="L69" i="9"/>
  <c r="S69" i="9" s="1"/>
  <c r="Z69" i="9" s="1"/>
  <c r="M69" i="9"/>
  <c r="T69" i="9" s="1"/>
  <c r="AA69" i="9" s="1"/>
  <c r="N69" i="9"/>
  <c r="U69" i="9" s="1"/>
  <c r="AB69" i="9" s="1"/>
  <c r="O69" i="9"/>
  <c r="V69" i="9" s="1"/>
  <c r="AC69" i="9" s="1"/>
  <c r="P69" i="9"/>
  <c r="W69" i="9" s="1"/>
  <c r="AD69" i="9" s="1"/>
  <c r="Q69" i="9"/>
  <c r="X69" i="9" s="1"/>
  <c r="AE69" i="9" s="1"/>
  <c r="K70" i="9"/>
  <c r="R70" i="9" s="1"/>
  <c r="Y70" i="9" s="1"/>
  <c r="L70" i="9"/>
  <c r="S70" i="9" s="1"/>
  <c r="Z70" i="9" s="1"/>
  <c r="M70" i="9"/>
  <c r="T70" i="9" s="1"/>
  <c r="AA70" i="9" s="1"/>
  <c r="N70" i="9"/>
  <c r="U70" i="9" s="1"/>
  <c r="AB70" i="9" s="1"/>
  <c r="O70" i="9"/>
  <c r="V70" i="9" s="1"/>
  <c r="AC70" i="9" s="1"/>
  <c r="P70" i="9"/>
  <c r="W70" i="9" s="1"/>
  <c r="AD70" i="9" s="1"/>
  <c r="Q70" i="9"/>
  <c r="X70" i="9" s="1"/>
  <c r="AE70" i="9" s="1"/>
  <c r="K71" i="9"/>
  <c r="L71" i="9"/>
  <c r="S71" i="9" s="1"/>
  <c r="M71" i="9"/>
  <c r="T71" i="9" s="1"/>
  <c r="AA71" i="9" s="1"/>
  <c r="N71" i="9"/>
  <c r="U71" i="9" s="1"/>
  <c r="AB71" i="9" s="1"/>
  <c r="O71" i="9"/>
  <c r="P71" i="9"/>
  <c r="W71" i="9" s="1"/>
  <c r="AD71" i="9" s="1"/>
  <c r="Q71" i="9"/>
  <c r="X71" i="9" s="1"/>
  <c r="AE71" i="9" s="1"/>
  <c r="R71" i="9"/>
  <c r="Y71" i="9" s="1"/>
  <c r="V71" i="9"/>
  <c r="AC71" i="9" s="1"/>
  <c r="Z71" i="9"/>
  <c r="K72" i="9"/>
  <c r="R72" i="9" s="1"/>
  <c r="L72" i="9"/>
  <c r="S72" i="9" s="1"/>
  <c r="Z72" i="9" s="1"/>
  <c r="M72" i="9"/>
  <c r="T72" i="9" s="1"/>
  <c r="AA72" i="9" s="1"/>
  <c r="N72" i="9"/>
  <c r="O72" i="9"/>
  <c r="V72" i="9" s="1"/>
  <c r="AC72" i="9" s="1"/>
  <c r="P72" i="9"/>
  <c r="W72" i="9" s="1"/>
  <c r="AD72" i="9" s="1"/>
  <c r="Q72" i="9"/>
  <c r="X72" i="9" s="1"/>
  <c r="AE72" i="9" s="1"/>
  <c r="U72" i="9"/>
  <c r="AB72" i="9" s="1"/>
  <c r="Y72" i="9"/>
  <c r="K73" i="9"/>
  <c r="R73" i="9" s="1"/>
  <c r="Y73" i="9" s="1"/>
  <c r="L73" i="9"/>
  <c r="M73" i="9"/>
  <c r="T73" i="9" s="1"/>
  <c r="AA73" i="9" s="1"/>
  <c r="N73" i="9"/>
  <c r="U73" i="9" s="1"/>
  <c r="AB73" i="9" s="1"/>
  <c r="O73" i="9"/>
  <c r="V73" i="9" s="1"/>
  <c r="AC73" i="9" s="1"/>
  <c r="P73" i="9"/>
  <c r="W73" i="9" s="1"/>
  <c r="Q73" i="9"/>
  <c r="X73" i="9" s="1"/>
  <c r="AE73" i="9" s="1"/>
  <c r="S73" i="9"/>
  <c r="Z73" i="9" s="1"/>
  <c r="AD73" i="9"/>
  <c r="K74" i="9"/>
  <c r="L74" i="9"/>
  <c r="S74" i="9" s="1"/>
  <c r="Z74" i="9" s="1"/>
  <c r="M74" i="9"/>
  <c r="T74" i="9" s="1"/>
  <c r="AA74" i="9" s="1"/>
  <c r="N74" i="9"/>
  <c r="U74" i="9" s="1"/>
  <c r="AB74" i="9" s="1"/>
  <c r="O74" i="9"/>
  <c r="P74" i="9"/>
  <c r="W74" i="9" s="1"/>
  <c r="AD74" i="9" s="1"/>
  <c r="Q74" i="9"/>
  <c r="X74" i="9" s="1"/>
  <c r="AE74" i="9" s="1"/>
  <c r="R74" i="9"/>
  <c r="Y74" i="9" s="1"/>
  <c r="V74" i="9"/>
  <c r="AC74" i="9" s="1"/>
  <c r="K75" i="9"/>
  <c r="R75" i="9" s="1"/>
  <c r="Y75" i="9" s="1"/>
  <c r="L75" i="9"/>
  <c r="S75" i="9" s="1"/>
  <c r="Z75" i="9" s="1"/>
  <c r="M75" i="9"/>
  <c r="N75" i="9"/>
  <c r="U75" i="9" s="1"/>
  <c r="AB75" i="9" s="1"/>
  <c r="O75" i="9"/>
  <c r="V75" i="9" s="1"/>
  <c r="AC75" i="9" s="1"/>
  <c r="P75" i="9"/>
  <c r="W75" i="9" s="1"/>
  <c r="AD75" i="9" s="1"/>
  <c r="Q75" i="9"/>
  <c r="X75" i="9" s="1"/>
  <c r="AE75" i="9" s="1"/>
  <c r="T75" i="9"/>
  <c r="AA75" i="9" s="1"/>
  <c r="K76" i="9"/>
  <c r="R76" i="9" s="1"/>
  <c r="L76" i="9"/>
  <c r="S76" i="9" s="1"/>
  <c r="Z76" i="9" s="1"/>
  <c r="M76" i="9"/>
  <c r="T76" i="9" s="1"/>
  <c r="AA76" i="9" s="1"/>
  <c r="N76" i="9"/>
  <c r="O76" i="9"/>
  <c r="V76" i="9" s="1"/>
  <c r="AC76" i="9" s="1"/>
  <c r="P76" i="9"/>
  <c r="W76" i="9" s="1"/>
  <c r="AD76" i="9" s="1"/>
  <c r="Q76" i="9"/>
  <c r="X76" i="9" s="1"/>
  <c r="AE76" i="9" s="1"/>
  <c r="U76" i="9"/>
  <c r="AB76" i="9" s="1"/>
  <c r="Y76" i="9"/>
  <c r="K77" i="9"/>
  <c r="R77" i="9" s="1"/>
  <c r="Y77" i="9" s="1"/>
  <c r="L77" i="9"/>
  <c r="S77" i="9" s="1"/>
  <c r="Z77" i="9" s="1"/>
  <c r="M77" i="9"/>
  <c r="T77" i="9" s="1"/>
  <c r="AA77" i="9" s="1"/>
  <c r="N77" i="9"/>
  <c r="U77" i="9" s="1"/>
  <c r="AB77" i="9" s="1"/>
  <c r="O77" i="9"/>
  <c r="V77" i="9" s="1"/>
  <c r="AC77" i="9" s="1"/>
  <c r="P77" i="9"/>
  <c r="Q77" i="9"/>
  <c r="X77" i="9" s="1"/>
  <c r="AE77" i="9" s="1"/>
  <c r="K78" i="9"/>
  <c r="R78" i="9" s="1"/>
  <c r="Y78" i="9" s="1"/>
  <c r="L78" i="9"/>
  <c r="S78" i="9" s="1"/>
  <c r="Z78" i="9" s="1"/>
  <c r="M78" i="9"/>
  <c r="T78" i="9" s="1"/>
  <c r="AA78" i="9" s="1"/>
  <c r="N78" i="9"/>
  <c r="U78" i="9" s="1"/>
  <c r="AB78" i="9" s="1"/>
  <c r="O78" i="9"/>
  <c r="V78" i="9" s="1"/>
  <c r="AC78" i="9" s="1"/>
  <c r="P78" i="9"/>
  <c r="W78" i="9" s="1"/>
  <c r="AD78" i="9" s="1"/>
  <c r="Q78" i="9"/>
  <c r="X78" i="9" s="1"/>
  <c r="AE78" i="9" s="1"/>
  <c r="K79" i="9"/>
  <c r="R79" i="9" s="1"/>
  <c r="Y79" i="9" s="1"/>
  <c r="L79" i="9"/>
  <c r="S79" i="9" s="1"/>
  <c r="Z79" i="9" s="1"/>
  <c r="M79" i="9"/>
  <c r="T79" i="9" s="1"/>
  <c r="AA79" i="9" s="1"/>
  <c r="N79" i="9"/>
  <c r="U79" i="9" s="1"/>
  <c r="AB79" i="9" s="1"/>
  <c r="O79" i="9"/>
  <c r="V79" i="9" s="1"/>
  <c r="AC79" i="9" s="1"/>
  <c r="P79" i="9"/>
  <c r="W79" i="9" s="1"/>
  <c r="AD79" i="9" s="1"/>
  <c r="Q79" i="9"/>
  <c r="X79" i="9" s="1"/>
  <c r="AE79" i="9" s="1"/>
  <c r="K80" i="9"/>
  <c r="R80" i="9" s="1"/>
  <c r="Y80" i="9" s="1"/>
  <c r="L80" i="9"/>
  <c r="S80" i="9" s="1"/>
  <c r="Z80" i="9" s="1"/>
  <c r="M80" i="9"/>
  <c r="T80" i="9" s="1"/>
  <c r="AA80" i="9" s="1"/>
  <c r="N80" i="9"/>
  <c r="O80" i="9"/>
  <c r="V80" i="9" s="1"/>
  <c r="AC80" i="9" s="1"/>
  <c r="P80" i="9"/>
  <c r="W80" i="9" s="1"/>
  <c r="AD80" i="9" s="1"/>
  <c r="Q80" i="9"/>
  <c r="X80" i="9" s="1"/>
  <c r="AE80" i="9" s="1"/>
  <c r="U80" i="9"/>
  <c r="AB80" i="9" s="1"/>
  <c r="K81" i="9"/>
  <c r="R81" i="9" s="1"/>
  <c r="Y81" i="9" s="1"/>
  <c r="L81" i="9"/>
  <c r="S81" i="9" s="1"/>
  <c r="Z81" i="9" s="1"/>
  <c r="M81" i="9"/>
  <c r="T81" i="9" s="1"/>
  <c r="AA81" i="9" s="1"/>
  <c r="N81" i="9"/>
  <c r="U81" i="9" s="1"/>
  <c r="AB81" i="9" s="1"/>
  <c r="O81" i="9"/>
  <c r="V81" i="9" s="1"/>
  <c r="AC81" i="9" s="1"/>
  <c r="P81" i="9"/>
  <c r="W81" i="9" s="1"/>
  <c r="AD81" i="9" s="1"/>
  <c r="Q81" i="9"/>
  <c r="X81" i="9" s="1"/>
  <c r="AE81" i="9" s="1"/>
  <c r="K82" i="9"/>
  <c r="R82" i="9" s="1"/>
  <c r="Y82" i="9" s="1"/>
  <c r="L82" i="9"/>
  <c r="S82" i="9" s="1"/>
  <c r="Z82" i="9" s="1"/>
  <c r="M82" i="9"/>
  <c r="T82" i="9" s="1"/>
  <c r="AA82" i="9" s="1"/>
  <c r="N82" i="9"/>
  <c r="U82" i="9" s="1"/>
  <c r="AB82" i="9" s="1"/>
  <c r="O82" i="9"/>
  <c r="V82" i="9" s="1"/>
  <c r="AC82" i="9" s="1"/>
  <c r="P82" i="9"/>
  <c r="W82" i="9" s="1"/>
  <c r="AD82" i="9" s="1"/>
  <c r="Q82" i="9"/>
  <c r="X82" i="9" s="1"/>
  <c r="AE82" i="9" s="1"/>
  <c r="K83" i="9"/>
  <c r="L83" i="9"/>
  <c r="S83" i="9" s="1"/>
  <c r="Z83" i="9" s="1"/>
  <c r="M83" i="9"/>
  <c r="T83" i="9" s="1"/>
  <c r="AA83" i="9" s="1"/>
  <c r="N83" i="9"/>
  <c r="U83" i="9" s="1"/>
  <c r="AB83" i="9" s="1"/>
  <c r="O83" i="9"/>
  <c r="P83" i="9"/>
  <c r="Q83" i="9"/>
  <c r="X83" i="9" s="1"/>
  <c r="AE83" i="9" s="1"/>
  <c r="R83" i="9"/>
  <c r="Y83" i="9" s="1"/>
  <c r="V83" i="9"/>
  <c r="AC83" i="9" s="1"/>
  <c r="W83" i="9"/>
  <c r="AD83" i="9" s="1"/>
  <c r="K84" i="9"/>
  <c r="R84" i="9" s="1"/>
  <c r="Y84" i="9" s="1"/>
  <c r="L84" i="9"/>
  <c r="S84" i="9" s="1"/>
  <c r="Z84" i="9" s="1"/>
  <c r="M84" i="9"/>
  <c r="T84" i="9" s="1"/>
  <c r="AA84" i="9" s="1"/>
  <c r="N84" i="9"/>
  <c r="O84" i="9"/>
  <c r="V84" i="9" s="1"/>
  <c r="AC84" i="9" s="1"/>
  <c r="P84" i="9"/>
  <c r="W84" i="9" s="1"/>
  <c r="AD84" i="9" s="1"/>
  <c r="Q84" i="9"/>
  <c r="X84" i="9" s="1"/>
  <c r="AE84" i="9" s="1"/>
  <c r="U84" i="9"/>
  <c r="AB84" i="9" s="1"/>
  <c r="K85" i="9"/>
  <c r="R85" i="9" s="1"/>
  <c r="Y85" i="9" s="1"/>
  <c r="L85" i="9"/>
  <c r="S85" i="9" s="1"/>
  <c r="Z85" i="9" s="1"/>
  <c r="M85" i="9"/>
  <c r="T85" i="9" s="1"/>
  <c r="AA85" i="9" s="1"/>
  <c r="N85" i="9"/>
  <c r="U85" i="9" s="1"/>
  <c r="AB85" i="9" s="1"/>
  <c r="O85" i="9"/>
  <c r="V85" i="9" s="1"/>
  <c r="AC85" i="9" s="1"/>
  <c r="P85" i="9"/>
  <c r="W85" i="9" s="1"/>
  <c r="AD85" i="9" s="1"/>
  <c r="Q85" i="9"/>
  <c r="X85" i="9" s="1"/>
  <c r="AE85" i="9" s="1"/>
  <c r="K86" i="9"/>
  <c r="R86" i="9" s="1"/>
  <c r="Y86" i="9" s="1"/>
  <c r="L86" i="9"/>
  <c r="S86" i="9" s="1"/>
  <c r="Z86" i="9" s="1"/>
  <c r="M86" i="9"/>
  <c r="T86" i="9" s="1"/>
  <c r="AA86" i="9" s="1"/>
  <c r="N86" i="9"/>
  <c r="U86" i="9" s="1"/>
  <c r="AB86" i="9" s="1"/>
  <c r="O86" i="9"/>
  <c r="V86" i="9" s="1"/>
  <c r="AC86" i="9" s="1"/>
  <c r="P86" i="9"/>
  <c r="W86" i="9" s="1"/>
  <c r="AD86" i="9" s="1"/>
  <c r="Q86" i="9"/>
  <c r="X86" i="9" s="1"/>
  <c r="AE86" i="9" s="1"/>
  <c r="K87" i="9"/>
  <c r="R87" i="9" s="1"/>
  <c r="Y87" i="9" s="1"/>
  <c r="L87" i="9"/>
  <c r="S87" i="9" s="1"/>
  <c r="Z87" i="9" s="1"/>
  <c r="M87" i="9"/>
  <c r="T87" i="9" s="1"/>
  <c r="AA87" i="9" s="1"/>
  <c r="N87" i="9"/>
  <c r="U87" i="9" s="1"/>
  <c r="AB87" i="9" s="1"/>
  <c r="O87" i="9"/>
  <c r="V87" i="9" s="1"/>
  <c r="AC87" i="9" s="1"/>
  <c r="P87" i="9"/>
  <c r="W87" i="9" s="1"/>
  <c r="AD87" i="9" s="1"/>
  <c r="Q87" i="9"/>
  <c r="X87" i="9" s="1"/>
  <c r="AE87" i="9" s="1"/>
  <c r="K88" i="9"/>
  <c r="R88" i="9" s="1"/>
  <c r="Y88" i="9" s="1"/>
  <c r="L88" i="9"/>
  <c r="S88" i="9" s="1"/>
  <c r="Z88" i="9" s="1"/>
  <c r="M88" i="9"/>
  <c r="T88" i="9" s="1"/>
  <c r="AA88" i="9" s="1"/>
  <c r="N88" i="9"/>
  <c r="O88" i="9"/>
  <c r="V88" i="9" s="1"/>
  <c r="AC88" i="9" s="1"/>
  <c r="P88" i="9"/>
  <c r="W88" i="9" s="1"/>
  <c r="AD88" i="9" s="1"/>
  <c r="Q88" i="9"/>
  <c r="X88" i="9" s="1"/>
  <c r="AE88" i="9" s="1"/>
  <c r="U88" i="9"/>
  <c r="AB88" i="9" s="1"/>
  <c r="K89" i="9"/>
  <c r="R89" i="9" s="1"/>
  <c r="Y89" i="9" s="1"/>
  <c r="L89" i="9"/>
  <c r="S89" i="9" s="1"/>
  <c r="Z89" i="9" s="1"/>
  <c r="M89" i="9"/>
  <c r="T89" i="9" s="1"/>
  <c r="AA89" i="9" s="1"/>
  <c r="N89" i="9"/>
  <c r="U89" i="9" s="1"/>
  <c r="AB89" i="9" s="1"/>
  <c r="O89" i="9"/>
  <c r="V89" i="9" s="1"/>
  <c r="AC89" i="9" s="1"/>
  <c r="P89" i="9"/>
  <c r="W89" i="9" s="1"/>
  <c r="AD89" i="9" s="1"/>
  <c r="Q89" i="9"/>
  <c r="X89" i="9" s="1"/>
  <c r="AE89" i="9" s="1"/>
  <c r="K90" i="9"/>
  <c r="R90" i="9" s="1"/>
  <c r="Y90" i="9" s="1"/>
  <c r="L90" i="9"/>
  <c r="S90" i="9" s="1"/>
  <c r="Z90" i="9" s="1"/>
  <c r="M90" i="9"/>
  <c r="T90" i="9" s="1"/>
  <c r="AA90" i="9" s="1"/>
  <c r="N90" i="9"/>
  <c r="U90" i="9" s="1"/>
  <c r="AB90" i="9" s="1"/>
  <c r="O90" i="9"/>
  <c r="P90" i="9"/>
  <c r="W90" i="9" s="1"/>
  <c r="AD90" i="9" s="1"/>
  <c r="Q90" i="9"/>
  <c r="X90" i="9" s="1"/>
  <c r="AE90" i="9" s="1"/>
  <c r="V90" i="9"/>
  <c r="AC90" i="9" s="1"/>
  <c r="K91" i="9"/>
  <c r="L91" i="9"/>
  <c r="S91" i="9" s="1"/>
  <c r="Z91" i="9" s="1"/>
  <c r="M91" i="9"/>
  <c r="T91" i="9" s="1"/>
  <c r="AA91" i="9" s="1"/>
  <c r="N91" i="9"/>
  <c r="U91" i="9" s="1"/>
  <c r="AB91" i="9" s="1"/>
  <c r="O91" i="9"/>
  <c r="P91" i="9"/>
  <c r="W91" i="9" s="1"/>
  <c r="AD91" i="9" s="1"/>
  <c r="Q91" i="9"/>
  <c r="X91" i="9" s="1"/>
  <c r="AE91" i="9" s="1"/>
  <c r="R91" i="9"/>
  <c r="Y91" i="9" s="1"/>
  <c r="V91" i="9"/>
  <c r="AC91" i="9" s="1"/>
  <c r="K92" i="9"/>
  <c r="R92" i="9" s="1"/>
  <c r="Y92" i="9" s="1"/>
  <c r="L92" i="9"/>
  <c r="S92" i="9" s="1"/>
  <c r="Z92" i="9" s="1"/>
  <c r="M92" i="9"/>
  <c r="T92" i="9" s="1"/>
  <c r="AA92" i="9" s="1"/>
  <c r="N92" i="9"/>
  <c r="O92" i="9"/>
  <c r="V92" i="9" s="1"/>
  <c r="AC92" i="9" s="1"/>
  <c r="P92" i="9"/>
  <c r="W92" i="9" s="1"/>
  <c r="AD92" i="9" s="1"/>
  <c r="Q92" i="9"/>
  <c r="X92" i="9" s="1"/>
  <c r="AE92" i="9" s="1"/>
  <c r="U92" i="9"/>
  <c r="AB92" i="9" s="1"/>
  <c r="K93" i="9"/>
  <c r="R93" i="9" s="1"/>
  <c r="Y93" i="9" s="1"/>
  <c r="L93" i="9"/>
  <c r="S93" i="9" s="1"/>
  <c r="Z93" i="9" s="1"/>
  <c r="M93" i="9"/>
  <c r="T93" i="9" s="1"/>
  <c r="AA93" i="9" s="1"/>
  <c r="N93" i="9"/>
  <c r="O93" i="9"/>
  <c r="V93" i="9" s="1"/>
  <c r="AC93" i="9" s="1"/>
  <c r="P93" i="9"/>
  <c r="W93" i="9" s="1"/>
  <c r="AD93" i="9" s="1"/>
  <c r="Q93" i="9"/>
  <c r="X93" i="9" s="1"/>
  <c r="AE93" i="9" s="1"/>
  <c r="U93" i="9"/>
  <c r="AB93" i="9" s="1"/>
  <c r="K94" i="9"/>
  <c r="R94" i="9" s="1"/>
  <c r="Y94" i="9" s="1"/>
  <c r="L94" i="9"/>
  <c r="S94" i="9" s="1"/>
  <c r="Z94" i="9" s="1"/>
  <c r="M94" i="9"/>
  <c r="T94" i="9" s="1"/>
  <c r="AA94" i="9" s="1"/>
  <c r="N94" i="9"/>
  <c r="U94" i="9" s="1"/>
  <c r="AB94" i="9" s="1"/>
  <c r="O94" i="9"/>
  <c r="V94" i="9" s="1"/>
  <c r="AC94" i="9" s="1"/>
  <c r="P94" i="9"/>
  <c r="W94" i="9" s="1"/>
  <c r="AD94" i="9" s="1"/>
  <c r="Q94" i="9"/>
  <c r="X94" i="9" s="1"/>
  <c r="AE94" i="9" s="1"/>
  <c r="K95" i="9"/>
  <c r="R95" i="9" s="1"/>
  <c r="Y95" i="9" s="1"/>
  <c r="L95" i="9"/>
  <c r="S95" i="9" s="1"/>
  <c r="Z95" i="9" s="1"/>
  <c r="M95" i="9"/>
  <c r="T95" i="9" s="1"/>
  <c r="AA95" i="9" s="1"/>
  <c r="N95" i="9"/>
  <c r="U95" i="9" s="1"/>
  <c r="AB95" i="9" s="1"/>
  <c r="O95" i="9"/>
  <c r="V95" i="9" s="1"/>
  <c r="AC95" i="9" s="1"/>
  <c r="P95" i="9"/>
  <c r="Q95" i="9"/>
  <c r="X95" i="9" s="1"/>
  <c r="AE95" i="9" s="1"/>
  <c r="W95" i="9"/>
  <c r="AD95" i="9" s="1"/>
  <c r="K96" i="9"/>
  <c r="R96" i="9" s="1"/>
  <c r="Y96" i="9" s="1"/>
  <c r="L96" i="9"/>
  <c r="S96" i="9" s="1"/>
  <c r="Z96" i="9" s="1"/>
  <c r="M96" i="9"/>
  <c r="T96" i="9" s="1"/>
  <c r="AA96" i="9" s="1"/>
  <c r="N96" i="9"/>
  <c r="O96" i="9"/>
  <c r="V96" i="9" s="1"/>
  <c r="AC96" i="9" s="1"/>
  <c r="P96" i="9"/>
  <c r="W96" i="9" s="1"/>
  <c r="AD96" i="9" s="1"/>
  <c r="Q96" i="9"/>
  <c r="X96" i="9" s="1"/>
  <c r="AE96" i="9" s="1"/>
  <c r="U96" i="9"/>
  <c r="AB96" i="9" s="1"/>
  <c r="K97" i="9"/>
  <c r="R97" i="9" s="1"/>
  <c r="Y97" i="9" s="1"/>
  <c r="L97" i="9"/>
  <c r="S97" i="9" s="1"/>
  <c r="Z97" i="9" s="1"/>
  <c r="M97" i="9"/>
  <c r="T97" i="9" s="1"/>
  <c r="AA97" i="9" s="1"/>
  <c r="N97" i="9"/>
  <c r="U97" i="9" s="1"/>
  <c r="AB97" i="9" s="1"/>
  <c r="O97" i="9"/>
  <c r="P97" i="9"/>
  <c r="W97" i="9" s="1"/>
  <c r="AD97" i="9" s="1"/>
  <c r="Q97" i="9"/>
  <c r="X97" i="9" s="1"/>
  <c r="AE97" i="9" s="1"/>
  <c r="V97" i="9"/>
  <c r="AC97" i="9" s="1"/>
  <c r="K98" i="9"/>
  <c r="R98" i="9" s="1"/>
  <c r="Y98" i="9" s="1"/>
  <c r="L98" i="9"/>
  <c r="S98" i="9" s="1"/>
  <c r="Z98" i="9" s="1"/>
  <c r="M98" i="9"/>
  <c r="T98" i="9" s="1"/>
  <c r="AA98" i="9" s="1"/>
  <c r="N98" i="9"/>
  <c r="U98" i="9" s="1"/>
  <c r="AB98" i="9" s="1"/>
  <c r="O98" i="9"/>
  <c r="V98" i="9" s="1"/>
  <c r="AC98" i="9" s="1"/>
  <c r="P98" i="9"/>
  <c r="W98" i="9" s="1"/>
  <c r="AD98" i="9" s="1"/>
  <c r="Q98" i="9"/>
  <c r="X98" i="9" s="1"/>
  <c r="AE98" i="9" s="1"/>
  <c r="K99" i="9"/>
  <c r="R99" i="9" s="1"/>
  <c r="Y99" i="9" s="1"/>
  <c r="L99" i="9"/>
  <c r="S99" i="9" s="1"/>
  <c r="Z99" i="9" s="1"/>
  <c r="M99" i="9"/>
  <c r="T99" i="9" s="1"/>
  <c r="AA99" i="9" s="1"/>
  <c r="N99" i="9"/>
  <c r="U99" i="9" s="1"/>
  <c r="AB99" i="9" s="1"/>
  <c r="O99" i="9"/>
  <c r="V99" i="9" s="1"/>
  <c r="AC99" i="9" s="1"/>
  <c r="P99" i="9"/>
  <c r="Q99" i="9"/>
  <c r="X99" i="9" s="1"/>
  <c r="AE99" i="9" s="1"/>
  <c r="W99" i="9"/>
  <c r="AD99" i="9" s="1"/>
  <c r="K100" i="9"/>
  <c r="R100" i="9" s="1"/>
  <c r="Y100" i="9" s="1"/>
  <c r="L100" i="9"/>
  <c r="S100" i="9" s="1"/>
  <c r="Z100" i="9" s="1"/>
  <c r="M100" i="9"/>
  <c r="T100" i="9" s="1"/>
  <c r="AA100" i="9" s="1"/>
  <c r="N100" i="9"/>
  <c r="U100" i="9" s="1"/>
  <c r="AB100" i="9" s="1"/>
  <c r="O100" i="9"/>
  <c r="V100" i="9" s="1"/>
  <c r="AC100" i="9" s="1"/>
  <c r="P100" i="9"/>
  <c r="W100" i="9" s="1"/>
  <c r="AD100" i="9" s="1"/>
  <c r="Q100" i="9"/>
  <c r="X100" i="9" s="1"/>
  <c r="AE100" i="9" s="1"/>
  <c r="K101" i="9"/>
  <c r="R101" i="9" s="1"/>
  <c r="Y101" i="9" s="1"/>
  <c r="L101" i="9"/>
  <c r="S101" i="9" s="1"/>
  <c r="Z101" i="9" s="1"/>
  <c r="M101" i="9"/>
  <c r="T101" i="9" s="1"/>
  <c r="AA101" i="9" s="1"/>
  <c r="N101" i="9"/>
  <c r="O101" i="9"/>
  <c r="P101" i="9"/>
  <c r="W101" i="9" s="1"/>
  <c r="AD101" i="9" s="1"/>
  <c r="Q101" i="9"/>
  <c r="X101" i="9" s="1"/>
  <c r="AE101" i="9" s="1"/>
  <c r="U101" i="9"/>
  <c r="AB101" i="9" s="1"/>
  <c r="V101" i="9"/>
  <c r="AC101" i="9" s="1"/>
  <c r="K102" i="9"/>
  <c r="R102" i="9" s="1"/>
  <c r="Y102" i="9" s="1"/>
  <c r="L102" i="9"/>
  <c r="S102" i="9" s="1"/>
  <c r="Z102" i="9" s="1"/>
  <c r="M102" i="9"/>
  <c r="T102" i="9" s="1"/>
  <c r="AA102" i="9" s="1"/>
  <c r="N102" i="9"/>
  <c r="U102" i="9" s="1"/>
  <c r="AB102" i="9" s="1"/>
  <c r="O102" i="9"/>
  <c r="V102" i="9" s="1"/>
  <c r="AC102" i="9" s="1"/>
  <c r="P102" i="9"/>
  <c r="W102" i="9" s="1"/>
  <c r="AD102" i="9" s="1"/>
  <c r="Q102" i="9"/>
  <c r="X102" i="9" s="1"/>
  <c r="AE102" i="9" s="1"/>
  <c r="S59" i="21" l="1"/>
  <c r="Z59" i="21" s="1"/>
  <c r="T23" i="21"/>
  <c r="AA23" i="21" s="1"/>
  <c r="W77" i="9"/>
  <c r="AD77" i="9" s="1"/>
  <c r="T60" i="21"/>
  <c r="AA60" i="21" s="1"/>
  <c r="X59" i="21"/>
  <c r="AE59" i="21" s="1"/>
  <c r="U61" i="21"/>
  <c r="AB61" i="21" s="1"/>
  <c r="X83" i="21"/>
  <c r="AE83" i="21" s="1"/>
  <c r="R81" i="21"/>
  <c r="Y81" i="21" s="1"/>
  <c r="R78" i="21"/>
  <c r="Y78" i="21" s="1"/>
  <c r="W77" i="21"/>
  <c r="AD77" i="21" s="1"/>
  <c r="U73" i="21"/>
  <c r="AB73" i="21" s="1"/>
  <c r="T72" i="21"/>
  <c r="AA72" i="21" s="1"/>
  <c r="W71" i="21"/>
  <c r="AD71" i="21" s="1"/>
  <c r="T70" i="21"/>
  <c r="AA70" i="21" s="1"/>
  <c r="U69" i="21"/>
  <c r="AB69" i="21" s="1"/>
  <c r="T66" i="21"/>
  <c r="AA66" i="21" s="1"/>
  <c r="S65" i="21"/>
  <c r="Z65" i="21" s="1"/>
  <c r="W63" i="21"/>
  <c r="AD63" i="21" s="1"/>
  <c r="X62" i="21"/>
  <c r="AE62" i="21" s="1"/>
  <c r="V62" i="21"/>
  <c r="AC62" i="21" s="1"/>
  <c r="R101" i="21"/>
  <c r="Y101" i="21" s="1"/>
  <c r="W100" i="21"/>
  <c r="AD100" i="21" s="1"/>
  <c r="S100" i="21"/>
  <c r="Z100" i="21" s="1"/>
  <c r="X99" i="21"/>
  <c r="AE99" i="21" s="1"/>
  <c r="T99" i="21"/>
  <c r="AA99" i="21" s="1"/>
  <c r="W96" i="21"/>
  <c r="AD96" i="21" s="1"/>
  <c r="S96" i="21"/>
  <c r="Z96" i="21" s="1"/>
  <c r="X95" i="21"/>
  <c r="AE95" i="21" s="1"/>
  <c r="R93" i="21"/>
  <c r="Y93" i="21" s="1"/>
  <c r="W92" i="21"/>
  <c r="AD92" i="21" s="1"/>
  <c r="S92" i="21"/>
  <c r="Z92" i="21" s="1"/>
  <c r="X91" i="21"/>
  <c r="AE91" i="21" s="1"/>
  <c r="T91" i="21"/>
  <c r="AA91" i="21" s="1"/>
  <c r="X87" i="21"/>
  <c r="AE87" i="21" s="1"/>
  <c r="T87" i="21"/>
  <c r="AA87" i="21" s="1"/>
  <c r="W84" i="21"/>
  <c r="AD84" i="21" s="1"/>
  <c r="S84" i="21"/>
  <c r="Z84" i="21" s="1"/>
  <c r="T83" i="21"/>
  <c r="AA83" i="21" s="1"/>
  <c r="W80" i="21"/>
  <c r="AD80" i="21" s="1"/>
  <c r="U79" i="21"/>
  <c r="AB79" i="21" s="1"/>
  <c r="S79" i="21"/>
  <c r="Z79" i="21" s="1"/>
  <c r="T76" i="21"/>
  <c r="AA76" i="21" s="1"/>
  <c r="U75" i="21"/>
  <c r="AB75" i="21" s="1"/>
  <c r="S75" i="21"/>
  <c r="Z75" i="21" s="1"/>
  <c r="R74" i="21"/>
  <c r="Y74" i="21" s="1"/>
  <c r="R72" i="21"/>
  <c r="Y72" i="21" s="1"/>
  <c r="S69" i="21"/>
  <c r="Z69" i="21" s="1"/>
  <c r="R68" i="21"/>
  <c r="Y68" i="21" s="1"/>
  <c r="W67" i="21"/>
  <c r="AD67" i="21" s="1"/>
  <c r="V64" i="21"/>
  <c r="AC64" i="21" s="1"/>
  <c r="R64" i="21"/>
  <c r="Y64" i="21" s="1"/>
  <c r="R62" i="21"/>
  <c r="Y62" i="21" s="1"/>
  <c r="W58" i="21"/>
  <c r="AD58" i="21" s="1"/>
  <c r="S58" i="21"/>
  <c r="Z58" i="21" s="1"/>
  <c r="V57" i="21"/>
  <c r="AC57" i="21" s="1"/>
  <c r="R57" i="21"/>
  <c r="Y57" i="21" s="1"/>
  <c r="W56" i="21"/>
  <c r="AD56" i="21" s="1"/>
  <c r="V56" i="21"/>
  <c r="AC56" i="21" s="1"/>
  <c r="S56" i="21"/>
  <c r="Z56" i="21" s="1"/>
  <c r="R56" i="21"/>
  <c r="Y56" i="21" s="1"/>
  <c r="X55" i="21"/>
  <c r="AE55" i="21" s="1"/>
  <c r="T55" i="21"/>
  <c r="AA55" i="21" s="1"/>
  <c r="S55" i="21"/>
  <c r="Z55" i="21" s="1"/>
  <c r="T54" i="21"/>
  <c r="AA54" i="21" s="1"/>
  <c r="T53" i="21"/>
  <c r="AA53" i="21" s="1"/>
  <c r="V52" i="21"/>
  <c r="AC52" i="21" s="1"/>
  <c r="U52" i="21"/>
  <c r="AB52" i="21" s="1"/>
  <c r="R52" i="21"/>
  <c r="Y52" i="21" s="1"/>
  <c r="X51" i="21"/>
  <c r="AE51" i="21" s="1"/>
  <c r="W51" i="21"/>
  <c r="AD51" i="21" s="1"/>
  <c r="T51" i="21"/>
  <c r="AA51" i="21" s="1"/>
  <c r="S51" i="21"/>
  <c r="Z51" i="21" s="1"/>
  <c r="X50" i="21"/>
  <c r="AE50" i="21" s="1"/>
  <c r="T50" i="21"/>
  <c r="AA50" i="21" s="1"/>
  <c r="U49" i="21"/>
  <c r="AB49" i="21" s="1"/>
  <c r="T49" i="21"/>
  <c r="AA49" i="21" s="1"/>
  <c r="V48" i="21"/>
  <c r="AC48" i="21" s="1"/>
  <c r="U48" i="21"/>
  <c r="AB48" i="21" s="1"/>
  <c r="R48" i="21"/>
  <c r="Y48" i="21" s="1"/>
  <c r="X47" i="21"/>
  <c r="AE47" i="21" s="1"/>
  <c r="T47" i="21"/>
  <c r="AA47" i="21" s="1"/>
  <c r="S47" i="21"/>
  <c r="Z47" i="21" s="1"/>
  <c r="T46" i="21"/>
  <c r="AA46" i="21" s="1"/>
  <c r="X45" i="21"/>
  <c r="AE45" i="21" s="1"/>
  <c r="T45" i="21"/>
  <c r="AA45" i="21" s="1"/>
  <c r="R45" i="21"/>
  <c r="Y45" i="21" s="1"/>
  <c r="S44" i="21"/>
  <c r="Z44" i="21" s="1"/>
  <c r="S43" i="21"/>
  <c r="Z43" i="21" s="1"/>
  <c r="W42" i="21"/>
  <c r="AD42" i="21" s="1"/>
  <c r="S42" i="21"/>
  <c r="Z42" i="21" s="1"/>
  <c r="V41" i="21"/>
  <c r="AC41" i="21" s="1"/>
  <c r="R41" i="21"/>
  <c r="Y41" i="21" s="1"/>
  <c r="W40" i="21"/>
  <c r="AD40" i="21" s="1"/>
  <c r="V40" i="21"/>
  <c r="AC40" i="21" s="1"/>
  <c r="S40" i="21"/>
  <c r="Z40" i="21" s="1"/>
  <c r="R40" i="21"/>
  <c r="Y40" i="21" s="1"/>
  <c r="T39" i="21"/>
  <c r="AA39" i="21" s="1"/>
  <c r="X38" i="21"/>
  <c r="AE38" i="21" s="1"/>
  <c r="W38" i="21"/>
  <c r="AD38" i="21" s="1"/>
  <c r="T38" i="21"/>
  <c r="AA38" i="21" s="1"/>
  <c r="V37" i="21"/>
  <c r="AC37" i="21" s="1"/>
  <c r="R37" i="21"/>
  <c r="Y37" i="21" s="1"/>
  <c r="S36" i="21"/>
  <c r="Z36" i="21" s="1"/>
  <c r="R36" i="21"/>
  <c r="Y36" i="21" s="1"/>
  <c r="V35" i="21"/>
  <c r="AC35" i="21" s="1"/>
  <c r="T35" i="21"/>
  <c r="AA35" i="21" s="1"/>
  <c r="R35" i="21"/>
  <c r="Y35" i="21" s="1"/>
  <c r="T33" i="21"/>
  <c r="AA33" i="21" s="1"/>
  <c r="W32" i="21"/>
  <c r="AD32" i="21" s="1"/>
  <c r="S32" i="21"/>
  <c r="Z32" i="21" s="1"/>
  <c r="W31" i="21"/>
  <c r="AD31" i="21" s="1"/>
  <c r="S31" i="21"/>
  <c r="Z31" i="21" s="1"/>
  <c r="R31" i="21"/>
  <c r="Y31" i="21" s="1"/>
  <c r="X30" i="21"/>
  <c r="AE30" i="21" s="1"/>
  <c r="T30" i="21"/>
  <c r="AA30" i="21" s="1"/>
  <c r="U29" i="21"/>
  <c r="AB29" i="21" s="1"/>
  <c r="S28" i="21"/>
  <c r="Z28" i="21" s="1"/>
  <c r="R28" i="21"/>
  <c r="Y28" i="21" s="1"/>
  <c r="X27" i="21"/>
  <c r="AE27" i="21" s="1"/>
  <c r="W26" i="21"/>
  <c r="AD26" i="21" s="1"/>
  <c r="U26" i="21"/>
  <c r="AB26" i="21" s="1"/>
  <c r="X25" i="21"/>
  <c r="AE25" i="21" s="1"/>
  <c r="U24" i="21"/>
  <c r="AB24" i="21" s="1"/>
  <c r="U21" i="21"/>
  <c r="AB21" i="21" s="1"/>
  <c r="S20" i="21"/>
  <c r="Z20" i="21" s="1"/>
  <c r="R20" i="21"/>
  <c r="Y20" i="21" s="1"/>
  <c r="X19" i="21"/>
  <c r="AE19" i="21" s="1"/>
  <c r="S18" i="21"/>
  <c r="Z18" i="21" s="1"/>
  <c r="R18" i="21"/>
  <c r="Y18" i="21" s="1"/>
  <c r="X17" i="21"/>
  <c r="AE17" i="21" s="1"/>
  <c r="T17" i="21"/>
  <c r="AA17" i="21" s="1"/>
  <c r="W16" i="21"/>
  <c r="AD16" i="21" s="1"/>
  <c r="S16" i="21"/>
  <c r="Z16" i="21" s="1"/>
  <c r="T15" i="21"/>
  <c r="AA15" i="21" s="1"/>
  <c r="R15" i="21"/>
  <c r="Y15" i="21" s="1"/>
  <c r="W14" i="21"/>
  <c r="AD14" i="21" s="1"/>
  <c r="S14" i="21"/>
  <c r="Z14" i="21" s="1"/>
  <c r="R14" i="21"/>
  <c r="Y14" i="21" s="1"/>
  <c r="X13" i="21"/>
  <c r="AE13" i="21" s="1"/>
  <c r="T13" i="21"/>
  <c r="AA13" i="21" s="1"/>
  <c r="S13" i="21"/>
  <c r="Z13" i="21" s="1"/>
  <c r="R13" i="21"/>
  <c r="Y13" i="21" s="1"/>
  <c r="U12" i="21"/>
  <c r="AB12" i="21" s="1"/>
  <c r="W11" i="21"/>
  <c r="AD11" i="21" s="1"/>
  <c r="V11" i="21"/>
  <c r="AC11" i="21" s="1"/>
  <c r="S11" i="21"/>
  <c r="Z11" i="21" s="1"/>
  <c r="R11" i="21"/>
  <c r="Y11" i="21" s="1"/>
  <c r="X10" i="21"/>
  <c r="AE10" i="21" s="1"/>
  <c r="T10" i="21"/>
  <c r="AA10" i="21" s="1"/>
  <c r="S10" i="21"/>
  <c r="Z10" i="21" s="1"/>
  <c r="X9" i="21"/>
  <c r="AE9" i="21" s="1"/>
  <c r="T9" i="21"/>
  <c r="AA9" i="21" s="1"/>
  <c r="R9" i="21"/>
  <c r="Y9" i="21" s="1"/>
  <c r="U8" i="21"/>
  <c r="AB8" i="21" s="1"/>
  <c r="S8" i="21"/>
  <c r="Z8" i="21" s="1"/>
  <c r="W7" i="21"/>
  <c r="AD7" i="21" s="1"/>
  <c r="V7" i="21"/>
  <c r="AC7" i="21" s="1"/>
  <c r="S7" i="21"/>
  <c r="Z7" i="21" s="1"/>
  <c r="R7" i="21"/>
  <c r="Y7" i="21" s="1"/>
  <c r="W6" i="21"/>
  <c r="AD6" i="21" s="1"/>
  <c r="S6" i="21"/>
  <c r="Z6" i="21" s="1"/>
  <c r="X5" i="21"/>
  <c r="AE5" i="21" s="1"/>
  <c r="T5" i="21"/>
  <c r="AA5" i="21" s="1"/>
  <c r="R5" i="21"/>
  <c r="Y5" i="21" s="1"/>
  <c r="W4" i="21"/>
  <c r="AD4" i="21" s="1"/>
  <c r="S4" i="21"/>
  <c r="Z4" i="21" s="1"/>
  <c r="R4" i="21"/>
  <c r="Y4" i="21" s="1"/>
  <c r="R60" i="21"/>
  <c r="Y60" i="21" s="1"/>
  <c r="Q44" i="9"/>
  <c r="X44" i="9" s="1"/>
  <c r="AE44" i="9" s="1"/>
  <c r="Q45" i="9"/>
  <c r="X45" i="9" s="1"/>
  <c r="AE45" i="9" s="1"/>
  <c r="Q46" i="9"/>
  <c r="X46" i="9" s="1"/>
  <c r="AE46" i="9" s="1"/>
  <c r="Q47" i="9"/>
  <c r="X47" i="9" s="1"/>
  <c r="AE47" i="9" s="1"/>
  <c r="Q48" i="9"/>
  <c r="X48" i="9" s="1"/>
  <c r="AE48" i="9" s="1"/>
  <c r="Q49" i="9"/>
  <c r="X49" i="9" s="1"/>
  <c r="AE49" i="9" s="1"/>
  <c r="Q50" i="9"/>
  <c r="X50" i="9" s="1"/>
  <c r="AE50" i="9" s="1"/>
  <c r="Q51" i="9"/>
  <c r="X51" i="9" s="1"/>
  <c r="AE51" i="9" s="1"/>
  <c r="Q52" i="9"/>
  <c r="X52" i="9" s="1"/>
  <c r="AE52" i="9" s="1"/>
  <c r="Q53" i="9"/>
  <c r="X53" i="9" s="1"/>
  <c r="AE53" i="9" s="1"/>
  <c r="P44" i="9"/>
  <c r="W44" i="9" s="1"/>
  <c r="AD44" i="9" s="1"/>
  <c r="P45" i="9"/>
  <c r="W45" i="9" s="1"/>
  <c r="AD45" i="9" s="1"/>
  <c r="P46" i="9"/>
  <c r="W46" i="9" s="1"/>
  <c r="AD46" i="9" s="1"/>
  <c r="P47" i="9"/>
  <c r="W47" i="9" s="1"/>
  <c r="AD47" i="9" s="1"/>
  <c r="P48" i="9"/>
  <c r="W48" i="9" s="1"/>
  <c r="AD48" i="9" s="1"/>
  <c r="P49" i="9"/>
  <c r="W49" i="9" s="1"/>
  <c r="AD49" i="9" s="1"/>
  <c r="P50" i="9"/>
  <c r="W50" i="9" s="1"/>
  <c r="AD50" i="9" s="1"/>
  <c r="P51" i="9"/>
  <c r="W51" i="9" s="1"/>
  <c r="AD51" i="9" s="1"/>
  <c r="P52" i="9"/>
  <c r="W52" i="9" s="1"/>
  <c r="AD52" i="9" s="1"/>
  <c r="P53" i="9"/>
  <c r="W53" i="9" s="1"/>
  <c r="AD53" i="9" s="1"/>
  <c r="O45" i="9"/>
  <c r="V45" i="9" s="1"/>
  <c r="AC45" i="9" s="1"/>
  <c r="O46" i="9"/>
  <c r="V46" i="9" s="1"/>
  <c r="AC46" i="9" s="1"/>
  <c r="O47" i="9"/>
  <c r="V47" i="9" s="1"/>
  <c r="AC47" i="9" s="1"/>
  <c r="O48" i="9"/>
  <c r="V48" i="9" s="1"/>
  <c r="AC48" i="9" s="1"/>
  <c r="O49" i="9"/>
  <c r="V49" i="9" s="1"/>
  <c r="AC49" i="9" s="1"/>
  <c r="O50" i="9"/>
  <c r="V50" i="9" s="1"/>
  <c r="AC50" i="9" s="1"/>
  <c r="O51" i="9"/>
  <c r="V51" i="9" s="1"/>
  <c r="AC51" i="9" s="1"/>
  <c r="O52" i="9"/>
  <c r="V52" i="9" s="1"/>
  <c r="AC52" i="9" s="1"/>
  <c r="O53" i="9"/>
  <c r="V53" i="9" s="1"/>
  <c r="AC53" i="9" s="1"/>
  <c r="O44" i="9"/>
  <c r="V44" i="9" s="1"/>
  <c r="AC44" i="9" s="1"/>
  <c r="N44" i="9"/>
  <c r="U44" i="9" s="1"/>
  <c r="AB44" i="9" s="1"/>
  <c r="N45" i="9"/>
  <c r="U45" i="9" s="1"/>
  <c r="AB45" i="9" s="1"/>
  <c r="N46" i="9"/>
  <c r="U46" i="9" s="1"/>
  <c r="AB46" i="9" s="1"/>
  <c r="N47" i="9"/>
  <c r="U47" i="9" s="1"/>
  <c r="AB47" i="9" s="1"/>
  <c r="N48" i="9"/>
  <c r="U48" i="9" s="1"/>
  <c r="AB48" i="9" s="1"/>
  <c r="N49" i="9"/>
  <c r="U49" i="9" s="1"/>
  <c r="AB49" i="9" s="1"/>
  <c r="N50" i="9"/>
  <c r="U50" i="9" s="1"/>
  <c r="AB50" i="9" s="1"/>
  <c r="N51" i="9"/>
  <c r="U51" i="9" s="1"/>
  <c r="AB51" i="9" s="1"/>
  <c r="N52" i="9"/>
  <c r="U52" i="9" s="1"/>
  <c r="AB52" i="9" s="1"/>
  <c r="N53" i="9"/>
  <c r="U53" i="9" s="1"/>
  <c r="AB53" i="9" s="1"/>
  <c r="M44" i="9"/>
  <c r="T44" i="9" s="1"/>
  <c r="AA44" i="9" s="1"/>
  <c r="M45" i="9"/>
  <c r="T45" i="9" s="1"/>
  <c r="AA45" i="9" s="1"/>
  <c r="M46" i="9"/>
  <c r="T46" i="9" s="1"/>
  <c r="AA46" i="9" s="1"/>
  <c r="M47" i="9"/>
  <c r="T47" i="9" s="1"/>
  <c r="AA47" i="9" s="1"/>
  <c r="M48" i="9"/>
  <c r="T48" i="9" s="1"/>
  <c r="AA48" i="9" s="1"/>
  <c r="M49" i="9"/>
  <c r="T49" i="9" s="1"/>
  <c r="AA49" i="9" s="1"/>
  <c r="M50" i="9"/>
  <c r="T50" i="9" s="1"/>
  <c r="AA50" i="9" s="1"/>
  <c r="M51" i="9"/>
  <c r="T51" i="9" s="1"/>
  <c r="AA51" i="9" s="1"/>
  <c r="M52" i="9"/>
  <c r="T52" i="9" s="1"/>
  <c r="AA52" i="9" s="1"/>
  <c r="M53" i="9"/>
  <c r="T53" i="9" s="1"/>
  <c r="AA53" i="9" s="1"/>
  <c r="L47" i="9"/>
  <c r="S47" i="9" s="1"/>
  <c r="Z47" i="9" s="1"/>
  <c r="L48" i="9"/>
  <c r="S48" i="9" s="1"/>
  <c r="Z48" i="9" s="1"/>
  <c r="L49" i="9"/>
  <c r="S49" i="9" s="1"/>
  <c r="Z49" i="9" s="1"/>
  <c r="L50" i="9"/>
  <c r="S50" i="9" s="1"/>
  <c r="Z50" i="9" s="1"/>
  <c r="L51" i="9"/>
  <c r="S51" i="9" s="1"/>
  <c r="Z51" i="9" s="1"/>
  <c r="L52" i="9"/>
  <c r="S52" i="9" s="1"/>
  <c r="Z52" i="9" s="1"/>
  <c r="L53" i="9"/>
  <c r="S53" i="9" s="1"/>
  <c r="Z53" i="9" s="1"/>
  <c r="L46" i="9"/>
  <c r="S46" i="9" s="1"/>
  <c r="Z46" i="9" s="1"/>
  <c r="L44" i="9"/>
  <c r="S44" i="9" s="1"/>
  <c r="Z44" i="9" s="1"/>
  <c r="L45" i="9"/>
  <c r="S45" i="9" s="1"/>
  <c r="Z45" i="9" s="1"/>
  <c r="K4" i="9"/>
  <c r="R4" i="9" s="1"/>
  <c r="K5" i="9"/>
  <c r="R5" i="9" s="1"/>
  <c r="Y5" i="9" s="1"/>
  <c r="K6" i="9"/>
  <c r="R6" i="9" s="1"/>
  <c r="Y6" i="9" s="1"/>
  <c r="K7" i="9"/>
  <c r="R7" i="9" s="1"/>
  <c r="Y7" i="9" s="1"/>
  <c r="K8" i="9"/>
  <c r="R8" i="9" s="1"/>
  <c r="Y8" i="9" s="1"/>
  <c r="K9" i="9"/>
  <c r="R9" i="9" s="1"/>
  <c r="Y9" i="9" s="1"/>
  <c r="K10" i="9"/>
  <c r="R10" i="9" s="1"/>
  <c r="Y10" i="9" s="1"/>
  <c r="K11" i="9"/>
  <c r="R11" i="9" s="1"/>
  <c r="Y11" i="9" s="1"/>
  <c r="K12" i="9"/>
  <c r="R12" i="9" s="1"/>
  <c r="Y12" i="9" s="1"/>
  <c r="K13" i="9"/>
  <c r="R13" i="9" s="1"/>
  <c r="Y13" i="9" s="1"/>
  <c r="K14" i="9"/>
  <c r="R14" i="9" s="1"/>
  <c r="Y14" i="9" s="1"/>
  <c r="K15" i="9"/>
  <c r="R15" i="9" s="1"/>
  <c r="Y15" i="9" s="1"/>
  <c r="K16" i="9"/>
  <c r="R16" i="9" s="1"/>
  <c r="Y16" i="9" s="1"/>
  <c r="K17" i="9"/>
  <c r="R17" i="9" s="1"/>
  <c r="Y17" i="9" s="1"/>
  <c r="K18" i="9"/>
  <c r="R18" i="9" s="1"/>
  <c r="Y18" i="9" s="1"/>
  <c r="K19" i="9"/>
  <c r="R19" i="9" s="1"/>
  <c r="Y19" i="9" s="1"/>
  <c r="K20" i="9"/>
  <c r="R20" i="9" s="1"/>
  <c r="Y20" i="9" s="1"/>
  <c r="K21" i="9"/>
  <c r="R21" i="9" s="1"/>
  <c r="Y21" i="9" s="1"/>
  <c r="K22" i="9"/>
  <c r="R22" i="9" s="1"/>
  <c r="Y22" i="9" s="1"/>
  <c r="K23" i="9"/>
  <c r="R23" i="9" s="1"/>
  <c r="Y23" i="9" s="1"/>
  <c r="K24" i="9"/>
  <c r="R24" i="9" s="1"/>
  <c r="Y24" i="9" s="1"/>
  <c r="K25" i="9"/>
  <c r="R25" i="9" s="1"/>
  <c r="Y25" i="9" s="1"/>
  <c r="K26" i="9"/>
  <c r="R26" i="9" s="1"/>
  <c r="Y26" i="9" s="1"/>
  <c r="K27" i="9"/>
  <c r="R27" i="9" s="1"/>
  <c r="Y27" i="9" s="1"/>
  <c r="K28" i="9"/>
  <c r="R28" i="9" s="1"/>
  <c r="Y28" i="9" s="1"/>
  <c r="K29" i="9"/>
  <c r="R29" i="9" s="1"/>
  <c r="Y29" i="9" s="1"/>
  <c r="K30" i="9"/>
  <c r="R30" i="9" s="1"/>
  <c r="Y30" i="9" s="1"/>
  <c r="K31" i="9"/>
  <c r="R31" i="9" s="1"/>
  <c r="Y31" i="9" s="1"/>
  <c r="K32" i="9"/>
  <c r="R32" i="9" s="1"/>
  <c r="Y32" i="9" s="1"/>
  <c r="K33" i="9"/>
  <c r="R33" i="9" s="1"/>
  <c r="Y33" i="9" s="1"/>
  <c r="K34" i="9"/>
  <c r="R34" i="9" s="1"/>
  <c r="Y34" i="9" s="1"/>
  <c r="K35" i="9"/>
  <c r="R35" i="9" s="1"/>
  <c r="Y35" i="9" s="1"/>
  <c r="K36" i="9"/>
  <c r="R36" i="9" s="1"/>
  <c r="Y36" i="9" s="1"/>
  <c r="K37" i="9"/>
  <c r="R37" i="9" s="1"/>
  <c r="Y37" i="9" s="1"/>
  <c r="K38" i="9"/>
  <c r="R38" i="9" s="1"/>
  <c r="Y38" i="9" s="1"/>
  <c r="K39" i="9"/>
  <c r="R39" i="9" s="1"/>
  <c r="Y39" i="9" s="1"/>
  <c r="K40" i="9"/>
  <c r="R40" i="9" s="1"/>
  <c r="Y40" i="9" s="1"/>
  <c r="K41" i="9"/>
  <c r="R41" i="9" s="1"/>
  <c r="Y41" i="9" s="1"/>
  <c r="K42" i="9"/>
  <c r="R42" i="9" s="1"/>
  <c r="Y42" i="9" s="1"/>
  <c r="K43" i="9"/>
  <c r="R43" i="9" s="1"/>
  <c r="Y43" i="9" s="1"/>
  <c r="K44" i="9"/>
  <c r="R44" i="9" s="1"/>
  <c r="Y44" i="9" s="1"/>
  <c r="K45" i="9"/>
  <c r="R45" i="9" s="1"/>
  <c r="Y45" i="9" s="1"/>
  <c r="K46" i="9"/>
  <c r="R46" i="9" s="1"/>
  <c r="Y46" i="9" s="1"/>
  <c r="K47" i="9"/>
  <c r="R47" i="9" s="1"/>
  <c r="Y47" i="9" s="1"/>
  <c r="K48" i="9"/>
  <c r="R48" i="9" s="1"/>
  <c r="Y48" i="9" s="1"/>
  <c r="K49" i="9"/>
  <c r="R49" i="9" s="1"/>
  <c r="Y49" i="9" s="1"/>
  <c r="K50" i="9"/>
  <c r="R50" i="9" s="1"/>
  <c r="Y50" i="9" s="1"/>
  <c r="K51" i="9"/>
  <c r="R51" i="9" s="1"/>
  <c r="Y51" i="9" s="1"/>
  <c r="K52" i="9"/>
  <c r="R52" i="9" s="1"/>
  <c r="Y52" i="9" s="1"/>
  <c r="K53" i="9"/>
  <c r="R53" i="9" s="1"/>
  <c r="Y53" i="9" s="1"/>
  <c r="Q4" i="9"/>
  <c r="X4" i="9" s="1"/>
  <c r="AE4" i="9" s="1"/>
  <c r="Q5" i="9"/>
  <c r="X5" i="9" s="1"/>
  <c r="AE5" i="9" s="1"/>
  <c r="Q6" i="9"/>
  <c r="X6" i="9" s="1"/>
  <c r="AE6" i="9" s="1"/>
  <c r="Q7" i="9"/>
  <c r="X7" i="9" s="1"/>
  <c r="AE7" i="9" s="1"/>
  <c r="Q8" i="9"/>
  <c r="X8" i="9" s="1"/>
  <c r="AE8" i="9" s="1"/>
  <c r="Q9" i="9"/>
  <c r="X9" i="9" s="1"/>
  <c r="AE9" i="9" s="1"/>
  <c r="Q10" i="9"/>
  <c r="X10" i="9" s="1"/>
  <c r="AE10" i="9" s="1"/>
  <c r="Q11" i="9"/>
  <c r="X11" i="9" s="1"/>
  <c r="AE11" i="9" s="1"/>
  <c r="Q12" i="9"/>
  <c r="X12" i="9" s="1"/>
  <c r="AE12" i="9" s="1"/>
  <c r="Q13" i="9"/>
  <c r="X13" i="9" s="1"/>
  <c r="AE13" i="9" s="1"/>
  <c r="Q14" i="9"/>
  <c r="X14" i="9" s="1"/>
  <c r="AE14" i="9" s="1"/>
  <c r="Q15" i="9"/>
  <c r="X15" i="9" s="1"/>
  <c r="AE15" i="9" s="1"/>
  <c r="Q16" i="9"/>
  <c r="X16" i="9" s="1"/>
  <c r="AE16" i="9" s="1"/>
  <c r="Q17" i="9"/>
  <c r="X17" i="9" s="1"/>
  <c r="AE17" i="9" s="1"/>
  <c r="Q18" i="9"/>
  <c r="X18" i="9" s="1"/>
  <c r="AE18" i="9" s="1"/>
  <c r="Q19" i="9"/>
  <c r="X19" i="9" s="1"/>
  <c r="AE19" i="9" s="1"/>
  <c r="Q20" i="9"/>
  <c r="X20" i="9" s="1"/>
  <c r="AE20" i="9" s="1"/>
  <c r="Q21" i="9"/>
  <c r="X21" i="9" s="1"/>
  <c r="AE21" i="9" s="1"/>
  <c r="Q22" i="9"/>
  <c r="X22" i="9" s="1"/>
  <c r="AE22" i="9" s="1"/>
  <c r="Q23" i="9"/>
  <c r="X23" i="9" s="1"/>
  <c r="AE23" i="9" s="1"/>
  <c r="Q24" i="9"/>
  <c r="X24" i="9" s="1"/>
  <c r="AE24" i="9" s="1"/>
  <c r="Q25" i="9"/>
  <c r="X25" i="9" s="1"/>
  <c r="AE25" i="9" s="1"/>
  <c r="Q26" i="9"/>
  <c r="X26" i="9" s="1"/>
  <c r="AE26" i="9" s="1"/>
  <c r="Q27" i="9"/>
  <c r="X27" i="9" s="1"/>
  <c r="AE27" i="9" s="1"/>
  <c r="Q28" i="9"/>
  <c r="X28" i="9" s="1"/>
  <c r="AE28" i="9" s="1"/>
  <c r="Q29" i="9"/>
  <c r="X29" i="9" s="1"/>
  <c r="AE29" i="9" s="1"/>
  <c r="Q30" i="9"/>
  <c r="X30" i="9" s="1"/>
  <c r="AE30" i="9" s="1"/>
  <c r="Q31" i="9"/>
  <c r="X31" i="9" s="1"/>
  <c r="AE31" i="9" s="1"/>
  <c r="Q32" i="9"/>
  <c r="X32" i="9" s="1"/>
  <c r="AE32" i="9" s="1"/>
  <c r="Q33" i="9"/>
  <c r="X33" i="9" s="1"/>
  <c r="AE33" i="9" s="1"/>
  <c r="Q34" i="9"/>
  <c r="X34" i="9" s="1"/>
  <c r="AE34" i="9" s="1"/>
  <c r="Q35" i="9"/>
  <c r="X35" i="9" s="1"/>
  <c r="AE35" i="9" s="1"/>
  <c r="Q36" i="9"/>
  <c r="X36" i="9" s="1"/>
  <c r="AE36" i="9" s="1"/>
  <c r="Q37" i="9"/>
  <c r="X37" i="9" s="1"/>
  <c r="AE37" i="9" s="1"/>
  <c r="Q38" i="9"/>
  <c r="X38" i="9" s="1"/>
  <c r="AE38" i="9" s="1"/>
  <c r="Q39" i="9"/>
  <c r="X39" i="9" s="1"/>
  <c r="AE39" i="9" s="1"/>
  <c r="Q40" i="9"/>
  <c r="X40" i="9" s="1"/>
  <c r="AE40" i="9" s="1"/>
  <c r="Q41" i="9"/>
  <c r="X41" i="9" s="1"/>
  <c r="AE41" i="9" s="1"/>
  <c r="Q42" i="9"/>
  <c r="X42" i="9" s="1"/>
  <c r="AE42" i="9" s="1"/>
  <c r="Q43" i="9"/>
  <c r="X43" i="9" s="1"/>
  <c r="AE43" i="9" s="1"/>
  <c r="P4" i="9"/>
  <c r="W4" i="9" s="1"/>
  <c r="AD4" i="9" s="1"/>
  <c r="P5" i="9"/>
  <c r="W5" i="9" s="1"/>
  <c r="AD5" i="9" s="1"/>
  <c r="P6" i="9"/>
  <c r="W6" i="9" s="1"/>
  <c r="AD6" i="9" s="1"/>
  <c r="P7" i="9"/>
  <c r="W7" i="9" s="1"/>
  <c r="AD7" i="9" s="1"/>
  <c r="P8" i="9"/>
  <c r="W8" i="9" s="1"/>
  <c r="AD8" i="9" s="1"/>
  <c r="P9" i="9"/>
  <c r="W9" i="9" s="1"/>
  <c r="AD9" i="9" s="1"/>
  <c r="P10" i="9"/>
  <c r="W10" i="9" s="1"/>
  <c r="AD10" i="9" s="1"/>
  <c r="P11" i="9"/>
  <c r="W11" i="9" s="1"/>
  <c r="AD11" i="9" s="1"/>
  <c r="P12" i="9"/>
  <c r="W12" i="9" s="1"/>
  <c r="AD12" i="9" s="1"/>
  <c r="P13" i="9"/>
  <c r="W13" i="9" s="1"/>
  <c r="AD13" i="9" s="1"/>
  <c r="P14" i="9"/>
  <c r="W14" i="9" s="1"/>
  <c r="AD14" i="9" s="1"/>
  <c r="P15" i="9"/>
  <c r="W15" i="9" s="1"/>
  <c r="AD15" i="9" s="1"/>
  <c r="P16" i="9"/>
  <c r="W16" i="9" s="1"/>
  <c r="AD16" i="9" s="1"/>
  <c r="P17" i="9"/>
  <c r="W17" i="9" s="1"/>
  <c r="AD17" i="9" s="1"/>
  <c r="P18" i="9"/>
  <c r="W18" i="9" s="1"/>
  <c r="AD18" i="9" s="1"/>
  <c r="P19" i="9"/>
  <c r="W19" i="9" s="1"/>
  <c r="AD19" i="9" s="1"/>
  <c r="P20" i="9"/>
  <c r="W20" i="9" s="1"/>
  <c r="AD20" i="9" s="1"/>
  <c r="P21" i="9"/>
  <c r="W21" i="9" s="1"/>
  <c r="AD21" i="9" s="1"/>
  <c r="P22" i="9"/>
  <c r="W22" i="9" s="1"/>
  <c r="AD22" i="9" s="1"/>
  <c r="P23" i="9"/>
  <c r="W23" i="9" s="1"/>
  <c r="AD23" i="9" s="1"/>
  <c r="P24" i="9"/>
  <c r="W24" i="9" s="1"/>
  <c r="AD24" i="9" s="1"/>
  <c r="P25" i="9"/>
  <c r="W25" i="9" s="1"/>
  <c r="AD25" i="9" s="1"/>
  <c r="P26" i="9"/>
  <c r="W26" i="9" s="1"/>
  <c r="AD26" i="9" s="1"/>
  <c r="P27" i="9"/>
  <c r="W27" i="9" s="1"/>
  <c r="AD27" i="9" s="1"/>
  <c r="P28" i="9"/>
  <c r="W28" i="9" s="1"/>
  <c r="AD28" i="9" s="1"/>
  <c r="P29" i="9"/>
  <c r="W29" i="9" s="1"/>
  <c r="AD29" i="9" s="1"/>
  <c r="P30" i="9"/>
  <c r="W30" i="9" s="1"/>
  <c r="AD30" i="9" s="1"/>
  <c r="P31" i="9"/>
  <c r="W31" i="9" s="1"/>
  <c r="AD31" i="9" s="1"/>
  <c r="P32" i="9"/>
  <c r="W32" i="9" s="1"/>
  <c r="AD32" i="9" s="1"/>
  <c r="P33" i="9"/>
  <c r="W33" i="9" s="1"/>
  <c r="AD33" i="9" s="1"/>
  <c r="P34" i="9"/>
  <c r="W34" i="9" s="1"/>
  <c r="AD34" i="9" s="1"/>
  <c r="P35" i="9"/>
  <c r="W35" i="9" s="1"/>
  <c r="AD35" i="9" s="1"/>
  <c r="P36" i="9"/>
  <c r="W36" i="9" s="1"/>
  <c r="AD36" i="9" s="1"/>
  <c r="P37" i="9"/>
  <c r="W37" i="9" s="1"/>
  <c r="AD37" i="9" s="1"/>
  <c r="P38" i="9"/>
  <c r="W38" i="9" s="1"/>
  <c r="AD38" i="9" s="1"/>
  <c r="P39" i="9"/>
  <c r="W39" i="9" s="1"/>
  <c r="AD39" i="9" s="1"/>
  <c r="P40" i="9"/>
  <c r="W40" i="9" s="1"/>
  <c r="AD40" i="9" s="1"/>
  <c r="P41" i="9"/>
  <c r="W41" i="9" s="1"/>
  <c r="AD41" i="9" s="1"/>
  <c r="P42" i="9"/>
  <c r="W42" i="9" s="1"/>
  <c r="AD42" i="9" s="1"/>
  <c r="P43" i="9"/>
  <c r="W43" i="9" s="1"/>
  <c r="AD43" i="9" s="1"/>
  <c r="O4" i="9"/>
  <c r="V4" i="9" s="1"/>
  <c r="AC4" i="9" s="1"/>
  <c r="O5" i="9"/>
  <c r="V5" i="9" s="1"/>
  <c r="AC5" i="9" s="1"/>
  <c r="O6" i="9"/>
  <c r="V6" i="9" s="1"/>
  <c r="AC6" i="9" s="1"/>
  <c r="O7" i="9"/>
  <c r="V7" i="9" s="1"/>
  <c r="AC7" i="9" s="1"/>
  <c r="O8" i="9"/>
  <c r="V8" i="9" s="1"/>
  <c r="AC8" i="9" s="1"/>
  <c r="O9" i="9"/>
  <c r="V9" i="9" s="1"/>
  <c r="AC9" i="9" s="1"/>
  <c r="O10" i="9"/>
  <c r="V10" i="9" s="1"/>
  <c r="AC10" i="9" s="1"/>
  <c r="O11" i="9"/>
  <c r="V11" i="9" s="1"/>
  <c r="AC11" i="9" s="1"/>
  <c r="O12" i="9"/>
  <c r="V12" i="9" s="1"/>
  <c r="AC12" i="9" s="1"/>
  <c r="O13" i="9"/>
  <c r="V13" i="9" s="1"/>
  <c r="AC13" i="9" s="1"/>
  <c r="O14" i="9"/>
  <c r="V14" i="9" s="1"/>
  <c r="AC14" i="9" s="1"/>
  <c r="O15" i="9"/>
  <c r="V15" i="9" s="1"/>
  <c r="AC15" i="9" s="1"/>
  <c r="O16" i="9"/>
  <c r="V16" i="9" s="1"/>
  <c r="AC16" i="9" s="1"/>
  <c r="O17" i="9"/>
  <c r="V17" i="9" s="1"/>
  <c r="AC17" i="9" s="1"/>
  <c r="O18" i="9"/>
  <c r="V18" i="9" s="1"/>
  <c r="AC18" i="9" s="1"/>
  <c r="O19" i="9"/>
  <c r="V19" i="9" s="1"/>
  <c r="AC19" i="9" s="1"/>
  <c r="O20" i="9"/>
  <c r="V20" i="9" s="1"/>
  <c r="AC20" i="9" s="1"/>
  <c r="O21" i="9"/>
  <c r="V21" i="9" s="1"/>
  <c r="AC21" i="9" s="1"/>
  <c r="O22" i="9"/>
  <c r="V22" i="9" s="1"/>
  <c r="AC22" i="9" s="1"/>
  <c r="O23" i="9"/>
  <c r="V23" i="9" s="1"/>
  <c r="AC23" i="9" s="1"/>
  <c r="O24" i="9"/>
  <c r="V24" i="9" s="1"/>
  <c r="AC24" i="9" s="1"/>
  <c r="O25" i="9"/>
  <c r="V25" i="9" s="1"/>
  <c r="AC25" i="9" s="1"/>
  <c r="O26" i="9"/>
  <c r="V26" i="9" s="1"/>
  <c r="AC26" i="9" s="1"/>
  <c r="O27" i="9"/>
  <c r="V27" i="9" s="1"/>
  <c r="AC27" i="9" s="1"/>
  <c r="O28" i="9"/>
  <c r="V28" i="9" s="1"/>
  <c r="AC28" i="9" s="1"/>
  <c r="O29" i="9"/>
  <c r="V29" i="9" s="1"/>
  <c r="AC29" i="9" s="1"/>
  <c r="O30" i="9"/>
  <c r="V30" i="9" s="1"/>
  <c r="AC30" i="9" s="1"/>
  <c r="O31" i="9"/>
  <c r="V31" i="9" s="1"/>
  <c r="AC31" i="9" s="1"/>
  <c r="O32" i="9"/>
  <c r="V32" i="9" s="1"/>
  <c r="AC32" i="9" s="1"/>
  <c r="O33" i="9"/>
  <c r="V33" i="9" s="1"/>
  <c r="AC33" i="9" s="1"/>
  <c r="O34" i="9"/>
  <c r="V34" i="9" s="1"/>
  <c r="AC34" i="9" s="1"/>
  <c r="O35" i="9"/>
  <c r="V35" i="9" s="1"/>
  <c r="AC35" i="9" s="1"/>
  <c r="O36" i="9"/>
  <c r="V36" i="9" s="1"/>
  <c r="AC36" i="9" s="1"/>
  <c r="O37" i="9"/>
  <c r="V37" i="9" s="1"/>
  <c r="AC37" i="9" s="1"/>
  <c r="O38" i="9"/>
  <c r="V38" i="9" s="1"/>
  <c r="AC38" i="9" s="1"/>
  <c r="O39" i="9"/>
  <c r="V39" i="9" s="1"/>
  <c r="AC39" i="9" s="1"/>
  <c r="O40" i="9"/>
  <c r="V40" i="9" s="1"/>
  <c r="AC40" i="9" s="1"/>
  <c r="O41" i="9"/>
  <c r="V41" i="9" s="1"/>
  <c r="AC41" i="9" s="1"/>
  <c r="O42" i="9"/>
  <c r="V42" i="9" s="1"/>
  <c r="AC42" i="9" s="1"/>
  <c r="O43" i="9"/>
  <c r="V43" i="9" s="1"/>
  <c r="AC43" i="9" s="1"/>
  <c r="N4" i="9"/>
  <c r="U4" i="9" s="1"/>
  <c r="AB4" i="9" s="1"/>
  <c r="N5" i="9"/>
  <c r="U5" i="9" s="1"/>
  <c r="AB5" i="9" s="1"/>
  <c r="N6" i="9"/>
  <c r="U6" i="9" s="1"/>
  <c r="AB6" i="9" s="1"/>
  <c r="N7" i="9"/>
  <c r="U7" i="9" s="1"/>
  <c r="AB7" i="9" s="1"/>
  <c r="N8" i="9"/>
  <c r="U8" i="9" s="1"/>
  <c r="AB8" i="9" s="1"/>
  <c r="N9" i="9"/>
  <c r="U9" i="9" s="1"/>
  <c r="AB9" i="9" s="1"/>
  <c r="N10" i="9"/>
  <c r="U10" i="9" s="1"/>
  <c r="AB10" i="9" s="1"/>
  <c r="N11" i="9"/>
  <c r="U11" i="9" s="1"/>
  <c r="AB11" i="9" s="1"/>
  <c r="N12" i="9"/>
  <c r="U12" i="9" s="1"/>
  <c r="AB12" i="9" s="1"/>
  <c r="N13" i="9"/>
  <c r="U13" i="9" s="1"/>
  <c r="AB13" i="9" s="1"/>
  <c r="N14" i="9"/>
  <c r="U14" i="9" s="1"/>
  <c r="AB14" i="9" s="1"/>
  <c r="N15" i="9"/>
  <c r="U15" i="9" s="1"/>
  <c r="AB15" i="9" s="1"/>
  <c r="N16" i="9"/>
  <c r="U16" i="9" s="1"/>
  <c r="AB16" i="9" s="1"/>
  <c r="N17" i="9"/>
  <c r="U17" i="9" s="1"/>
  <c r="AB17" i="9" s="1"/>
  <c r="N18" i="9"/>
  <c r="U18" i="9" s="1"/>
  <c r="AB18" i="9" s="1"/>
  <c r="N19" i="9"/>
  <c r="U19" i="9" s="1"/>
  <c r="AB19" i="9" s="1"/>
  <c r="N20" i="9"/>
  <c r="U20" i="9" s="1"/>
  <c r="AB20" i="9" s="1"/>
  <c r="N21" i="9"/>
  <c r="U21" i="9" s="1"/>
  <c r="AB21" i="9" s="1"/>
  <c r="N22" i="9"/>
  <c r="U22" i="9" s="1"/>
  <c r="AB22" i="9" s="1"/>
  <c r="N23" i="9"/>
  <c r="U23" i="9" s="1"/>
  <c r="AB23" i="9" s="1"/>
  <c r="N24" i="9"/>
  <c r="U24" i="9" s="1"/>
  <c r="AB24" i="9" s="1"/>
  <c r="N25" i="9"/>
  <c r="U25" i="9" s="1"/>
  <c r="AB25" i="9" s="1"/>
  <c r="N26" i="9"/>
  <c r="U26" i="9" s="1"/>
  <c r="AB26" i="9" s="1"/>
  <c r="N27" i="9"/>
  <c r="U27" i="9" s="1"/>
  <c r="AB27" i="9" s="1"/>
  <c r="N28" i="9"/>
  <c r="U28" i="9" s="1"/>
  <c r="AB28" i="9" s="1"/>
  <c r="N29" i="9"/>
  <c r="U29" i="9" s="1"/>
  <c r="AB29" i="9" s="1"/>
  <c r="N30" i="9"/>
  <c r="U30" i="9" s="1"/>
  <c r="AB30" i="9" s="1"/>
  <c r="N31" i="9"/>
  <c r="U31" i="9" s="1"/>
  <c r="AB31" i="9" s="1"/>
  <c r="N32" i="9"/>
  <c r="U32" i="9" s="1"/>
  <c r="AB32" i="9" s="1"/>
  <c r="N33" i="9"/>
  <c r="U33" i="9" s="1"/>
  <c r="AB33" i="9" s="1"/>
  <c r="N34" i="9"/>
  <c r="U34" i="9" s="1"/>
  <c r="AB34" i="9" s="1"/>
  <c r="N35" i="9"/>
  <c r="U35" i="9" s="1"/>
  <c r="AB35" i="9" s="1"/>
  <c r="N36" i="9"/>
  <c r="U36" i="9" s="1"/>
  <c r="AB36" i="9" s="1"/>
  <c r="N37" i="9"/>
  <c r="U37" i="9" s="1"/>
  <c r="AB37" i="9" s="1"/>
  <c r="N38" i="9"/>
  <c r="U38" i="9" s="1"/>
  <c r="AB38" i="9" s="1"/>
  <c r="N39" i="9"/>
  <c r="U39" i="9" s="1"/>
  <c r="AB39" i="9" s="1"/>
  <c r="N40" i="9"/>
  <c r="U40" i="9" s="1"/>
  <c r="AB40" i="9" s="1"/>
  <c r="N41" i="9"/>
  <c r="U41" i="9" s="1"/>
  <c r="AB41" i="9" s="1"/>
  <c r="N42" i="9"/>
  <c r="U42" i="9" s="1"/>
  <c r="AB42" i="9" s="1"/>
  <c r="N43" i="9"/>
  <c r="U43" i="9" s="1"/>
  <c r="AB43" i="9" s="1"/>
  <c r="M4" i="9"/>
  <c r="T4" i="9" s="1"/>
  <c r="AA4" i="9" s="1"/>
  <c r="M5" i="9"/>
  <c r="T5" i="9" s="1"/>
  <c r="AA5" i="9" s="1"/>
  <c r="M6" i="9"/>
  <c r="T6" i="9" s="1"/>
  <c r="AA6" i="9" s="1"/>
  <c r="M7" i="9"/>
  <c r="T7" i="9" s="1"/>
  <c r="AA7" i="9" s="1"/>
  <c r="M8" i="9"/>
  <c r="T8" i="9" s="1"/>
  <c r="AA8" i="9" s="1"/>
  <c r="M9" i="9"/>
  <c r="T9" i="9" s="1"/>
  <c r="AA9" i="9" s="1"/>
  <c r="M10" i="9"/>
  <c r="T10" i="9" s="1"/>
  <c r="AA10" i="9" s="1"/>
  <c r="M11" i="9"/>
  <c r="T11" i="9" s="1"/>
  <c r="AA11" i="9" s="1"/>
  <c r="M12" i="9"/>
  <c r="T12" i="9" s="1"/>
  <c r="AA12" i="9" s="1"/>
  <c r="M13" i="9"/>
  <c r="T13" i="9" s="1"/>
  <c r="AA13" i="9" s="1"/>
  <c r="M14" i="9"/>
  <c r="T14" i="9" s="1"/>
  <c r="AA14" i="9" s="1"/>
  <c r="M15" i="9"/>
  <c r="T15" i="9" s="1"/>
  <c r="AA15" i="9" s="1"/>
  <c r="M16" i="9"/>
  <c r="T16" i="9" s="1"/>
  <c r="AA16" i="9" s="1"/>
  <c r="M17" i="9"/>
  <c r="T17" i="9" s="1"/>
  <c r="AA17" i="9" s="1"/>
  <c r="M18" i="9"/>
  <c r="T18" i="9" s="1"/>
  <c r="AA18" i="9" s="1"/>
  <c r="M19" i="9"/>
  <c r="T19" i="9" s="1"/>
  <c r="AA19" i="9" s="1"/>
  <c r="M20" i="9"/>
  <c r="T20" i="9" s="1"/>
  <c r="AA20" i="9" s="1"/>
  <c r="M21" i="9"/>
  <c r="T21" i="9" s="1"/>
  <c r="AA21" i="9" s="1"/>
  <c r="M22" i="9"/>
  <c r="T22" i="9" s="1"/>
  <c r="AA22" i="9" s="1"/>
  <c r="M23" i="9"/>
  <c r="T23" i="9" s="1"/>
  <c r="AA23" i="9" s="1"/>
  <c r="M24" i="9"/>
  <c r="T24" i="9" s="1"/>
  <c r="AA24" i="9" s="1"/>
  <c r="M25" i="9"/>
  <c r="T25" i="9" s="1"/>
  <c r="AA25" i="9" s="1"/>
  <c r="M26" i="9"/>
  <c r="T26" i="9" s="1"/>
  <c r="AA26" i="9" s="1"/>
  <c r="M27" i="9"/>
  <c r="T27" i="9" s="1"/>
  <c r="AA27" i="9" s="1"/>
  <c r="M28" i="9"/>
  <c r="T28" i="9" s="1"/>
  <c r="AA28" i="9" s="1"/>
  <c r="M29" i="9"/>
  <c r="T29" i="9" s="1"/>
  <c r="AA29" i="9" s="1"/>
  <c r="M30" i="9"/>
  <c r="T30" i="9" s="1"/>
  <c r="AA30" i="9" s="1"/>
  <c r="M31" i="9"/>
  <c r="T31" i="9" s="1"/>
  <c r="AA31" i="9" s="1"/>
  <c r="M32" i="9"/>
  <c r="T32" i="9" s="1"/>
  <c r="AA32" i="9" s="1"/>
  <c r="M33" i="9"/>
  <c r="T33" i="9" s="1"/>
  <c r="AA33" i="9" s="1"/>
  <c r="M34" i="9"/>
  <c r="T34" i="9" s="1"/>
  <c r="AA34" i="9" s="1"/>
  <c r="M35" i="9"/>
  <c r="T35" i="9" s="1"/>
  <c r="AA35" i="9" s="1"/>
  <c r="M36" i="9"/>
  <c r="T36" i="9" s="1"/>
  <c r="AA36" i="9" s="1"/>
  <c r="M37" i="9"/>
  <c r="T37" i="9" s="1"/>
  <c r="AA37" i="9" s="1"/>
  <c r="M38" i="9"/>
  <c r="T38" i="9" s="1"/>
  <c r="AA38" i="9" s="1"/>
  <c r="M39" i="9"/>
  <c r="T39" i="9" s="1"/>
  <c r="AA39" i="9" s="1"/>
  <c r="M40" i="9"/>
  <c r="T40" i="9" s="1"/>
  <c r="AA40" i="9" s="1"/>
  <c r="M41" i="9"/>
  <c r="T41" i="9" s="1"/>
  <c r="AA41" i="9" s="1"/>
  <c r="M42" i="9"/>
  <c r="T42" i="9" s="1"/>
  <c r="AA42" i="9" s="1"/>
  <c r="M43" i="9"/>
  <c r="T43" i="9" s="1"/>
  <c r="AA43" i="9" s="1"/>
  <c r="L4" i="9"/>
  <c r="S4" i="9" s="1"/>
  <c r="Z4" i="9" s="1"/>
  <c r="L5" i="9"/>
  <c r="S5" i="9" s="1"/>
  <c r="Z5" i="9" s="1"/>
  <c r="L6" i="9"/>
  <c r="S6" i="9" s="1"/>
  <c r="Z6" i="9" s="1"/>
  <c r="L7" i="9"/>
  <c r="S7" i="9" s="1"/>
  <c r="Z7" i="9" s="1"/>
  <c r="L8" i="9"/>
  <c r="S8" i="9" s="1"/>
  <c r="Z8" i="9" s="1"/>
  <c r="L9" i="9"/>
  <c r="S9" i="9" s="1"/>
  <c r="Z9" i="9" s="1"/>
  <c r="L10" i="9"/>
  <c r="S10" i="9" s="1"/>
  <c r="Z10" i="9" s="1"/>
  <c r="L11" i="9"/>
  <c r="S11" i="9" s="1"/>
  <c r="Z11" i="9" s="1"/>
  <c r="L12" i="9"/>
  <c r="S12" i="9" s="1"/>
  <c r="Z12" i="9" s="1"/>
  <c r="L13" i="9"/>
  <c r="S13" i="9" s="1"/>
  <c r="Z13" i="9" s="1"/>
  <c r="L14" i="9"/>
  <c r="S14" i="9" s="1"/>
  <c r="Z14" i="9" s="1"/>
  <c r="L15" i="9"/>
  <c r="S15" i="9" s="1"/>
  <c r="Z15" i="9" s="1"/>
  <c r="L16" i="9"/>
  <c r="S16" i="9" s="1"/>
  <c r="Z16" i="9" s="1"/>
  <c r="L17" i="9"/>
  <c r="S17" i="9" s="1"/>
  <c r="Z17" i="9" s="1"/>
  <c r="L18" i="9"/>
  <c r="S18" i="9" s="1"/>
  <c r="Z18" i="9" s="1"/>
  <c r="L19" i="9"/>
  <c r="S19" i="9" s="1"/>
  <c r="Z19" i="9" s="1"/>
  <c r="L20" i="9"/>
  <c r="S20" i="9" s="1"/>
  <c r="Z20" i="9" s="1"/>
  <c r="L21" i="9"/>
  <c r="S21" i="9" s="1"/>
  <c r="Z21" i="9" s="1"/>
  <c r="L22" i="9"/>
  <c r="S22" i="9" s="1"/>
  <c r="Z22" i="9" s="1"/>
  <c r="L23" i="9"/>
  <c r="S23" i="9" s="1"/>
  <c r="Z23" i="9" s="1"/>
  <c r="L24" i="9"/>
  <c r="S24" i="9" s="1"/>
  <c r="Z24" i="9" s="1"/>
  <c r="L25" i="9"/>
  <c r="S25" i="9" s="1"/>
  <c r="Z25" i="9" s="1"/>
  <c r="L26" i="9"/>
  <c r="S26" i="9" s="1"/>
  <c r="Z26" i="9" s="1"/>
  <c r="L27" i="9"/>
  <c r="S27" i="9" s="1"/>
  <c r="Z27" i="9" s="1"/>
  <c r="L28" i="9"/>
  <c r="S28" i="9" s="1"/>
  <c r="Z28" i="9" s="1"/>
  <c r="L29" i="9"/>
  <c r="S29" i="9" s="1"/>
  <c r="Z29" i="9" s="1"/>
  <c r="L30" i="9"/>
  <c r="S30" i="9" s="1"/>
  <c r="Z30" i="9" s="1"/>
  <c r="L31" i="9"/>
  <c r="S31" i="9" s="1"/>
  <c r="Z31" i="9" s="1"/>
  <c r="L32" i="9"/>
  <c r="S32" i="9" s="1"/>
  <c r="Z32" i="9" s="1"/>
  <c r="L33" i="9"/>
  <c r="S33" i="9" s="1"/>
  <c r="Z33" i="9" s="1"/>
  <c r="L34" i="9"/>
  <c r="S34" i="9" s="1"/>
  <c r="Z34" i="9" s="1"/>
  <c r="L35" i="9"/>
  <c r="S35" i="9" s="1"/>
  <c r="Z35" i="9" s="1"/>
  <c r="L36" i="9"/>
  <c r="S36" i="9" s="1"/>
  <c r="Z36" i="9" s="1"/>
  <c r="L37" i="9"/>
  <c r="S37" i="9" s="1"/>
  <c r="Z37" i="9" s="1"/>
  <c r="L38" i="9"/>
  <c r="S38" i="9" s="1"/>
  <c r="Z38" i="9" s="1"/>
  <c r="L39" i="9"/>
  <c r="S39" i="9" s="1"/>
  <c r="Z39" i="9" s="1"/>
  <c r="L40" i="9"/>
  <c r="S40" i="9" s="1"/>
  <c r="Z40" i="9" s="1"/>
  <c r="L41" i="9"/>
  <c r="S41" i="9" s="1"/>
  <c r="Z41" i="9" s="1"/>
  <c r="L42" i="9"/>
  <c r="S42" i="9" s="1"/>
  <c r="Z42" i="9" s="1"/>
  <c r="L43" i="9"/>
  <c r="S43" i="9" s="1"/>
  <c r="Z43" i="9" s="1"/>
  <c r="Y4" i="9" l="1"/>
</calcChain>
</file>

<file path=xl/sharedStrings.xml><?xml version="1.0" encoding="utf-8"?>
<sst xmlns="http://schemas.openxmlformats.org/spreadsheetml/2006/main" count="779" uniqueCount="198">
  <si>
    <t>Wb</t>
  </si>
  <si>
    <t>R</t>
  </si>
  <si>
    <t>tavg</t>
  </si>
  <si>
    <t>f</t>
  </si>
  <si>
    <t>Responden</t>
  </si>
  <si>
    <r>
      <t xml:space="preserve">I      : Asupan / </t>
    </r>
    <r>
      <rPr>
        <i/>
        <sz val="11"/>
        <color theme="1"/>
        <rFont val="Times New Roman"/>
        <family val="1"/>
      </rPr>
      <t xml:space="preserve">Intake </t>
    </r>
    <r>
      <rPr>
        <sz val="11"/>
        <color theme="1"/>
        <rFont val="Times New Roman"/>
        <family val="1"/>
      </rPr>
      <t>(mg/kg/hari)</t>
    </r>
  </si>
  <si>
    <t>1: Tidak aman</t>
  </si>
  <si>
    <t>2: Aman</t>
  </si>
  <si>
    <t xml:space="preserve"> I_Pb_30</t>
  </si>
  <si>
    <t>I_CrVI_30</t>
  </si>
  <si>
    <t>I_Ni_30</t>
  </si>
  <si>
    <t>ECR_Cd</t>
  </si>
  <si>
    <t>ECR_Pb_30</t>
  </si>
  <si>
    <t>ECR_CrVI_30</t>
  </si>
  <si>
    <t>ECR_Ni_30</t>
  </si>
  <si>
    <t>I_ Cd_25</t>
  </si>
  <si>
    <t xml:space="preserve"> I_Pb_25</t>
  </si>
  <si>
    <t>I_CrVI_25</t>
  </si>
  <si>
    <t>I_Ni_25</t>
  </si>
  <si>
    <t>ECR_Pb_25</t>
  </si>
  <si>
    <t>ECR_CrVI_25</t>
  </si>
  <si>
    <t>ECR_Ni_25</t>
  </si>
  <si>
    <t xml:space="preserve"> I_Pb_20</t>
  </si>
  <si>
    <t>I_CrVI_20</t>
  </si>
  <si>
    <t>I_Ni_20</t>
  </si>
  <si>
    <t>ECR_Pb_20</t>
  </si>
  <si>
    <t>ECR_CrVI_20</t>
  </si>
  <si>
    <t>ECR_Ni_20</t>
  </si>
  <si>
    <t>I_ Cd_20</t>
  </si>
  <si>
    <t xml:space="preserve"> I_Pb_15</t>
  </si>
  <si>
    <t>I_CrVI_15</t>
  </si>
  <si>
    <t>I_Ni_15</t>
  </si>
  <si>
    <t>ECR_Pb_15</t>
  </si>
  <si>
    <t>ECR_CrVI_15</t>
  </si>
  <si>
    <t>ECR_Ni_15</t>
  </si>
  <si>
    <t>I_ Cd_15</t>
  </si>
  <si>
    <t>I_ Cd_10</t>
  </si>
  <si>
    <t xml:space="preserve"> I_Pb_10</t>
  </si>
  <si>
    <t>I_CrVI_10</t>
  </si>
  <si>
    <t>I_Ni_10</t>
  </si>
  <si>
    <t>ECR_Pb_10</t>
  </si>
  <si>
    <t>ECR_CrVI_10</t>
  </si>
  <si>
    <t>ECR_Ni_10</t>
  </si>
  <si>
    <t>I_ Cd_5</t>
  </si>
  <si>
    <t xml:space="preserve"> I_Pb_5</t>
  </si>
  <si>
    <t>I_CrVI_5</t>
  </si>
  <si>
    <t>I_Ni_5</t>
  </si>
  <si>
    <t>ECR_Pb_5</t>
  </si>
  <si>
    <t>ECR_CrVI_5</t>
  </si>
  <si>
    <t>ECR_Ni_5</t>
  </si>
  <si>
    <t>I_Cd_30</t>
  </si>
  <si>
    <t>ECR_Cd_15</t>
  </si>
  <si>
    <t>C</t>
  </si>
  <si>
    <t>RfD</t>
  </si>
  <si>
    <t>Interpretasi RQ (30 tahun)</t>
  </si>
  <si>
    <t>RQ  : Risiko Non Karsinogenik</t>
  </si>
  <si>
    <t>Keterangan:</t>
  </si>
  <si>
    <t>Dt   : Durasi Pajanan (tahun)</t>
  </si>
  <si>
    <t>f      : Frekuensi Pajanan (hari/tahun)</t>
  </si>
  <si>
    <t>Intake (Dt=5th)</t>
  </si>
  <si>
    <t>Intake (Dt=10th)</t>
  </si>
  <si>
    <t>Intake (Dt=15th)</t>
  </si>
  <si>
    <t>Intake (Dt=20th)</t>
  </si>
  <si>
    <t>Intake (Dt=25th)</t>
  </si>
  <si>
    <t>Intake (Dt=30th)</t>
  </si>
  <si>
    <t>RQ (Dt=5th)</t>
  </si>
  <si>
    <t>RQ (Dt=10th)</t>
  </si>
  <si>
    <t>RQ (Dt=15th)</t>
  </si>
  <si>
    <t>RQ (Dt=20th)</t>
  </si>
  <si>
    <t>RQ (Dt=25th)</t>
  </si>
  <si>
    <t>RQ (Dt=30th)</t>
  </si>
  <si>
    <t>Interpretasi RQ (10 tahun)</t>
  </si>
  <si>
    <t>Interpretasi RQ (15 tahun)</t>
  </si>
  <si>
    <t>Interpretasi RQ (20 tahun)</t>
  </si>
  <si>
    <t>Interpretasi RQ (25 tahun)</t>
  </si>
  <si>
    <t>Interpretasi RQ (5 tahun)</t>
  </si>
  <si>
    <t>Interpretasi RQ</t>
  </si>
  <si>
    <t>Interpretasi_RQ__5_tahun</t>
  </si>
  <si>
    <t>Intake__Dt_5th</t>
  </si>
  <si>
    <t>Intake__Dt_10th</t>
  </si>
  <si>
    <t>Intake__Dt_15th</t>
  </si>
  <si>
    <t>Intake__Dt_20th</t>
  </si>
  <si>
    <t>Intake__Dt_25th</t>
  </si>
  <si>
    <t>Intake__Dt_30th</t>
  </si>
  <si>
    <t>RQ__Dt_5th</t>
  </si>
  <si>
    <t>RQ__Dt_10th</t>
  </si>
  <si>
    <t>RQ__Dt_15th</t>
  </si>
  <si>
    <t>RQ__Dt_20th</t>
  </si>
  <si>
    <t>RQ__Dt_25th</t>
  </si>
  <si>
    <t>RQ__Dt_30th</t>
  </si>
  <si>
    <t>Interpretasi_RQ__10_tahun</t>
  </si>
  <si>
    <t>Interpretasi_RQ__15_tahun</t>
  </si>
  <si>
    <t>Interpretasi_RQ__20_tahun</t>
  </si>
  <si>
    <t>Interpretasi_RQ__25_tahun</t>
  </si>
  <si>
    <t>Interpretasi_RQ__30_tahun</t>
  </si>
  <si>
    <t>RQ (Dt=realtime)</t>
  </si>
  <si>
    <t>Dt (realtime)</t>
  </si>
  <si>
    <t>Intake (Dt= realtime)</t>
  </si>
  <si>
    <t>Interpretasi RQ (realtime)</t>
  </si>
  <si>
    <t>tavg : Periode Waktu Rata - Rata (30 tahun x 365 hari/tahun)</t>
  </si>
  <si>
    <t>RfD : Dosis Acuan dari EPA-US (mg/L/hari)</t>
  </si>
  <si>
    <t>R     : Laju Asupan (L/hari)</t>
  </si>
  <si>
    <t>Wb  : Berat Badan Responden (kg)</t>
  </si>
  <si>
    <t>C    :   konsentrasi agen kimia pada air  (mg/L)</t>
  </si>
  <si>
    <t>No</t>
  </si>
  <si>
    <t>And</t>
  </si>
  <si>
    <t>Kad</t>
  </si>
  <si>
    <t>Way</t>
  </si>
  <si>
    <t>Igp</t>
  </si>
  <si>
    <t>Sp</t>
  </si>
  <si>
    <t>Gi</t>
  </si>
  <si>
    <t>Gia</t>
  </si>
  <si>
    <t>Rsp</t>
  </si>
  <si>
    <t>Nk</t>
  </si>
  <si>
    <t>Tsy</t>
  </si>
  <si>
    <t>Alf</t>
  </si>
  <si>
    <t>Sab</t>
  </si>
  <si>
    <t>Dea</t>
  </si>
  <si>
    <t>Muh</t>
  </si>
  <si>
    <t>Aks</t>
  </si>
  <si>
    <t>Bil</t>
  </si>
  <si>
    <t>Abd</t>
  </si>
  <si>
    <t>Ngh</t>
  </si>
  <si>
    <t>Sar</t>
  </si>
  <si>
    <t>Gaf</t>
  </si>
  <si>
    <t>Gii</t>
  </si>
  <si>
    <t>Nh</t>
  </si>
  <si>
    <t>Gaw</t>
  </si>
  <si>
    <t>ALs</t>
  </si>
  <si>
    <t>Ana</t>
  </si>
  <si>
    <t>Zan</t>
  </si>
  <si>
    <t>Bia</t>
  </si>
  <si>
    <t>Tis</t>
  </si>
  <si>
    <t>Fau</t>
  </si>
  <si>
    <t>Als</t>
  </si>
  <si>
    <t>Mak</t>
  </si>
  <si>
    <t>Rwu</t>
  </si>
  <si>
    <t>Nhf</t>
  </si>
  <si>
    <t>Mfk</t>
  </si>
  <si>
    <t>Ewi</t>
  </si>
  <si>
    <t>Nul</t>
  </si>
  <si>
    <t>Naq</t>
  </si>
  <si>
    <t>Frd</t>
  </si>
  <si>
    <t>Ark</t>
  </si>
  <si>
    <t>Dah</t>
  </si>
  <si>
    <t>Wah</t>
  </si>
  <si>
    <t>Roh</t>
  </si>
  <si>
    <t>Nur</t>
  </si>
  <si>
    <t>Ars</t>
  </si>
  <si>
    <t>Ani</t>
  </si>
  <si>
    <t>Aff</t>
  </si>
  <si>
    <t>IWg</t>
  </si>
  <si>
    <t>Nkf</t>
  </si>
  <si>
    <t>Kel</t>
  </si>
  <si>
    <t>Waa</t>
  </si>
  <si>
    <t>Mai</t>
  </si>
  <si>
    <t>Mkl</t>
  </si>
  <si>
    <t>Ruh</t>
  </si>
  <si>
    <t>Afd</t>
  </si>
  <si>
    <t>Iwg</t>
  </si>
  <si>
    <t>Feb</t>
  </si>
  <si>
    <t>Ula</t>
  </si>
  <si>
    <t>Msa</t>
  </si>
  <si>
    <t>Lan</t>
  </si>
  <si>
    <t>Fai</t>
  </si>
  <si>
    <t>Arm</t>
  </si>
  <si>
    <t>Rpa</t>
  </si>
  <si>
    <t>Aik</t>
  </si>
  <si>
    <t>Fa</t>
  </si>
  <si>
    <t>Pan</t>
  </si>
  <si>
    <t>Idbp</t>
  </si>
  <si>
    <t>Raf</t>
  </si>
  <si>
    <t>Kbi</t>
  </si>
  <si>
    <t>Iwp</t>
  </si>
  <si>
    <t>Suk</t>
  </si>
  <si>
    <t>Tyr</t>
  </si>
  <si>
    <t>Iwd</t>
  </si>
  <si>
    <t>Gbt</t>
  </si>
  <si>
    <t>Put</t>
  </si>
  <si>
    <t>Bak</t>
  </si>
  <si>
    <t>Aul</t>
  </si>
  <si>
    <t>Ari</t>
  </si>
  <si>
    <t>Tia</t>
  </si>
  <si>
    <t>Aft</t>
  </si>
  <si>
    <t>NM</t>
  </si>
  <si>
    <t>Cna</t>
  </si>
  <si>
    <t>Srp</t>
  </si>
  <si>
    <t>Mhp</t>
  </si>
  <si>
    <t>Ydh</t>
  </si>
  <si>
    <t>Cah</t>
  </si>
  <si>
    <t>Srl</t>
  </si>
  <si>
    <t>Afn</t>
  </si>
  <si>
    <t>Mad</t>
  </si>
  <si>
    <t>Nas</t>
  </si>
  <si>
    <t>Dat</t>
  </si>
  <si>
    <t>Dan</t>
  </si>
  <si>
    <t>Adm</t>
  </si>
  <si>
    <t>Umur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</si>
</sst>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Times New Roman"/>
      <family val="1"/>
    </font>
    <font>
      <i/>
      <sz val="11"/>
      <color theme="1"/>
      <name val="Times New Roman"/>
      <family val="1"/>
    </font>
    <font>
      <sz val="8"/>
      <name val="Calibri"/>
      <family val="2"/>
      <scheme val="minor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2" borderId="0" xfId="0" applyFont="1" applyFill="1"/>
    <xf numFmtId="1" fontId="0" fillId="0" borderId="1" xfId="0" applyNumberFormat="1" applyBorder="1" applyAlignment="1">
      <alignment horizontal="center"/>
    </xf>
    <xf numFmtId="0" fontId="5" fillId="0" borderId="0" xfId="0" applyFont="1"/>
    <xf numFmtId="11" fontId="1" fillId="0" borderId="1" xfId="0" applyNumberFormat="1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" xfId="0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ZF107"/>
  <sheetViews>
    <sheetView tabSelected="1" workbookViewId="0">
      <selection activeCell="K4" sqref="K4"/>
    </sheetView>
  </sheetViews>
  <sheetFormatPr defaultColWidth="9.109375" defaultRowHeight="13.8" x14ac:dyDescent="0.25"/>
  <cols>
    <col min="1" max="1" width="5.33203125" style="3" customWidth="1"/>
    <col min="2" max="2" width="15.6640625" style="3" customWidth="1"/>
    <col min="3" max="4" width="8.33203125" style="3" customWidth="1"/>
    <col min="5" max="5" width="5" style="6" customWidth="1"/>
    <col min="6" max="6" width="10.6640625" style="3" customWidth="1"/>
    <col min="7" max="9" width="9.109375" style="3"/>
    <col min="10" max="10" width="9.44140625" style="3" customWidth="1"/>
    <col min="11" max="11" width="13.77734375" style="3" customWidth="1"/>
    <col min="12" max="25" width="10.88671875" style="3" customWidth="1"/>
    <col min="26" max="26" width="9.5546875" style="3" bestFit="1" customWidth="1"/>
    <col min="27" max="16384" width="9.109375" style="3"/>
  </cols>
  <sheetData>
    <row r="1" spans="1:1358" ht="15" customHeight="1" x14ac:dyDescent="0.25">
      <c r="A1" s="24" t="s">
        <v>104</v>
      </c>
      <c r="B1" s="26" t="s">
        <v>4</v>
      </c>
      <c r="C1" s="27" t="s">
        <v>197</v>
      </c>
      <c r="D1" s="26" t="s">
        <v>0</v>
      </c>
      <c r="E1" s="26" t="s">
        <v>3</v>
      </c>
      <c r="F1" s="23" t="s">
        <v>52</v>
      </c>
      <c r="G1" s="23" t="s">
        <v>1</v>
      </c>
      <c r="H1" s="23" t="s">
        <v>53</v>
      </c>
      <c r="I1" s="26" t="s">
        <v>2</v>
      </c>
      <c r="J1" s="23" t="s">
        <v>96</v>
      </c>
      <c r="K1" s="23" t="s">
        <v>97</v>
      </c>
      <c r="L1" s="23" t="s">
        <v>59</v>
      </c>
      <c r="M1" s="23" t="s">
        <v>60</v>
      </c>
      <c r="N1" s="23" t="s">
        <v>61</v>
      </c>
      <c r="O1" s="23" t="s">
        <v>62</v>
      </c>
      <c r="P1" s="23" t="s">
        <v>63</v>
      </c>
      <c r="Q1" s="23" t="s">
        <v>64</v>
      </c>
      <c r="R1" s="23" t="s">
        <v>95</v>
      </c>
      <c r="S1" s="23" t="s">
        <v>65</v>
      </c>
      <c r="T1" s="23" t="s">
        <v>66</v>
      </c>
      <c r="U1" s="23" t="s">
        <v>67</v>
      </c>
      <c r="V1" s="23" t="s">
        <v>68</v>
      </c>
      <c r="W1" s="23" t="s">
        <v>69</v>
      </c>
      <c r="X1" s="23" t="s">
        <v>70</v>
      </c>
      <c r="Y1" s="23" t="s">
        <v>98</v>
      </c>
      <c r="Z1" s="23" t="s">
        <v>75</v>
      </c>
      <c r="AA1" s="23" t="s">
        <v>71</v>
      </c>
      <c r="AB1" s="23" t="s">
        <v>72</v>
      </c>
      <c r="AC1" s="23" t="s">
        <v>73</v>
      </c>
      <c r="AD1" s="23" t="s">
        <v>74</v>
      </c>
      <c r="AE1" s="23" t="s">
        <v>54</v>
      </c>
    </row>
    <row r="2" spans="1:1358" ht="30.75" customHeight="1" x14ac:dyDescent="0.25">
      <c r="A2" s="25"/>
      <c r="B2" s="26"/>
      <c r="C2" s="28"/>
      <c r="D2" s="26"/>
      <c r="E2" s="26"/>
      <c r="F2" s="23"/>
      <c r="G2" s="23"/>
      <c r="H2" s="23"/>
      <c r="I2" s="26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spans="1:1358" s="9" customFormat="1" ht="13.2" x14ac:dyDescent="0.25">
      <c r="A3" s="7">
        <v>1</v>
      </c>
      <c r="B3" s="8">
        <v>2</v>
      </c>
      <c r="C3" s="7">
        <v>3</v>
      </c>
      <c r="D3" s="8">
        <v>4</v>
      </c>
      <c r="E3" s="7">
        <v>5</v>
      </c>
      <c r="F3" s="8">
        <v>6</v>
      </c>
      <c r="G3" s="7">
        <v>7</v>
      </c>
      <c r="H3" s="8">
        <v>8</v>
      </c>
      <c r="I3" s="7">
        <v>9</v>
      </c>
      <c r="J3" s="8">
        <v>10</v>
      </c>
      <c r="K3" s="7">
        <v>11</v>
      </c>
      <c r="L3" s="8">
        <v>12</v>
      </c>
      <c r="M3" s="7">
        <v>13</v>
      </c>
      <c r="N3" s="8">
        <v>14</v>
      </c>
      <c r="O3" s="7">
        <v>15</v>
      </c>
      <c r="P3" s="8">
        <v>16</v>
      </c>
      <c r="Q3" s="7">
        <v>17</v>
      </c>
      <c r="R3" s="8">
        <v>18</v>
      </c>
      <c r="S3" s="7">
        <v>19</v>
      </c>
      <c r="T3" s="8">
        <v>20</v>
      </c>
      <c r="U3" s="7">
        <v>21</v>
      </c>
      <c r="V3" s="8">
        <v>22</v>
      </c>
      <c r="W3" s="7">
        <v>23</v>
      </c>
      <c r="X3" s="8">
        <v>24</v>
      </c>
      <c r="Y3" s="7">
        <v>25</v>
      </c>
      <c r="Z3" s="8">
        <v>26</v>
      </c>
      <c r="AA3" s="7">
        <v>27</v>
      </c>
      <c r="AB3" s="8">
        <v>28</v>
      </c>
      <c r="AC3" s="7">
        <v>29</v>
      </c>
      <c r="AD3" s="8">
        <v>30</v>
      </c>
      <c r="AE3" s="7">
        <v>31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  <c r="AMK3" s="11"/>
      <c r="AML3" s="11"/>
      <c r="AMM3" s="11"/>
      <c r="AMN3" s="11"/>
      <c r="AMO3" s="11"/>
      <c r="AMP3" s="11"/>
      <c r="AMQ3" s="11"/>
      <c r="AMR3" s="11"/>
      <c r="AMS3" s="11"/>
      <c r="AMT3" s="11"/>
      <c r="AMU3" s="11"/>
      <c r="AMV3" s="11"/>
      <c r="AMW3" s="11"/>
      <c r="AMX3" s="11"/>
      <c r="AMY3" s="11"/>
      <c r="AMZ3" s="11"/>
      <c r="ANA3" s="11"/>
      <c r="ANB3" s="11"/>
      <c r="ANC3" s="11"/>
      <c r="AND3" s="11"/>
      <c r="ANE3" s="11"/>
      <c r="ANF3" s="11"/>
      <c r="ANG3" s="11"/>
      <c r="ANH3" s="11"/>
      <c r="ANI3" s="11"/>
      <c r="ANJ3" s="11"/>
      <c r="ANK3" s="11"/>
      <c r="ANL3" s="11"/>
      <c r="ANM3" s="11"/>
      <c r="ANN3" s="11"/>
      <c r="ANO3" s="11"/>
      <c r="ANP3" s="11"/>
      <c r="ANQ3" s="11"/>
      <c r="ANR3" s="11"/>
      <c r="ANS3" s="11"/>
      <c r="ANT3" s="11"/>
      <c r="ANU3" s="11"/>
      <c r="ANV3" s="11"/>
      <c r="ANW3" s="11"/>
      <c r="ANX3" s="11"/>
      <c r="ANY3" s="11"/>
      <c r="ANZ3" s="11"/>
      <c r="AOA3" s="11"/>
      <c r="AOB3" s="11"/>
      <c r="AOC3" s="11"/>
      <c r="AOD3" s="11"/>
      <c r="AOE3" s="11"/>
      <c r="AOF3" s="11"/>
      <c r="AOG3" s="11"/>
      <c r="AOH3" s="11"/>
      <c r="AOI3" s="11"/>
      <c r="AOJ3" s="11"/>
      <c r="AOK3" s="11"/>
      <c r="AOL3" s="11"/>
      <c r="AOM3" s="11"/>
      <c r="AON3" s="11"/>
      <c r="AOO3" s="11"/>
      <c r="AOP3" s="11"/>
      <c r="AOQ3" s="11"/>
      <c r="AOR3" s="11"/>
      <c r="AOS3" s="11"/>
      <c r="AOT3" s="11"/>
      <c r="AOU3" s="11"/>
      <c r="AOV3" s="11"/>
      <c r="AOW3" s="11"/>
      <c r="AOX3" s="11"/>
      <c r="AOY3" s="11"/>
      <c r="AOZ3" s="11"/>
      <c r="APA3" s="11"/>
      <c r="APB3" s="11"/>
      <c r="APC3" s="11"/>
      <c r="APD3" s="11"/>
      <c r="APE3" s="11"/>
      <c r="APF3" s="11"/>
      <c r="APG3" s="11"/>
      <c r="APH3" s="11"/>
      <c r="API3" s="11"/>
      <c r="APJ3" s="11"/>
      <c r="APK3" s="11"/>
      <c r="APL3" s="11"/>
      <c r="APM3" s="11"/>
      <c r="APN3" s="11"/>
      <c r="APO3" s="11"/>
      <c r="APP3" s="11"/>
      <c r="APQ3" s="11"/>
      <c r="APR3" s="11"/>
      <c r="APS3" s="11"/>
      <c r="APT3" s="11"/>
      <c r="APU3" s="11"/>
      <c r="APV3" s="11"/>
      <c r="APW3" s="11"/>
      <c r="APX3" s="11"/>
      <c r="APY3" s="11"/>
      <c r="APZ3" s="11"/>
      <c r="AQA3" s="11"/>
      <c r="AQB3" s="11"/>
      <c r="AQC3" s="11"/>
      <c r="AQD3" s="11"/>
      <c r="AQE3" s="11"/>
      <c r="AQF3" s="11"/>
      <c r="AQG3" s="11"/>
      <c r="AQH3" s="11"/>
      <c r="AQI3" s="11"/>
      <c r="AQJ3" s="11"/>
      <c r="AQK3" s="11"/>
      <c r="AQL3" s="11"/>
      <c r="AQM3" s="11"/>
      <c r="AQN3" s="11"/>
      <c r="AQO3" s="11"/>
      <c r="AQP3" s="11"/>
      <c r="AQQ3" s="11"/>
      <c r="AQR3" s="11"/>
      <c r="AQS3" s="11"/>
      <c r="AQT3" s="11"/>
      <c r="AQU3" s="11"/>
      <c r="AQV3" s="11"/>
      <c r="AQW3" s="11"/>
      <c r="AQX3" s="11"/>
      <c r="AQY3" s="11"/>
      <c r="AQZ3" s="11"/>
      <c r="ARA3" s="11"/>
      <c r="ARB3" s="11"/>
      <c r="ARC3" s="11"/>
      <c r="ARD3" s="11"/>
      <c r="ARE3" s="11"/>
      <c r="ARF3" s="11"/>
      <c r="ARG3" s="11"/>
      <c r="ARH3" s="11"/>
      <c r="ARI3" s="11"/>
      <c r="ARJ3" s="11"/>
      <c r="ARK3" s="11"/>
      <c r="ARL3" s="11"/>
      <c r="ARM3" s="11"/>
      <c r="ARN3" s="11"/>
      <c r="ARO3" s="11"/>
      <c r="ARP3" s="11"/>
      <c r="ARQ3" s="11"/>
      <c r="ARR3" s="11"/>
      <c r="ARS3" s="11"/>
      <c r="ART3" s="11"/>
      <c r="ARU3" s="11"/>
      <c r="ARV3" s="11"/>
      <c r="ARW3" s="11"/>
      <c r="ARX3" s="11"/>
      <c r="ARY3" s="11"/>
      <c r="ARZ3" s="11"/>
      <c r="ASA3" s="11"/>
      <c r="ASB3" s="11"/>
      <c r="ASC3" s="11"/>
      <c r="ASD3" s="11"/>
      <c r="ASE3" s="11"/>
      <c r="ASF3" s="11"/>
      <c r="ASG3" s="11"/>
      <c r="ASH3" s="11"/>
      <c r="ASI3" s="11"/>
      <c r="ASJ3" s="11"/>
      <c r="ASK3" s="11"/>
      <c r="ASL3" s="11"/>
      <c r="ASM3" s="11"/>
      <c r="ASN3" s="11"/>
      <c r="ASO3" s="11"/>
      <c r="ASP3" s="11"/>
      <c r="ASQ3" s="11"/>
      <c r="ASR3" s="11"/>
      <c r="ASS3" s="11"/>
      <c r="AST3" s="11"/>
      <c r="ASU3" s="11"/>
      <c r="ASV3" s="11"/>
      <c r="ASW3" s="11"/>
      <c r="ASX3" s="11"/>
      <c r="ASY3" s="11"/>
      <c r="ASZ3" s="11"/>
      <c r="ATA3" s="11"/>
      <c r="ATB3" s="11"/>
      <c r="ATC3" s="11"/>
      <c r="ATD3" s="11"/>
      <c r="ATE3" s="11"/>
      <c r="ATF3" s="11"/>
      <c r="ATG3" s="11"/>
      <c r="ATH3" s="11"/>
      <c r="ATI3" s="11"/>
      <c r="ATJ3" s="11"/>
      <c r="ATK3" s="11"/>
      <c r="ATL3" s="11"/>
      <c r="ATM3" s="11"/>
      <c r="ATN3" s="11"/>
      <c r="ATO3" s="11"/>
      <c r="ATP3" s="11"/>
      <c r="ATQ3" s="11"/>
      <c r="ATR3" s="11"/>
      <c r="ATS3" s="11"/>
      <c r="ATT3" s="11"/>
      <c r="ATU3" s="11"/>
      <c r="ATV3" s="11"/>
      <c r="ATW3" s="11"/>
      <c r="ATX3" s="11"/>
      <c r="ATY3" s="11"/>
      <c r="ATZ3" s="11"/>
      <c r="AUA3" s="11"/>
      <c r="AUB3" s="11"/>
      <c r="AUC3" s="11"/>
      <c r="AUD3" s="11"/>
      <c r="AUE3" s="11"/>
      <c r="AUF3" s="11"/>
      <c r="AUG3" s="11"/>
      <c r="AUH3" s="11"/>
      <c r="AUI3" s="11"/>
      <c r="AUJ3" s="11"/>
      <c r="AUK3" s="11"/>
      <c r="AUL3" s="11"/>
      <c r="AUM3" s="11"/>
      <c r="AUN3" s="11"/>
      <c r="AUO3" s="11"/>
      <c r="AUP3" s="11"/>
      <c r="AUQ3" s="11"/>
      <c r="AUR3" s="11"/>
      <c r="AUS3" s="11"/>
      <c r="AUT3" s="11"/>
      <c r="AUU3" s="11"/>
      <c r="AUV3" s="11"/>
      <c r="AUW3" s="11"/>
      <c r="AUX3" s="11"/>
      <c r="AUY3" s="11"/>
      <c r="AUZ3" s="11"/>
      <c r="AVA3" s="11"/>
      <c r="AVB3" s="11"/>
      <c r="AVC3" s="11"/>
      <c r="AVD3" s="11"/>
      <c r="AVE3" s="11"/>
      <c r="AVF3" s="11"/>
      <c r="AVG3" s="11"/>
      <c r="AVH3" s="11"/>
      <c r="AVI3" s="11"/>
      <c r="AVJ3" s="11"/>
      <c r="AVK3" s="11"/>
      <c r="AVL3" s="11"/>
      <c r="AVM3" s="11"/>
      <c r="AVN3" s="11"/>
      <c r="AVO3" s="11"/>
      <c r="AVP3" s="11"/>
      <c r="AVQ3" s="11"/>
      <c r="AVR3" s="11"/>
      <c r="AVS3" s="11"/>
      <c r="AVT3" s="11"/>
      <c r="AVU3" s="11"/>
      <c r="AVV3" s="11"/>
      <c r="AVW3" s="11"/>
      <c r="AVX3" s="11"/>
      <c r="AVY3" s="11"/>
      <c r="AVZ3" s="11"/>
      <c r="AWA3" s="11"/>
      <c r="AWB3" s="11"/>
      <c r="AWC3" s="11"/>
      <c r="AWD3" s="11"/>
      <c r="AWE3" s="11"/>
      <c r="AWF3" s="11"/>
      <c r="AWG3" s="11"/>
      <c r="AWH3" s="11"/>
      <c r="AWI3" s="11"/>
      <c r="AWJ3" s="11"/>
      <c r="AWK3" s="11"/>
      <c r="AWL3" s="11"/>
      <c r="AWM3" s="11"/>
      <c r="AWN3" s="11"/>
      <c r="AWO3" s="11"/>
      <c r="AWP3" s="11"/>
      <c r="AWQ3" s="11"/>
      <c r="AWR3" s="11"/>
      <c r="AWS3" s="11"/>
      <c r="AWT3" s="11"/>
      <c r="AWU3" s="11"/>
      <c r="AWV3" s="11"/>
      <c r="AWW3" s="11"/>
      <c r="AWX3" s="11"/>
      <c r="AWY3" s="11"/>
      <c r="AWZ3" s="11"/>
      <c r="AXA3" s="11"/>
      <c r="AXB3" s="11"/>
      <c r="AXC3" s="11"/>
      <c r="AXD3" s="11"/>
      <c r="AXE3" s="11"/>
      <c r="AXF3" s="11"/>
      <c r="AXG3" s="11"/>
      <c r="AXH3" s="11"/>
      <c r="AXI3" s="11"/>
      <c r="AXJ3" s="11"/>
      <c r="AXK3" s="11"/>
      <c r="AXL3" s="11"/>
      <c r="AXM3" s="11"/>
      <c r="AXN3" s="11"/>
      <c r="AXO3" s="11"/>
      <c r="AXP3" s="11"/>
      <c r="AXQ3" s="11"/>
      <c r="AXR3" s="11"/>
      <c r="AXS3" s="11"/>
      <c r="AXT3" s="11"/>
      <c r="AXU3" s="11"/>
      <c r="AXV3" s="11"/>
      <c r="AXW3" s="11"/>
      <c r="AXX3" s="11"/>
      <c r="AXY3" s="11"/>
      <c r="AXZ3" s="11"/>
      <c r="AYA3" s="11"/>
      <c r="AYB3" s="11"/>
      <c r="AYC3" s="11"/>
      <c r="AYD3" s="11"/>
      <c r="AYE3" s="11"/>
      <c r="AYF3" s="11"/>
      <c r="AYG3" s="11"/>
      <c r="AYH3" s="11"/>
      <c r="AYI3" s="11"/>
      <c r="AYJ3" s="11"/>
      <c r="AYK3" s="11"/>
      <c r="AYL3" s="11"/>
      <c r="AYM3" s="11"/>
      <c r="AYN3" s="11"/>
      <c r="AYO3" s="11"/>
      <c r="AYP3" s="11"/>
      <c r="AYQ3" s="11"/>
      <c r="AYR3" s="11"/>
      <c r="AYS3" s="11"/>
      <c r="AYT3" s="11"/>
      <c r="AYU3" s="11"/>
      <c r="AYV3" s="11"/>
      <c r="AYW3" s="11"/>
      <c r="AYX3" s="11"/>
      <c r="AYY3" s="11"/>
      <c r="AYZ3" s="11"/>
      <c r="AZA3" s="11"/>
      <c r="AZB3" s="11"/>
      <c r="AZC3" s="11"/>
      <c r="AZD3" s="11"/>
      <c r="AZE3" s="11"/>
      <c r="AZF3" s="11"/>
    </row>
    <row r="4" spans="1:1358" ht="14.4" x14ac:dyDescent="0.3">
      <c r="A4" s="14">
        <v>1</v>
      </c>
      <c r="B4" s="15" t="s">
        <v>109</v>
      </c>
      <c r="C4" s="10">
        <v>9</v>
      </c>
      <c r="D4" s="10">
        <v>25</v>
      </c>
      <c r="E4" s="16">
        <v>365</v>
      </c>
      <c r="F4" s="21">
        <v>4.4000000000000003E-3</v>
      </c>
      <c r="G4" s="10">
        <v>1500</v>
      </c>
      <c r="H4" s="13">
        <v>3.0000000000000001E-3</v>
      </c>
      <c r="I4" s="18">
        <v>10950</v>
      </c>
      <c r="J4" s="20">
        <v>9</v>
      </c>
      <c r="K4" s="19">
        <f>(F4*G4*E4*J4)/(D4*I4)</f>
        <v>7.9200000000000007E-2</v>
      </c>
      <c r="L4" s="2">
        <f t="shared" ref="L4:L45" si="0">(F4*G4*E4*5)/(D4*I4)</f>
        <v>4.3999999999999997E-2</v>
      </c>
      <c r="M4" s="2">
        <f t="shared" ref="M4:M67" si="1">(F4*G4*E4*10)/(D4*I4)</f>
        <v>8.7999999999999995E-2</v>
      </c>
      <c r="N4" s="2">
        <f t="shared" ref="N4:N67" si="2">(F4*G4*E4*15)/(D4*I4)</f>
        <v>0.13200000000000001</v>
      </c>
      <c r="O4" s="2">
        <f t="shared" ref="O4:O67" si="3">(F4*G4*E4*20)/(D4*I4)</f>
        <v>0.17599999999999999</v>
      </c>
      <c r="P4" s="2">
        <f t="shared" ref="P4:P67" si="4">(F4*G4*E4*25)/(D4*I4)</f>
        <v>0.22</v>
      </c>
      <c r="Q4" s="2">
        <f t="shared" ref="Q4:Q67" si="5">(F4*G4*E4*30)/(D4*I4)</f>
        <v>0.26400000000000001</v>
      </c>
      <c r="R4" s="2">
        <f t="shared" ref="R4:R67" si="6">K4/H4</f>
        <v>26.400000000000002</v>
      </c>
      <c r="S4" s="2">
        <f t="shared" ref="S4:S42" si="7">L4/H4</f>
        <v>14.666666666666666</v>
      </c>
      <c r="T4" s="2">
        <f t="shared" ref="T4:T67" si="8">M4/H4</f>
        <v>29.333333333333332</v>
      </c>
      <c r="U4" s="2">
        <f t="shared" ref="U4:U43" si="9">N4/H4</f>
        <v>44</v>
      </c>
      <c r="V4" s="2">
        <f t="shared" ref="V4:V43" si="10">O4/H4</f>
        <v>58.666666666666664</v>
      </c>
      <c r="W4" s="2">
        <f t="shared" ref="W4:W43" si="11">P4/H4</f>
        <v>73.333333333333329</v>
      </c>
      <c r="X4" s="2">
        <f t="shared" ref="X4:X43" si="12">Q4/H4</f>
        <v>88</v>
      </c>
      <c r="Y4" s="5" t="str">
        <f t="shared" ref="Y4:AE28" si="13">IF(R4&gt;1,"1","2")</f>
        <v>1</v>
      </c>
      <c r="Z4" s="5" t="str">
        <f t="shared" si="13"/>
        <v>1</v>
      </c>
      <c r="AA4" s="5" t="str">
        <f t="shared" si="13"/>
        <v>1</v>
      </c>
      <c r="AB4" s="5" t="str">
        <f t="shared" si="13"/>
        <v>1</v>
      </c>
      <c r="AC4" s="5" t="str">
        <f t="shared" si="13"/>
        <v>1</v>
      </c>
      <c r="AD4" s="5" t="str">
        <f t="shared" si="13"/>
        <v>1</v>
      </c>
      <c r="AE4" s="5" t="str">
        <f t="shared" si="13"/>
        <v>1</v>
      </c>
    </row>
    <row r="5" spans="1:1358" ht="14.4" x14ac:dyDescent="0.3">
      <c r="A5" s="14">
        <v>2</v>
      </c>
      <c r="B5" s="15" t="s">
        <v>110</v>
      </c>
      <c r="C5" s="10">
        <v>9</v>
      </c>
      <c r="D5" s="10">
        <v>25</v>
      </c>
      <c r="E5" s="16">
        <v>365</v>
      </c>
      <c r="F5" s="21">
        <v>8.9999999999999998E-4</v>
      </c>
      <c r="G5" s="10">
        <v>900</v>
      </c>
      <c r="H5" s="13">
        <v>3.0000000000000001E-3</v>
      </c>
      <c r="I5" s="18">
        <v>10950</v>
      </c>
      <c r="J5" s="20">
        <v>9</v>
      </c>
      <c r="K5" s="19">
        <f t="shared" ref="K4:K67" si="14">(F5*G5*E5*J5)/(D5*I5)</f>
        <v>9.7199999999999995E-3</v>
      </c>
      <c r="L5" s="2">
        <f t="shared" si="0"/>
        <v>5.4000000000000003E-3</v>
      </c>
      <c r="M5" s="2">
        <f t="shared" si="1"/>
        <v>1.0800000000000001E-2</v>
      </c>
      <c r="N5" s="2">
        <f t="shared" si="2"/>
        <v>1.6199999999999999E-2</v>
      </c>
      <c r="O5" s="2">
        <f t="shared" si="3"/>
        <v>2.1600000000000001E-2</v>
      </c>
      <c r="P5" s="2">
        <f t="shared" si="4"/>
        <v>2.6999999999999996E-2</v>
      </c>
      <c r="Q5" s="2">
        <f t="shared" si="5"/>
        <v>3.2399999999999998E-2</v>
      </c>
      <c r="R5" s="2">
        <f t="shared" si="6"/>
        <v>3.2399999999999998</v>
      </c>
      <c r="S5" s="2">
        <f t="shared" si="7"/>
        <v>1.8</v>
      </c>
      <c r="T5" s="2">
        <f t="shared" si="8"/>
        <v>3.6</v>
      </c>
      <c r="U5" s="2">
        <f t="shared" si="9"/>
        <v>5.3999999999999995</v>
      </c>
      <c r="V5" s="2">
        <f t="shared" si="10"/>
        <v>7.2</v>
      </c>
      <c r="W5" s="2">
        <f t="shared" si="11"/>
        <v>8.9999999999999982</v>
      </c>
      <c r="X5" s="2">
        <f t="shared" si="12"/>
        <v>10.799999999999999</v>
      </c>
      <c r="Y5" s="5" t="str">
        <f t="shared" si="13"/>
        <v>1</v>
      </c>
      <c r="Z5" s="5" t="str">
        <f t="shared" si="13"/>
        <v>1</v>
      </c>
      <c r="AA5" s="5" t="str">
        <f t="shared" si="13"/>
        <v>1</v>
      </c>
      <c r="AB5" s="5" t="str">
        <f t="shared" si="13"/>
        <v>1</v>
      </c>
      <c r="AC5" s="5" t="str">
        <f t="shared" si="13"/>
        <v>1</v>
      </c>
      <c r="AD5" s="5" t="str">
        <f t="shared" si="13"/>
        <v>1</v>
      </c>
      <c r="AE5" s="5" t="str">
        <f t="shared" si="13"/>
        <v>1</v>
      </c>
    </row>
    <row r="6" spans="1:1358" ht="14.4" x14ac:dyDescent="0.3">
      <c r="A6" s="14">
        <v>3</v>
      </c>
      <c r="B6" s="15" t="s">
        <v>111</v>
      </c>
      <c r="C6" s="10">
        <v>9</v>
      </c>
      <c r="D6" s="10">
        <v>25</v>
      </c>
      <c r="E6" s="16">
        <v>365</v>
      </c>
      <c r="F6" s="21">
        <v>2.0000000000000001E-4</v>
      </c>
      <c r="G6" s="10">
        <v>900</v>
      </c>
      <c r="H6" s="13">
        <v>3.0000000000000001E-3</v>
      </c>
      <c r="I6" s="18">
        <v>10950</v>
      </c>
      <c r="J6" s="20">
        <v>9</v>
      </c>
      <c r="K6" s="19">
        <f t="shared" si="14"/>
        <v>2.1600000000000005E-3</v>
      </c>
      <c r="L6" s="2">
        <f t="shared" si="0"/>
        <v>1.1999999999999999E-3</v>
      </c>
      <c r="M6" s="2">
        <f t="shared" si="1"/>
        <v>2.3999999999999998E-3</v>
      </c>
      <c r="N6" s="2">
        <f t="shared" si="2"/>
        <v>3.5999999999999999E-3</v>
      </c>
      <c r="O6" s="2">
        <f t="shared" si="3"/>
        <v>4.7999999999999996E-3</v>
      </c>
      <c r="P6" s="2">
        <f t="shared" si="4"/>
        <v>6.0000000000000001E-3</v>
      </c>
      <c r="Q6" s="2">
        <f t="shared" si="5"/>
        <v>7.1999999999999998E-3</v>
      </c>
      <c r="R6" s="2">
        <f t="shared" si="6"/>
        <v>0.72000000000000008</v>
      </c>
      <c r="S6" s="2">
        <f t="shared" si="7"/>
        <v>0.39999999999999997</v>
      </c>
      <c r="T6" s="2">
        <f t="shared" si="8"/>
        <v>0.79999999999999993</v>
      </c>
      <c r="U6" s="2">
        <f t="shared" si="9"/>
        <v>1.2</v>
      </c>
      <c r="V6" s="2">
        <f t="shared" si="10"/>
        <v>1.5999999999999999</v>
      </c>
      <c r="W6" s="2">
        <f t="shared" si="11"/>
        <v>2</v>
      </c>
      <c r="X6" s="2">
        <f t="shared" si="12"/>
        <v>2.4</v>
      </c>
      <c r="Y6" s="5" t="str">
        <f t="shared" si="13"/>
        <v>2</v>
      </c>
      <c r="Z6" s="5" t="str">
        <f t="shared" si="13"/>
        <v>2</v>
      </c>
      <c r="AA6" s="5" t="str">
        <f t="shared" si="13"/>
        <v>2</v>
      </c>
      <c r="AB6" s="5" t="str">
        <f t="shared" si="13"/>
        <v>1</v>
      </c>
      <c r="AC6" s="5" t="str">
        <f t="shared" si="13"/>
        <v>1</v>
      </c>
      <c r="AD6" s="5" t="str">
        <f t="shared" si="13"/>
        <v>1</v>
      </c>
      <c r="AE6" s="5" t="str">
        <f t="shared" si="13"/>
        <v>1</v>
      </c>
    </row>
    <row r="7" spans="1:1358" ht="14.4" x14ac:dyDescent="0.3">
      <c r="A7" s="14">
        <v>4</v>
      </c>
      <c r="B7" s="15" t="s">
        <v>112</v>
      </c>
      <c r="C7" s="10">
        <v>9</v>
      </c>
      <c r="D7" s="10">
        <v>23</v>
      </c>
      <c r="E7" s="16">
        <v>365</v>
      </c>
      <c r="F7" s="21">
        <v>2.9999999999999997E-4</v>
      </c>
      <c r="G7" s="10">
        <v>1500</v>
      </c>
      <c r="H7" s="13">
        <v>3.0000000000000001E-3</v>
      </c>
      <c r="I7" s="18">
        <v>10950</v>
      </c>
      <c r="J7" s="20">
        <v>9</v>
      </c>
      <c r="K7" s="19">
        <f t="shared" si="14"/>
        <v>5.8695652173913031E-3</v>
      </c>
      <c r="L7" s="2">
        <f t="shared" si="0"/>
        <v>3.2608695652173907E-3</v>
      </c>
      <c r="M7" s="2">
        <f t="shared" si="1"/>
        <v>6.5217391304347814E-3</v>
      </c>
      <c r="N7" s="2">
        <f t="shared" si="2"/>
        <v>9.7826086956521729E-3</v>
      </c>
      <c r="O7" s="2">
        <f t="shared" si="3"/>
        <v>1.3043478260869563E-2</v>
      </c>
      <c r="P7" s="2">
        <f t="shared" si="4"/>
        <v>1.6304347826086953E-2</v>
      </c>
      <c r="Q7" s="2">
        <f t="shared" si="5"/>
        <v>1.9565217391304346E-2</v>
      </c>
      <c r="R7" s="2">
        <f t="shared" si="6"/>
        <v>1.9565217391304344</v>
      </c>
      <c r="S7" s="2">
        <f t="shared" si="7"/>
        <v>1.0869565217391302</v>
      </c>
      <c r="T7" s="2">
        <f t="shared" si="8"/>
        <v>2.1739130434782603</v>
      </c>
      <c r="U7" s="2">
        <f t="shared" si="9"/>
        <v>3.2608695652173911</v>
      </c>
      <c r="V7" s="2">
        <f t="shared" si="10"/>
        <v>4.3478260869565206</v>
      </c>
      <c r="W7" s="2">
        <f t="shared" si="11"/>
        <v>5.4347826086956506</v>
      </c>
      <c r="X7" s="2">
        <f t="shared" si="12"/>
        <v>6.5217391304347823</v>
      </c>
      <c r="Y7" s="5" t="str">
        <f t="shared" si="13"/>
        <v>1</v>
      </c>
      <c r="Z7" s="5" t="str">
        <f t="shared" si="13"/>
        <v>1</v>
      </c>
      <c r="AA7" s="5" t="str">
        <f t="shared" si="13"/>
        <v>1</v>
      </c>
      <c r="AB7" s="5" t="str">
        <f t="shared" si="13"/>
        <v>1</v>
      </c>
      <c r="AC7" s="5" t="str">
        <f t="shared" si="13"/>
        <v>1</v>
      </c>
      <c r="AD7" s="5" t="str">
        <f t="shared" si="13"/>
        <v>1</v>
      </c>
      <c r="AE7" s="5" t="str">
        <f t="shared" si="13"/>
        <v>1</v>
      </c>
    </row>
    <row r="8" spans="1:1358" ht="14.4" x14ac:dyDescent="0.3">
      <c r="A8" s="14">
        <v>5</v>
      </c>
      <c r="B8" s="15" t="s">
        <v>113</v>
      </c>
      <c r="C8" s="10">
        <v>9</v>
      </c>
      <c r="D8" s="10">
        <v>20</v>
      </c>
      <c r="E8" s="16">
        <v>365</v>
      </c>
      <c r="F8" s="21">
        <v>2.9999999999999997E-4</v>
      </c>
      <c r="G8" s="10">
        <v>2100</v>
      </c>
      <c r="H8" s="13">
        <v>3.0000000000000001E-3</v>
      </c>
      <c r="I8" s="18">
        <v>10950</v>
      </c>
      <c r="J8" s="20">
        <v>9</v>
      </c>
      <c r="K8" s="19">
        <f t="shared" si="14"/>
        <v>9.4499999999999983E-3</v>
      </c>
      <c r="L8" s="2">
        <f t="shared" si="0"/>
        <v>5.2499999999999986E-3</v>
      </c>
      <c r="M8" s="2">
        <f t="shared" si="1"/>
        <v>1.0499999999999997E-2</v>
      </c>
      <c r="N8" s="2">
        <f t="shared" si="2"/>
        <v>1.5749999999999997E-2</v>
      </c>
      <c r="O8" s="2">
        <f t="shared" si="3"/>
        <v>2.0999999999999994E-2</v>
      </c>
      <c r="P8" s="2">
        <f t="shared" si="4"/>
        <v>2.6249999999999996E-2</v>
      </c>
      <c r="Q8" s="2">
        <f t="shared" si="5"/>
        <v>3.1499999999999993E-2</v>
      </c>
      <c r="R8" s="2">
        <f t="shared" si="6"/>
        <v>3.1499999999999995</v>
      </c>
      <c r="S8" s="2">
        <f t="shared" si="7"/>
        <v>1.7499999999999996</v>
      </c>
      <c r="T8" s="2">
        <f t="shared" si="8"/>
        <v>3.4999999999999991</v>
      </c>
      <c r="U8" s="2">
        <f t="shared" si="9"/>
        <v>5.2499999999999991</v>
      </c>
      <c r="V8" s="2">
        <f t="shared" si="10"/>
        <v>6.9999999999999982</v>
      </c>
      <c r="W8" s="2">
        <f t="shared" si="11"/>
        <v>8.7499999999999982</v>
      </c>
      <c r="X8" s="2">
        <f t="shared" si="12"/>
        <v>10.499999999999998</v>
      </c>
      <c r="Y8" s="5" t="str">
        <f t="shared" si="13"/>
        <v>1</v>
      </c>
      <c r="Z8" s="5" t="str">
        <f t="shared" si="13"/>
        <v>1</v>
      </c>
      <c r="AA8" s="5" t="str">
        <f t="shared" si="13"/>
        <v>1</v>
      </c>
      <c r="AB8" s="5" t="str">
        <f t="shared" si="13"/>
        <v>1</v>
      </c>
      <c r="AC8" s="5" t="str">
        <f t="shared" si="13"/>
        <v>1</v>
      </c>
      <c r="AD8" s="5" t="str">
        <f t="shared" si="13"/>
        <v>1</v>
      </c>
      <c r="AE8" s="5" t="str">
        <f t="shared" si="13"/>
        <v>1</v>
      </c>
    </row>
    <row r="9" spans="1:1358" ht="14.4" x14ac:dyDescent="0.3">
      <c r="A9" s="14">
        <v>6</v>
      </c>
      <c r="B9" s="15" t="s">
        <v>114</v>
      </c>
      <c r="C9" s="10">
        <v>9</v>
      </c>
      <c r="D9" s="10">
        <v>40</v>
      </c>
      <c r="E9" s="16">
        <v>365</v>
      </c>
      <c r="F9" s="21">
        <v>9.7999999999999997E-3</v>
      </c>
      <c r="G9" s="10">
        <v>900</v>
      </c>
      <c r="H9" s="13">
        <v>3.0000000000000001E-3</v>
      </c>
      <c r="I9" s="18">
        <v>10950</v>
      </c>
      <c r="J9" s="20">
        <v>5</v>
      </c>
      <c r="K9" s="19">
        <f t="shared" si="14"/>
        <v>3.6749999999999998E-2</v>
      </c>
      <c r="L9" s="2">
        <f t="shared" si="0"/>
        <v>3.6749999999999998E-2</v>
      </c>
      <c r="M9" s="2">
        <f t="shared" si="1"/>
        <v>7.3499999999999996E-2</v>
      </c>
      <c r="N9" s="2">
        <f t="shared" si="2"/>
        <v>0.11025</v>
      </c>
      <c r="O9" s="2">
        <f t="shared" si="3"/>
        <v>0.14699999999999999</v>
      </c>
      <c r="P9" s="2">
        <f t="shared" si="4"/>
        <v>0.18375</v>
      </c>
      <c r="Q9" s="2">
        <f t="shared" si="5"/>
        <v>0.2205</v>
      </c>
      <c r="R9" s="2">
        <f t="shared" si="6"/>
        <v>12.249999999999998</v>
      </c>
      <c r="S9" s="2">
        <f t="shared" si="7"/>
        <v>12.249999999999998</v>
      </c>
      <c r="T9" s="2">
        <f t="shared" si="8"/>
        <v>24.499999999999996</v>
      </c>
      <c r="U9" s="2">
        <f t="shared" si="9"/>
        <v>36.75</v>
      </c>
      <c r="V9" s="2">
        <f t="shared" si="10"/>
        <v>48.999999999999993</v>
      </c>
      <c r="W9" s="2">
        <f t="shared" si="11"/>
        <v>61.25</v>
      </c>
      <c r="X9" s="2">
        <f t="shared" si="12"/>
        <v>73.5</v>
      </c>
      <c r="Y9" s="5" t="str">
        <f t="shared" si="13"/>
        <v>1</v>
      </c>
      <c r="Z9" s="5" t="str">
        <f t="shared" si="13"/>
        <v>1</v>
      </c>
      <c r="AA9" s="5" t="str">
        <f t="shared" si="13"/>
        <v>1</v>
      </c>
      <c r="AB9" s="5" t="str">
        <f t="shared" si="13"/>
        <v>1</v>
      </c>
      <c r="AC9" s="5" t="str">
        <f t="shared" si="13"/>
        <v>1</v>
      </c>
      <c r="AD9" s="5" t="str">
        <f t="shared" si="13"/>
        <v>1</v>
      </c>
      <c r="AE9" s="5" t="str">
        <f t="shared" si="13"/>
        <v>1</v>
      </c>
    </row>
    <row r="10" spans="1:1358" ht="14.4" x14ac:dyDescent="0.3">
      <c r="A10" s="14">
        <v>7</v>
      </c>
      <c r="B10" s="15" t="s">
        <v>115</v>
      </c>
      <c r="C10" s="10">
        <v>9</v>
      </c>
      <c r="D10" s="10">
        <v>22</v>
      </c>
      <c r="E10" s="16">
        <v>365</v>
      </c>
      <c r="F10" s="21">
        <v>1.9900000000000001E-2</v>
      </c>
      <c r="G10" s="10">
        <v>900</v>
      </c>
      <c r="H10" s="13">
        <v>3.0000000000000001E-3</v>
      </c>
      <c r="I10" s="18">
        <v>10950</v>
      </c>
      <c r="J10" s="20">
        <v>9</v>
      </c>
      <c r="K10" s="19">
        <f t="shared" si="14"/>
        <v>0.24422727272727271</v>
      </c>
      <c r="L10" s="2">
        <f t="shared" si="0"/>
        <v>0.13568181818181818</v>
      </c>
      <c r="M10" s="2">
        <f t="shared" si="1"/>
        <v>0.27136363636363636</v>
      </c>
      <c r="N10" s="2">
        <f t="shared" si="2"/>
        <v>0.40704545454545454</v>
      </c>
      <c r="O10" s="2">
        <f t="shared" si="3"/>
        <v>0.54272727272727272</v>
      </c>
      <c r="P10" s="2">
        <f t="shared" si="4"/>
        <v>0.67840909090909096</v>
      </c>
      <c r="Q10" s="2">
        <f t="shared" si="5"/>
        <v>0.81409090909090909</v>
      </c>
      <c r="R10" s="2">
        <f t="shared" si="6"/>
        <v>81.409090909090907</v>
      </c>
      <c r="S10" s="2">
        <f t="shared" si="7"/>
        <v>45.227272727272727</v>
      </c>
      <c r="T10" s="2">
        <f t="shared" si="8"/>
        <v>90.454545454545453</v>
      </c>
      <c r="U10" s="2">
        <f t="shared" si="9"/>
        <v>135.68181818181819</v>
      </c>
      <c r="V10" s="2">
        <f t="shared" si="10"/>
        <v>180.90909090909091</v>
      </c>
      <c r="W10" s="2">
        <f t="shared" si="11"/>
        <v>226.13636363636365</v>
      </c>
      <c r="X10" s="2">
        <f t="shared" si="12"/>
        <v>271.36363636363637</v>
      </c>
      <c r="Y10" s="5" t="str">
        <f t="shared" si="13"/>
        <v>1</v>
      </c>
      <c r="Z10" s="5" t="str">
        <f t="shared" si="13"/>
        <v>1</v>
      </c>
      <c r="AA10" s="5" t="str">
        <f t="shared" si="13"/>
        <v>1</v>
      </c>
      <c r="AB10" s="5" t="str">
        <f t="shared" si="13"/>
        <v>1</v>
      </c>
      <c r="AC10" s="5" t="str">
        <f t="shared" si="13"/>
        <v>1</v>
      </c>
      <c r="AD10" s="5" t="str">
        <f t="shared" si="13"/>
        <v>1</v>
      </c>
      <c r="AE10" s="5" t="str">
        <f t="shared" si="13"/>
        <v>1</v>
      </c>
    </row>
    <row r="11" spans="1:1358" ht="14.4" x14ac:dyDescent="0.3">
      <c r="A11" s="14">
        <v>8</v>
      </c>
      <c r="B11" s="15" t="s">
        <v>116</v>
      </c>
      <c r="C11" s="10">
        <v>9</v>
      </c>
      <c r="D11" s="10">
        <v>20</v>
      </c>
      <c r="E11" s="16">
        <v>365</v>
      </c>
      <c r="F11" s="21">
        <v>1.9900000000000001E-2</v>
      </c>
      <c r="G11" s="10">
        <v>900</v>
      </c>
      <c r="H11" s="13">
        <v>3.0000000000000001E-3</v>
      </c>
      <c r="I11" s="18">
        <v>10950</v>
      </c>
      <c r="J11" s="20">
        <v>6</v>
      </c>
      <c r="K11" s="19">
        <f t="shared" si="14"/>
        <v>0.17909999999999998</v>
      </c>
      <c r="L11" s="2">
        <f t="shared" si="0"/>
        <v>0.14924999999999999</v>
      </c>
      <c r="M11" s="2">
        <f t="shared" si="1"/>
        <v>0.29849999999999999</v>
      </c>
      <c r="N11" s="2">
        <f t="shared" si="2"/>
        <v>0.44774999999999998</v>
      </c>
      <c r="O11" s="2">
        <f t="shared" si="3"/>
        <v>0.59699999999999998</v>
      </c>
      <c r="P11" s="2">
        <f t="shared" si="4"/>
        <v>0.74624999999999997</v>
      </c>
      <c r="Q11" s="2">
        <f t="shared" si="5"/>
        <v>0.89549999999999996</v>
      </c>
      <c r="R11" s="2">
        <f t="shared" si="6"/>
        <v>59.699999999999996</v>
      </c>
      <c r="S11" s="2">
        <f t="shared" si="7"/>
        <v>49.75</v>
      </c>
      <c r="T11" s="2">
        <f t="shared" si="8"/>
        <v>99.5</v>
      </c>
      <c r="U11" s="2">
        <f t="shared" si="9"/>
        <v>149.25</v>
      </c>
      <c r="V11" s="2">
        <f t="shared" si="10"/>
        <v>199</v>
      </c>
      <c r="W11" s="2">
        <f t="shared" si="11"/>
        <v>248.74999999999997</v>
      </c>
      <c r="X11" s="2">
        <f t="shared" si="12"/>
        <v>298.5</v>
      </c>
      <c r="Y11" s="5" t="str">
        <f t="shared" si="13"/>
        <v>1</v>
      </c>
      <c r="Z11" s="5" t="str">
        <f t="shared" si="13"/>
        <v>1</v>
      </c>
      <c r="AA11" s="5" t="str">
        <f t="shared" si="13"/>
        <v>1</v>
      </c>
      <c r="AB11" s="5" t="str">
        <f t="shared" si="13"/>
        <v>1</v>
      </c>
      <c r="AC11" s="5" t="str">
        <f t="shared" si="13"/>
        <v>1</v>
      </c>
      <c r="AD11" s="5" t="str">
        <f t="shared" si="13"/>
        <v>1</v>
      </c>
      <c r="AE11" s="5" t="str">
        <f t="shared" si="13"/>
        <v>1</v>
      </c>
    </row>
    <row r="12" spans="1:1358" ht="14.4" x14ac:dyDescent="0.3">
      <c r="A12" s="14">
        <v>9</v>
      </c>
      <c r="B12" s="15" t="s">
        <v>117</v>
      </c>
      <c r="C12" s="10">
        <v>9</v>
      </c>
      <c r="D12" s="10">
        <v>39</v>
      </c>
      <c r="E12" s="16">
        <v>365</v>
      </c>
      <c r="F12" s="21">
        <v>1.9900000000000001E-2</v>
      </c>
      <c r="G12" s="10">
        <v>900</v>
      </c>
      <c r="H12" s="13">
        <v>3.0000000000000001E-3</v>
      </c>
      <c r="I12" s="18">
        <v>10950</v>
      </c>
      <c r="J12" s="20">
        <v>1</v>
      </c>
      <c r="K12" s="19">
        <f t="shared" si="14"/>
        <v>1.5307692307692307E-2</v>
      </c>
      <c r="L12" s="2">
        <f t="shared" si="0"/>
        <v>7.6538461538461541E-2</v>
      </c>
      <c r="M12" s="2">
        <f t="shared" si="1"/>
        <v>0.15307692307692308</v>
      </c>
      <c r="N12" s="2">
        <f t="shared" si="2"/>
        <v>0.22961538461538461</v>
      </c>
      <c r="O12" s="2">
        <f t="shared" si="3"/>
        <v>0.30615384615384617</v>
      </c>
      <c r="P12" s="2">
        <f t="shared" si="4"/>
        <v>0.38269230769230766</v>
      </c>
      <c r="Q12" s="2">
        <f t="shared" si="5"/>
        <v>0.45923076923076922</v>
      </c>
      <c r="R12" s="2">
        <f t="shared" si="6"/>
        <v>5.1025641025641022</v>
      </c>
      <c r="S12" s="2">
        <f t="shared" si="7"/>
        <v>25.512820512820515</v>
      </c>
      <c r="T12" s="2">
        <f t="shared" si="8"/>
        <v>51.025641025641029</v>
      </c>
      <c r="U12" s="2">
        <f t="shared" si="9"/>
        <v>76.538461538461533</v>
      </c>
      <c r="V12" s="2">
        <f t="shared" si="10"/>
        <v>102.05128205128206</v>
      </c>
      <c r="W12" s="2">
        <f t="shared" si="11"/>
        <v>127.56410256410255</v>
      </c>
      <c r="X12" s="2">
        <f t="shared" si="12"/>
        <v>153.07692307692307</v>
      </c>
      <c r="Y12" s="5" t="str">
        <f t="shared" si="13"/>
        <v>1</v>
      </c>
      <c r="Z12" s="5" t="str">
        <f t="shared" si="13"/>
        <v>1</v>
      </c>
      <c r="AA12" s="5" t="str">
        <f t="shared" si="13"/>
        <v>1</v>
      </c>
      <c r="AB12" s="5" t="str">
        <f t="shared" si="13"/>
        <v>1</v>
      </c>
      <c r="AC12" s="5" t="str">
        <f t="shared" si="13"/>
        <v>1</v>
      </c>
      <c r="AD12" s="5" t="str">
        <f t="shared" si="13"/>
        <v>1</v>
      </c>
      <c r="AE12" s="5" t="str">
        <f t="shared" si="13"/>
        <v>1</v>
      </c>
    </row>
    <row r="13" spans="1:1358" ht="14.4" x14ac:dyDescent="0.3">
      <c r="A13" s="14">
        <v>10</v>
      </c>
      <c r="B13" s="15" t="s">
        <v>118</v>
      </c>
      <c r="C13" s="10">
        <v>9</v>
      </c>
      <c r="D13" s="10">
        <v>26</v>
      </c>
      <c r="E13" s="16">
        <v>365</v>
      </c>
      <c r="F13" s="21">
        <v>1.9900000000000001E-2</v>
      </c>
      <c r="G13" s="10">
        <v>900</v>
      </c>
      <c r="H13" s="13">
        <v>3.0000000000000001E-3</v>
      </c>
      <c r="I13" s="18">
        <v>10950</v>
      </c>
      <c r="J13" s="20">
        <v>9</v>
      </c>
      <c r="K13" s="19">
        <f t="shared" si="14"/>
        <v>0.20665384615384616</v>
      </c>
      <c r="L13" s="2">
        <f t="shared" si="0"/>
        <v>0.11480769230769231</v>
      </c>
      <c r="M13" s="2">
        <f t="shared" si="1"/>
        <v>0.22961538461538461</v>
      </c>
      <c r="N13" s="2">
        <f t="shared" si="2"/>
        <v>0.34442307692307694</v>
      </c>
      <c r="O13" s="2">
        <f t="shared" si="3"/>
        <v>0.45923076923076922</v>
      </c>
      <c r="P13" s="2">
        <f t="shared" si="4"/>
        <v>0.5740384615384615</v>
      </c>
      <c r="Q13" s="2">
        <f t="shared" si="5"/>
        <v>0.68884615384615389</v>
      </c>
      <c r="R13" s="2">
        <f t="shared" si="6"/>
        <v>68.884615384615387</v>
      </c>
      <c r="S13" s="2">
        <f t="shared" si="7"/>
        <v>38.269230769230766</v>
      </c>
      <c r="T13" s="2">
        <f t="shared" si="8"/>
        <v>76.538461538461533</v>
      </c>
      <c r="U13" s="2">
        <f t="shared" si="9"/>
        <v>114.80769230769231</v>
      </c>
      <c r="V13" s="2">
        <f t="shared" si="10"/>
        <v>153.07692307692307</v>
      </c>
      <c r="W13" s="2">
        <f t="shared" si="11"/>
        <v>191.34615384615384</v>
      </c>
      <c r="X13" s="2">
        <f t="shared" si="12"/>
        <v>229.61538461538461</v>
      </c>
      <c r="Y13" s="5" t="str">
        <f t="shared" si="13"/>
        <v>1</v>
      </c>
      <c r="Z13" s="5" t="str">
        <f t="shared" si="13"/>
        <v>1</v>
      </c>
      <c r="AA13" s="5" t="str">
        <f t="shared" si="13"/>
        <v>1</v>
      </c>
      <c r="AB13" s="5" t="str">
        <f t="shared" si="13"/>
        <v>1</v>
      </c>
      <c r="AC13" s="5" t="str">
        <f t="shared" si="13"/>
        <v>1</v>
      </c>
      <c r="AD13" s="5" t="str">
        <f t="shared" si="13"/>
        <v>1</v>
      </c>
      <c r="AE13" s="5" t="str">
        <f t="shared" si="13"/>
        <v>1</v>
      </c>
    </row>
    <row r="14" spans="1:1358" ht="14.4" x14ac:dyDescent="0.3">
      <c r="A14" s="14">
        <v>11</v>
      </c>
      <c r="B14" s="15" t="s">
        <v>119</v>
      </c>
      <c r="C14" s="10">
        <v>9</v>
      </c>
      <c r="D14" s="10">
        <v>25</v>
      </c>
      <c r="E14" s="16">
        <v>365</v>
      </c>
      <c r="F14" s="21">
        <v>1.9900000000000001E-2</v>
      </c>
      <c r="G14" s="10">
        <v>900</v>
      </c>
      <c r="H14" s="13">
        <v>3.0000000000000001E-3</v>
      </c>
      <c r="I14" s="18">
        <v>10950</v>
      </c>
      <c r="J14" s="20">
        <v>1</v>
      </c>
      <c r="K14" s="19">
        <f t="shared" si="14"/>
        <v>2.3879999999999998E-2</v>
      </c>
      <c r="L14" s="2">
        <f t="shared" si="0"/>
        <v>0.11940000000000001</v>
      </c>
      <c r="M14" s="2">
        <f t="shared" si="1"/>
        <v>0.23880000000000001</v>
      </c>
      <c r="N14" s="2">
        <f t="shared" si="2"/>
        <v>0.35820000000000002</v>
      </c>
      <c r="O14" s="2">
        <f t="shared" si="3"/>
        <v>0.47760000000000002</v>
      </c>
      <c r="P14" s="2">
        <f t="shared" si="4"/>
        <v>0.59699999999999998</v>
      </c>
      <c r="Q14" s="2">
        <f t="shared" si="5"/>
        <v>0.71640000000000004</v>
      </c>
      <c r="R14" s="2">
        <f t="shared" si="6"/>
        <v>7.9599999999999991</v>
      </c>
      <c r="S14" s="2">
        <f t="shared" si="7"/>
        <v>39.800000000000004</v>
      </c>
      <c r="T14" s="2">
        <f t="shared" si="8"/>
        <v>79.600000000000009</v>
      </c>
      <c r="U14" s="2">
        <f t="shared" si="9"/>
        <v>119.4</v>
      </c>
      <c r="V14" s="2">
        <f t="shared" si="10"/>
        <v>159.20000000000002</v>
      </c>
      <c r="W14" s="2">
        <f t="shared" si="11"/>
        <v>199</v>
      </c>
      <c r="X14" s="2">
        <f t="shared" si="12"/>
        <v>238.8</v>
      </c>
      <c r="Y14" s="5" t="str">
        <f t="shared" si="13"/>
        <v>1</v>
      </c>
      <c r="Z14" s="5" t="str">
        <f t="shared" si="13"/>
        <v>1</v>
      </c>
      <c r="AA14" s="5" t="str">
        <f t="shared" si="13"/>
        <v>1</v>
      </c>
      <c r="AB14" s="5" t="str">
        <f t="shared" si="13"/>
        <v>1</v>
      </c>
      <c r="AC14" s="5" t="str">
        <f t="shared" si="13"/>
        <v>1</v>
      </c>
      <c r="AD14" s="5" t="str">
        <f t="shared" si="13"/>
        <v>1</v>
      </c>
      <c r="AE14" s="5" t="str">
        <f t="shared" si="13"/>
        <v>1</v>
      </c>
    </row>
    <row r="15" spans="1:1358" ht="14.4" x14ac:dyDescent="0.3">
      <c r="A15" s="14">
        <v>12</v>
      </c>
      <c r="B15" s="15" t="s">
        <v>120</v>
      </c>
      <c r="C15" s="10">
        <v>9</v>
      </c>
      <c r="D15" s="10">
        <v>32</v>
      </c>
      <c r="E15" s="16">
        <v>365</v>
      </c>
      <c r="F15" s="21">
        <v>3.2000000000000002E-3</v>
      </c>
      <c r="G15" s="10">
        <v>900</v>
      </c>
      <c r="H15" s="13">
        <v>3.0000000000000001E-3</v>
      </c>
      <c r="I15" s="18">
        <v>10950</v>
      </c>
      <c r="J15" s="20">
        <v>9</v>
      </c>
      <c r="K15" s="19">
        <f t="shared" si="14"/>
        <v>2.7000000000000003E-2</v>
      </c>
      <c r="L15" s="2">
        <f t="shared" si="0"/>
        <v>1.4999999999999999E-2</v>
      </c>
      <c r="M15" s="2">
        <f t="shared" si="1"/>
        <v>0.03</v>
      </c>
      <c r="N15" s="2">
        <f t="shared" si="2"/>
        <v>4.4999999999999998E-2</v>
      </c>
      <c r="O15" s="2">
        <f t="shared" si="3"/>
        <v>0.06</v>
      </c>
      <c r="P15" s="2">
        <f t="shared" si="4"/>
        <v>7.4999999999999997E-2</v>
      </c>
      <c r="Q15" s="2">
        <f t="shared" si="5"/>
        <v>0.09</v>
      </c>
      <c r="R15" s="2">
        <f t="shared" si="6"/>
        <v>9</v>
      </c>
      <c r="S15" s="2">
        <f t="shared" si="7"/>
        <v>5</v>
      </c>
      <c r="T15" s="2">
        <f t="shared" si="8"/>
        <v>10</v>
      </c>
      <c r="U15" s="2">
        <f t="shared" si="9"/>
        <v>15</v>
      </c>
      <c r="V15" s="2">
        <f t="shared" si="10"/>
        <v>20</v>
      </c>
      <c r="W15" s="2">
        <f t="shared" si="11"/>
        <v>25</v>
      </c>
      <c r="X15" s="2">
        <f t="shared" si="12"/>
        <v>30</v>
      </c>
      <c r="Y15" s="5" t="str">
        <f t="shared" si="13"/>
        <v>1</v>
      </c>
      <c r="Z15" s="5" t="str">
        <f t="shared" si="13"/>
        <v>1</v>
      </c>
      <c r="AA15" s="5" t="str">
        <f t="shared" si="13"/>
        <v>1</v>
      </c>
      <c r="AB15" s="5" t="str">
        <f t="shared" si="13"/>
        <v>1</v>
      </c>
      <c r="AC15" s="5" t="str">
        <f t="shared" si="13"/>
        <v>1</v>
      </c>
      <c r="AD15" s="5" t="str">
        <f t="shared" si="13"/>
        <v>1</v>
      </c>
      <c r="AE15" s="5" t="str">
        <f t="shared" si="13"/>
        <v>1</v>
      </c>
    </row>
    <row r="16" spans="1:1358" ht="14.4" x14ac:dyDescent="0.3">
      <c r="A16" s="14">
        <v>13</v>
      </c>
      <c r="B16" s="15" t="s">
        <v>121</v>
      </c>
      <c r="C16" s="10">
        <v>9</v>
      </c>
      <c r="D16" s="10">
        <v>24</v>
      </c>
      <c r="E16" s="16">
        <v>365</v>
      </c>
      <c r="F16" s="21">
        <v>1.8E-3</v>
      </c>
      <c r="G16" s="10">
        <v>900</v>
      </c>
      <c r="H16" s="13">
        <v>3.0000000000000001E-3</v>
      </c>
      <c r="I16" s="18">
        <v>10950</v>
      </c>
      <c r="J16" s="20">
        <v>9</v>
      </c>
      <c r="K16" s="19">
        <f t="shared" si="14"/>
        <v>2.0250000000000001E-2</v>
      </c>
      <c r="L16" s="2">
        <f t="shared" si="0"/>
        <v>1.125E-2</v>
      </c>
      <c r="M16" s="2">
        <f t="shared" si="1"/>
        <v>2.2499999999999999E-2</v>
      </c>
      <c r="N16" s="2">
        <f t="shared" si="2"/>
        <v>3.3750000000000002E-2</v>
      </c>
      <c r="O16" s="2">
        <f t="shared" si="3"/>
        <v>4.4999999999999998E-2</v>
      </c>
      <c r="P16" s="2">
        <f t="shared" si="4"/>
        <v>5.6249999999999994E-2</v>
      </c>
      <c r="Q16" s="2">
        <f t="shared" si="5"/>
        <v>6.7500000000000004E-2</v>
      </c>
      <c r="R16" s="2">
        <f t="shared" si="6"/>
        <v>6.75</v>
      </c>
      <c r="S16" s="2">
        <f t="shared" si="7"/>
        <v>3.75</v>
      </c>
      <c r="T16" s="2">
        <f t="shared" si="8"/>
        <v>7.5</v>
      </c>
      <c r="U16" s="2">
        <f t="shared" si="9"/>
        <v>11.25</v>
      </c>
      <c r="V16" s="2">
        <f t="shared" si="10"/>
        <v>15</v>
      </c>
      <c r="W16" s="2">
        <f t="shared" si="11"/>
        <v>18.749999999999996</v>
      </c>
      <c r="X16" s="2">
        <f t="shared" si="12"/>
        <v>22.5</v>
      </c>
      <c r="Y16" s="5" t="str">
        <f t="shared" si="13"/>
        <v>1</v>
      </c>
      <c r="Z16" s="5" t="str">
        <f t="shared" si="13"/>
        <v>1</v>
      </c>
      <c r="AA16" s="5" t="str">
        <f t="shared" si="13"/>
        <v>1</v>
      </c>
      <c r="AB16" s="5" t="str">
        <f t="shared" si="13"/>
        <v>1</v>
      </c>
      <c r="AC16" s="5" t="str">
        <f t="shared" si="13"/>
        <v>1</v>
      </c>
      <c r="AD16" s="5" t="str">
        <f t="shared" si="13"/>
        <v>1</v>
      </c>
      <c r="AE16" s="5" t="str">
        <f t="shared" si="13"/>
        <v>1</v>
      </c>
    </row>
    <row r="17" spans="1:31" ht="14.4" x14ac:dyDescent="0.3">
      <c r="A17" s="14">
        <v>14</v>
      </c>
      <c r="B17" s="15" t="s">
        <v>107</v>
      </c>
      <c r="C17" s="10">
        <v>9</v>
      </c>
      <c r="D17" s="10">
        <v>28</v>
      </c>
      <c r="E17" s="16">
        <v>365</v>
      </c>
      <c r="F17" s="21">
        <v>1.8E-3</v>
      </c>
      <c r="G17" s="10">
        <v>900</v>
      </c>
      <c r="H17" s="13">
        <v>3.0000000000000001E-3</v>
      </c>
      <c r="I17" s="18">
        <v>10950</v>
      </c>
      <c r="J17" s="20">
        <v>4</v>
      </c>
      <c r="K17" s="19">
        <f t="shared" si="14"/>
        <v>7.7142857142857135E-3</v>
      </c>
      <c r="L17" s="2">
        <f t="shared" si="0"/>
        <v>9.6428571428571423E-3</v>
      </c>
      <c r="M17" s="2">
        <f t="shared" si="1"/>
        <v>1.9285714285714285E-2</v>
      </c>
      <c r="N17" s="2">
        <f t="shared" si="2"/>
        <v>2.8928571428571428E-2</v>
      </c>
      <c r="O17" s="2">
        <f t="shared" si="3"/>
        <v>3.8571428571428569E-2</v>
      </c>
      <c r="P17" s="2">
        <f t="shared" si="4"/>
        <v>4.821428571428571E-2</v>
      </c>
      <c r="Q17" s="2">
        <f t="shared" si="5"/>
        <v>5.7857142857142857E-2</v>
      </c>
      <c r="R17" s="2">
        <f t="shared" si="6"/>
        <v>2.5714285714285712</v>
      </c>
      <c r="S17" s="2">
        <f t="shared" si="7"/>
        <v>3.214285714285714</v>
      </c>
      <c r="T17" s="2">
        <f t="shared" si="8"/>
        <v>6.4285714285714279</v>
      </c>
      <c r="U17" s="2">
        <f t="shared" si="9"/>
        <v>9.6428571428571423</v>
      </c>
      <c r="V17" s="2">
        <f t="shared" si="10"/>
        <v>12.857142857142856</v>
      </c>
      <c r="W17" s="2">
        <f t="shared" si="11"/>
        <v>16.071428571428569</v>
      </c>
      <c r="X17" s="2">
        <f t="shared" si="12"/>
        <v>19.285714285714285</v>
      </c>
      <c r="Y17" s="5" t="str">
        <f t="shared" si="13"/>
        <v>1</v>
      </c>
      <c r="Z17" s="5" t="str">
        <f t="shared" si="13"/>
        <v>1</v>
      </c>
      <c r="AA17" s="5" t="str">
        <f t="shared" si="13"/>
        <v>1</v>
      </c>
      <c r="AB17" s="5" t="str">
        <f t="shared" si="13"/>
        <v>1</v>
      </c>
      <c r="AC17" s="5" t="str">
        <f t="shared" si="13"/>
        <v>1</v>
      </c>
      <c r="AD17" s="5" t="str">
        <f t="shared" si="13"/>
        <v>1</v>
      </c>
      <c r="AE17" s="5" t="str">
        <f t="shared" si="13"/>
        <v>1</v>
      </c>
    </row>
    <row r="18" spans="1:31" ht="14.4" x14ac:dyDescent="0.3">
      <c r="A18" s="14">
        <v>15</v>
      </c>
      <c r="B18" s="15" t="s">
        <v>122</v>
      </c>
      <c r="C18" s="10">
        <v>9</v>
      </c>
      <c r="D18" s="10">
        <v>29</v>
      </c>
      <c r="E18" s="16">
        <v>365</v>
      </c>
      <c r="F18" s="21">
        <v>1.4E-3</v>
      </c>
      <c r="G18" s="10">
        <v>900</v>
      </c>
      <c r="H18" s="13">
        <v>3.0000000000000001E-3</v>
      </c>
      <c r="I18" s="18">
        <v>10950</v>
      </c>
      <c r="J18" s="20">
        <v>9</v>
      </c>
      <c r="K18" s="19">
        <f t="shared" si="14"/>
        <v>1.3034482758620687E-2</v>
      </c>
      <c r="L18" s="2">
        <f t="shared" si="0"/>
        <v>7.241379310344828E-3</v>
      </c>
      <c r="M18" s="2">
        <f t="shared" si="1"/>
        <v>1.4482758620689656E-2</v>
      </c>
      <c r="N18" s="2">
        <f t="shared" si="2"/>
        <v>2.1724137931034483E-2</v>
      </c>
      <c r="O18" s="2">
        <f t="shared" si="3"/>
        <v>2.8965517241379312E-2</v>
      </c>
      <c r="P18" s="2">
        <f t="shared" si="4"/>
        <v>3.6206896551724141E-2</v>
      </c>
      <c r="Q18" s="2">
        <f t="shared" si="5"/>
        <v>4.3448275862068966E-2</v>
      </c>
      <c r="R18" s="2">
        <f t="shared" si="6"/>
        <v>4.3448275862068959</v>
      </c>
      <c r="S18" s="2">
        <f t="shared" si="7"/>
        <v>2.4137931034482758</v>
      </c>
      <c r="T18" s="2">
        <f t="shared" si="8"/>
        <v>4.8275862068965516</v>
      </c>
      <c r="U18" s="2">
        <f t="shared" si="9"/>
        <v>7.2413793103448274</v>
      </c>
      <c r="V18" s="2">
        <f t="shared" si="10"/>
        <v>9.6551724137931032</v>
      </c>
      <c r="W18" s="2">
        <f t="shared" si="11"/>
        <v>12.068965517241381</v>
      </c>
      <c r="X18" s="2">
        <f t="shared" si="12"/>
        <v>14.482758620689655</v>
      </c>
      <c r="Y18" s="5" t="str">
        <f t="shared" si="13"/>
        <v>1</v>
      </c>
      <c r="Z18" s="5" t="str">
        <f t="shared" si="13"/>
        <v>1</v>
      </c>
      <c r="AA18" s="5" t="str">
        <f t="shared" si="13"/>
        <v>1</v>
      </c>
      <c r="AB18" s="5" t="str">
        <f t="shared" si="13"/>
        <v>1</v>
      </c>
      <c r="AC18" s="5" t="str">
        <f t="shared" si="13"/>
        <v>1</v>
      </c>
      <c r="AD18" s="5" t="str">
        <f t="shared" si="13"/>
        <v>1</v>
      </c>
      <c r="AE18" s="5" t="str">
        <f t="shared" si="13"/>
        <v>1</v>
      </c>
    </row>
    <row r="19" spans="1:31" ht="14.4" x14ac:dyDescent="0.3">
      <c r="A19" s="14">
        <v>16</v>
      </c>
      <c r="B19" s="15" t="s">
        <v>111</v>
      </c>
      <c r="C19" s="10">
        <v>9</v>
      </c>
      <c r="D19" s="10">
        <v>25</v>
      </c>
      <c r="E19" s="16">
        <v>365</v>
      </c>
      <c r="F19" s="21">
        <v>3.0999999999999999E-3</v>
      </c>
      <c r="G19" s="10">
        <v>900</v>
      </c>
      <c r="H19" s="13">
        <v>3.0000000000000001E-3</v>
      </c>
      <c r="I19" s="18">
        <v>10950</v>
      </c>
      <c r="J19" s="20">
        <v>9</v>
      </c>
      <c r="K19" s="19">
        <f t="shared" si="14"/>
        <v>3.3479999999999996E-2</v>
      </c>
      <c r="L19" s="2">
        <f t="shared" si="0"/>
        <v>1.8599999999999998E-2</v>
      </c>
      <c r="M19" s="2">
        <f t="shared" si="1"/>
        <v>3.7199999999999997E-2</v>
      </c>
      <c r="N19" s="2">
        <f t="shared" si="2"/>
        <v>5.5800000000000002E-2</v>
      </c>
      <c r="O19" s="2">
        <f t="shared" si="3"/>
        <v>7.4399999999999994E-2</v>
      </c>
      <c r="P19" s="2">
        <f t="shared" si="4"/>
        <v>9.2999999999999999E-2</v>
      </c>
      <c r="Q19" s="2">
        <f t="shared" si="5"/>
        <v>0.1116</v>
      </c>
      <c r="R19" s="2">
        <f t="shared" si="6"/>
        <v>11.159999999999998</v>
      </c>
      <c r="S19" s="2">
        <f t="shared" si="7"/>
        <v>6.1999999999999993</v>
      </c>
      <c r="T19" s="2">
        <f t="shared" si="8"/>
        <v>12.399999999999999</v>
      </c>
      <c r="U19" s="2">
        <f t="shared" si="9"/>
        <v>18.600000000000001</v>
      </c>
      <c r="V19" s="2">
        <f t="shared" si="10"/>
        <v>24.799999999999997</v>
      </c>
      <c r="W19" s="2">
        <f t="shared" si="11"/>
        <v>31</v>
      </c>
      <c r="X19" s="2">
        <f t="shared" si="12"/>
        <v>37.200000000000003</v>
      </c>
      <c r="Y19" s="5" t="str">
        <f t="shared" si="13"/>
        <v>1</v>
      </c>
      <c r="Z19" s="5" t="str">
        <f t="shared" si="13"/>
        <v>1</v>
      </c>
      <c r="AA19" s="5" t="str">
        <f t="shared" si="13"/>
        <v>1</v>
      </c>
      <c r="AB19" s="5" t="str">
        <f t="shared" si="13"/>
        <v>1</v>
      </c>
      <c r="AC19" s="5" t="str">
        <f t="shared" si="13"/>
        <v>1</v>
      </c>
      <c r="AD19" s="5" t="str">
        <f t="shared" si="13"/>
        <v>1</v>
      </c>
      <c r="AE19" s="5" t="str">
        <f t="shared" si="13"/>
        <v>1</v>
      </c>
    </row>
    <row r="20" spans="1:31" ht="14.4" x14ac:dyDescent="0.3">
      <c r="A20" s="14">
        <v>17</v>
      </c>
      <c r="B20" s="15" t="s">
        <v>123</v>
      </c>
      <c r="C20" s="10">
        <v>9</v>
      </c>
      <c r="D20" s="10">
        <v>25</v>
      </c>
      <c r="E20" s="16">
        <v>365</v>
      </c>
      <c r="F20" s="21">
        <v>2.2000000000000001E-3</v>
      </c>
      <c r="G20" s="10">
        <v>1500</v>
      </c>
      <c r="H20" s="13">
        <v>3.0000000000000001E-3</v>
      </c>
      <c r="I20" s="18">
        <v>10950</v>
      </c>
      <c r="J20" s="20">
        <v>9</v>
      </c>
      <c r="K20" s="19">
        <f t="shared" si="14"/>
        <v>3.9600000000000003E-2</v>
      </c>
      <c r="L20" s="2">
        <f t="shared" si="0"/>
        <v>2.1999999999999999E-2</v>
      </c>
      <c r="M20" s="2">
        <f t="shared" si="1"/>
        <v>4.3999999999999997E-2</v>
      </c>
      <c r="N20" s="2">
        <f t="shared" si="2"/>
        <v>6.6000000000000003E-2</v>
      </c>
      <c r="O20" s="2">
        <f t="shared" si="3"/>
        <v>8.7999999999999995E-2</v>
      </c>
      <c r="P20" s="2">
        <f t="shared" si="4"/>
        <v>0.11</v>
      </c>
      <c r="Q20" s="2">
        <f t="shared" si="5"/>
        <v>0.13200000000000001</v>
      </c>
      <c r="R20" s="2">
        <f t="shared" si="6"/>
        <v>13.200000000000001</v>
      </c>
      <c r="S20" s="2">
        <f t="shared" si="7"/>
        <v>7.333333333333333</v>
      </c>
      <c r="T20" s="2">
        <f t="shared" si="8"/>
        <v>14.666666666666666</v>
      </c>
      <c r="U20" s="2">
        <f t="shared" si="9"/>
        <v>22</v>
      </c>
      <c r="V20" s="2">
        <f t="shared" si="10"/>
        <v>29.333333333333332</v>
      </c>
      <c r="W20" s="2">
        <f t="shared" si="11"/>
        <v>36.666666666666664</v>
      </c>
      <c r="X20" s="2">
        <f t="shared" si="12"/>
        <v>44</v>
      </c>
      <c r="Y20" s="5" t="str">
        <f t="shared" si="13"/>
        <v>1</v>
      </c>
      <c r="Z20" s="5" t="str">
        <f t="shared" si="13"/>
        <v>1</v>
      </c>
      <c r="AA20" s="5" t="str">
        <f t="shared" si="13"/>
        <v>1</v>
      </c>
      <c r="AB20" s="5" t="str">
        <f t="shared" si="13"/>
        <v>1</v>
      </c>
      <c r="AC20" s="5" t="str">
        <f t="shared" si="13"/>
        <v>1</v>
      </c>
      <c r="AD20" s="5" t="str">
        <f t="shared" si="13"/>
        <v>1</v>
      </c>
      <c r="AE20" s="5" t="str">
        <f t="shared" si="13"/>
        <v>1</v>
      </c>
    </row>
    <row r="21" spans="1:31" ht="14.4" x14ac:dyDescent="0.3">
      <c r="A21" s="14">
        <v>18</v>
      </c>
      <c r="B21" s="15" t="s">
        <v>124</v>
      </c>
      <c r="C21" s="10">
        <v>9</v>
      </c>
      <c r="D21" s="10">
        <v>25</v>
      </c>
      <c r="E21" s="16">
        <v>365</v>
      </c>
      <c r="F21" s="21">
        <v>2.2000000000000001E-3</v>
      </c>
      <c r="G21" s="10">
        <v>900</v>
      </c>
      <c r="H21" s="13">
        <v>3.0000000000000001E-3</v>
      </c>
      <c r="I21" s="18">
        <v>10950</v>
      </c>
      <c r="J21" s="20">
        <v>9</v>
      </c>
      <c r="K21" s="19">
        <f t="shared" si="14"/>
        <v>2.376E-2</v>
      </c>
      <c r="L21" s="2">
        <f t="shared" si="0"/>
        <v>1.32E-2</v>
      </c>
      <c r="M21" s="2">
        <f t="shared" si="1"/>
        <v>2.64E-2</v>
      </c>
      <c r="N21" s="2">
        <f t="shared" si="2"/>
        <v>3.9600000000000003E-2</v>
      </c>
      <c r="O21" s="2">
        <f t="shared" si="3"/>
        <v>5.28E-2</v>
      </c>
      <c r="P21" s="2">
        <f t="shared" si="4"/>
        <v>6.6000000000000003E-2</v>
      </c>
      <c r="Q21" s="2">
        <f t="shared" si="5"/>
        <v>7.9200000000000007E-2</v>
      </c>
      <c r="R21" s="2">
        <f t="shared" si="6"/>
        <v>7.92</v>
      </c>
      <c r="S21" s="2">
        <f t="shared" si="7"/>
        <v>4.3999999999999995</v>
      </c>
      <c r="T21" s="2">
        <f t="shared" si="8"/>
        <v>8.7999999999999989</v>
      </c>
      <c r="U21" s="2">
        <f t="shared" si="9"/>
        <v>13.200000000000001</v>
      </c>
      <c r="V21" s="2">
        <f t="shared" si="10"/>
        <v>17.599999999999998</v>
      </c>
      <c r="W21" s="2">
        <f t="shared" si="11"/>
        <v>22</v>
      </c>
      <c r="X21" s="2">
        <f t="shared" si="12"/>
        <v>26.400000000000002</v>
      </c>
      <c r="Y21" s="5" t="str">
        <f t="shared" si="13"/>
        <v>1</v>
      </c>
      <c r="Z21" s="5" t="str">
        <f t="shared" si="13"/>
        <v>1</v>
      </c>
      <c r="AA21" s="5" t="str">
        <f t="shared" si="13"/>
        <v>1</v>
      </c>
      <c r="AB21" s="5" t="str">
        <f t="shared" si="13"/>
        <v>1</v>
      </c>
      <c r="AC21" s="5" t="str">
        <f t="shared" si="13"/>
        <v>1</v>
      </c>
      <c r="AD21" s="5" t="str">
        <f t="shared" si="13"/>
        <v>1</v>
      </c>
      <c r="AE21" s="5" t="str">
        <f t="shared" si="13"/>
        <v>1</v>
      </c>
    </row>
    <row r="22" spans="1:31" ht="14.4" x14ac:dyDescent="0.3">
      <c r="A22" s="14">
        <v>19</v>
      </c>
      <c r="B22" s="15" t="s">
        <v>125</v>
      </c>
      <c r="C22" s="10">
        <v>9</v>
      </c>
      <c r="D22" s="10">
        <v>25</v>
      </c>
      <c r="E22" s="16">
        <v>365</v>
      </c>
      <c r="F22" s="21">
        <v>6.3E-3</v>
      </c>
      <c r="G22" s="10">
        <v>900</v>
      </c>
      <c r="H22" s="13">
        <v>3.0000000000000001E-3</v>
      </c>
      <c r="I22" s="18">
        <v>10950</v>
      </c>
      <c r="J22" s="20">
        <v>9</v>
      </c>
      <c r="K22" s="19">
        <f t="shared" si="14"/>
        <v>6.8040000000000003E-2</v>
      </c>
      <c r="L22" s="2">
        <f t="shared" si="0"/>
        <v>3.78E-2</v>
      </c>
      <c r="M22" s="2">
        <f t="shared" si="1"/>
        <v>7.5600000000000001E-2</v>
      </c>
      <c r="N22" s="2">
        <f t="shared" si="2"/>
        <v>0.11340000000000001</v>
      </c>
      <c r="O22" s="2">
        <f t="shared" si="3"/>
        <v>0.1512</v>
      </c>
      <c r="P22" s="2">
        <f t="shared" si="4"/>
        <v>0.18900000000000003</v>
      </c>
      <c r="Q22" s="2">
        <f t="shared" si="5"/>
        <v>0.22680000000000003</v>
      </c>
      <c r="R22" s="2">
        <f t="shared" si="6"/>
        <v>22.68</v>
      </c>
      <c r="S22" s="2">
        <f t="shared" si="7"/>
        <v>12.6</v>
      </c>
      <c r="T22" s="2">
        <f t="shared" si="8"/>
        <v>25.2</v>
      </c>
      <c r="U22" s="2">
        <f t="shared" si="9"/>
        <v>37.800000000000004</v>
      </c>
      <c r="V22" s="2">
        <f t="shared" si="10"/>
        <v>50.4</v>
      </c>
      <c r="W22" s="2">
        <f t="shared" si="11"/>
        <v>63.000000000000007</v>
      </c>
      <c r="X22" s="2">
        <f t="shared" si="12"/>
        <v>75.600000000000009</v>
      </c>
      <c r="Y22" s="5" t="str">
        <f t="shared" si="13"/>
        <v>1</v>
      </c>
      <c r="Z22" s="5" t="str">
        <f t="shared" si="13"/>
        <v>1</v>
      </c>
      <c r="AA22" s="5" t="str">
        <f t="shared" si="13"/>
        <v>1</v>
      </c>
      <c r="AB22" s="5" t="str">
        <f t="shared" si="13"/>
        <v>1</v>
      </c>
      <c r="AC22" s="5" t="str">
        <f t="shared" si="13"/>
        <v>1</v>
      </c>
      <c r="AD22" s="5" t="str">
        <f t="shared" si="13"/>
        <v>1</v>
      </c>
      <c r="AE22" s="5" t="str">
        <f t="shared" si="13"/>
        <v>1</v>
      </c>
    </row>
    <row r="23" spans="1:31" ht="14.4" x14ac:dyDescent="0.3">
      <c r="A23" s="14">
        <v>20</v>
      </c>
      <c r="B23" s="15" t="s">
        <v>126</v>
      </c>
      <c r="C23" s="10">
        <v>9</v>
      </c>
      <c r="D23" s="10">
        <v>29</v>
      </c>
      <c r="E23" s="16">
        <v>365</v>
      </c>
      <c r="F23" s="21">
        <v>5.9999999999999995E-4</v>
      </c>
      <c r="G23" s="10">
        <v>900</v>
      </c>
      <c r="H23" s="13">
        <v>3.0000000000000001E-3</v>
      </c>
      <c r="I23" s="18">
        <v>10950</v>
      </c>
      <c r="J23" s="20">
        <v>9</v>
      </c>
      <c r="K23" s="19">
        <f t="shared" si="14"/>
        <v>5.5862068965517233E-3</v>
      </c>
      <c r="L23" s="2">
        <f t="shared" si="0"/>
        <v>3.1034482758620684E-3</v>
      </c>
      <c r="M23" s="2">
        <f t="shared" si="1"/>
        <v>6.2068965517241368E-3</v>
      </c>
      <c r="N23" s="2">
        <f t="shared" si="2"/>
        <v>9.3103448275862061E-3</v>
      </c>
      <c r="O23" s="2">
        <f t="shared" si="3"/>
        <v>1.2413793103448274E-2</v>
      </c>
      <c r="P23" s="2">
        <f t="shared" si="4"/>
        <v>1.5517241379310341E-2</v>
      </c>
      <c r="Q23" s="2">
        <f t="shared" si="5"/>
        <v>1.8620689655172412E-2</v>
      </c>
      <c r="R23" s="2">
        <f t="shared" si="6"/>
        <v>1.8620689655172411</v>
      </c>
      <c r="S23" s="2">
        <f t="shared" si="7"/>
        <v>1.0344827586206895</v>
      </c>
      <c r="T23" s="2">
        <f t="shared" si="8"/>
        <v>2.068965517241379</v>
      </c>
      <c r="U23" s="2">
        <f t="shared" si="9"/>
        <v>3.1034482758620685</v>
      </c>
      <c r="V23" s="2">
        <f t="shared" si="10"/>
        <v>4.137931034482758</v>
      </c>
      <c r="W23" s="2">
        <f t="shared" si="11"/>
        <v>5.1724137931034466</v>
      </c>
      <c r="X23" s="2">
        <f t="shared" si="12"/>
        <v>6.206896551724137</v>
      </c>
      <c r="Y23" s="5" t="str">
        <f t="shared" si="13"/>
        <v>1</v>
      </c>
      <c r="Z23" s="5" t="str">
        <f t="shared" si="13"/>
        <v>1</v>
      </c>
      <c r="AA23" s="5" t="str">
        <f t="shared" si="13"/>
        <v>1</v>
      </c>
      <c r="AB23" s="5" t="str">
        <f t="shared" si="13"/>
        <v>1</v>
      </c>
      <c r="AC23" s="5" t="str">
        <f t="shared" si="13"/>
        <v>1</v>
      </c>
      <c r="AD23" s="5" t="str">
        <f t="shared" si="13"/>
        <v>1</v>
      </c>
      <c r="AE23" s="5" t="str">
        <f t="shared" si="13"/>
        <v>1</v>
      </c>
    </row>
    <row r="24" spans="1:31" ht="14.4" x14ac:dyDescent="0.3">
      <c r="A24" s="14">
        <v>21</v>
      </c>
      <c r="B24" s="15" t="s">
        <v>127</v>
      </c>
      <c r="C24" s="10">
        <v>9</v>
      </c>
      <c r="D24" s="10">
        <v>25</v>
      </c>
      <c r="E24" s="16">
        <v>365</v>
      </c>
      <c r="F24" s="21">
        <v>1.6000000000000001E-3</v>
      </c>
      <c r="G24" s="10">
        <v>1500</v>
      </c>
      <c r="H24" s="13">
        <v>3.0000000000000001E-3</v>
      </c>
      <c r="I24" s="18">
        <v>10950</v>
      </c>
      <c r="J24" s="20">
        <v>9</v>
      </c>
      <c r="K24" s="19">
        <f t="shared" si="14"/>
        <v>2.8799999999999999E-2</v>
      </c>
      <c r="L24" s="2">
        <f t="shared" si="0"/>
        <v>1.6E-2</v>
      </c>
      <c r="M24" s="2">
        <f t="shared" si="1"/>
        <v>3.2000000000000001E-2</v>
      </c>
      <c r="N24" s="2">
        <f t="shared" si="2"/>
        <v>4.8000000000000001E-2</v>
      </c>
      <c r="O24" s="2">
        <f t="shared" si="3"/>
        <v>6.4000000000000001E-2</v>
      </c>
      <c r="P24" s="2">
        <f t="shared" si="4"/>
        <v>0.08</v>
      </c>
      <c r="Q24" s="2">
        <f t="shared" si="5"/>
        <v>9.6000000000000002E-2</v>
      </c>
      <c r="R24" s="2">
        <f t="shared" si="6"/>
        <v>9.6</v>
      </c>
      <c r="S24" s="2">
        <f t="shared" si="7"/>
        <v>5.333333333333333</v>
      </c>
      <c r="T24" s="2">
        <f t="shared" si="8"/>
        <v>10.666666666666666</v>
      </c>
      <c r="U24" s="2">
        <f t="shared" si="9"/>
        <v>16</v>
      </c>
      <c r="V24" s="2">
        <f t="shared" si="10"/>
        <v>21.333333333333332</v>
      </c>
      <c r="W24" s="2">
        <f t="shared" si="11"/>
        <v>26.666666666666668</v>
      </c>
      <c r="X24" s="2">
        <f t="shared" si="12"/>
        <v>32</v>
      </c>
      <c r="Y24" s="5" t="str">
        <f t="shared" si="13"/>
        <v>1</v>
      </c>
      <c r="Z24" s="5" t="str">
        <f t="shared" si="13"/>
        <v>1</v>
      </c>
      <c r="AA24" s="5" t="str">
        <f t="shared" si="13"/>
        <v>1</v>
      </c>
      <c r="AB24" s="5" t="str">
        <f t="shared" si="13"/>
        <v>1</v>
      </c>
      <c r="AC24" s="5" t="str">
        <f t="shared" si="13"/>
        <v>1</v>
      </c>
      <c r="AD24" s="5" t="str">
        <f t="shared" si="13"/>
        <v>1</v>
      </c>
      <c r="AE24" s="5" t="str">
        <f t="shared" si="13"/>
        <v>1</v>
      </c>
    </row>
    <row r="25" spans="1:31" ht="14.4" x14ac:dyDescent="0.3">
      <c r="A25" s="14">
        <v>22</v>
      </c>
      <c r="B25" s="15" t="s">
        <v>128</v>
      </c>
      <c r="C25" s="10">
        <v>9</v>
      </c>
      <c r="D25" s="10">
        <v>25</v>
      </c>
      <c r="E25" s="16">
        <v>365</v>
      </c>
      <c r="F25" s="21">
        <v>1.6000000000000001E-3</v>
      </c>
      <c r="G25" s="10">
        <v>900</v>
      </c>
      <c r="H25" s="13">
        <v>3.0000000000000001E-3</v>
      </c>
      <c r="I25" s="18">
        <v>10950</v>
      </c>
      <c r="J25" s="20">
        <v>9</v>
      </c>
      <c r="K25" s="19">
        <f t="shared" si="14"/>
        <v>1.7280000000000004E-2</v>
      </c>
      <c r="L25" s="2">
        <f t="shared" si="0"/>
        <v>9.5999999999999992E-3</v>
      </c>
      <c r="M25" s="2">
        <f t="shared" si="1"/>
        <v>1.9199999999999998E-2</v>
      </c>
      <c r="N25" s="2">
        <f t="shared" si="2"/>
        <v>2.8799999999999999E-2</v>
      </c>
      <c r="O25" s="2">
        <f t="shared" si="3"/>
        <v>3.8399999999999997E-2</v>
      </c>
      <c r="P25" s="2">
        <f t="shared" si="4"/>
        <v>4.8000000000000001E-2</v>
      </c>
      <c r="Q25" s="2">
        <f t="shared" si="5"/>
        <v>5.7599999999999998E-2</v>
      </c>
      <c r="R25" s="2">
        <f t="shared" si="6"/>
        <v>5.7600000000000007</v>
      </c>
      <c r="S25" s="2">
        <f t="shared" si="7"/>
        <v>3.1999999999999997</v>
      </c>
      <c r="T25" s="2">
        <f t="shared" si="8"/>
        <v>6.3999999999999995</v>
      </c>
      <c r="U25" s="2">
        <f t="shared" si="9"/>
        <v>9.6</v>
      </c>
      <c r="V25" s="2">
        <f t="shared" si="10"/>
        <v>12.799999999999999</v>
      </c>
      <c r="W25" s="2">
        <f t="shared" si="11"/>
        <v>16</v>
      </c>
      <c r="X25" s="2">
        <f t="shared" si="12"/>
        <v>19.2</v>
      </c>
      <c r="Y25" s="5" t="str">
        <f t="shared" si="13"/>
        <v>1</v>
      </c>
      <c r="Z25" s="5" t="str">
        <f t="shared" si="13"/>
        <v>1</v>
      </c>
      <c r="AA25" s="5" t="str">
        <f t="shared" si="13"/>
        <v>1</v>
      </c>
      <c r="AB25" s="5" t="str">
        <f t="shared" si="13"/>
        <v>1</v>
      </c>
      <c r="AC25" s="5" t="str">
        <f t="shared" si="13"/>
        <v>1</v>
      </c>
      <c r="AD25" s="5" t="str">
        <f t="shared" si="13"/>
        <v>1</v>
      </c>
      <c r="AE25" s="5" t="str">
        <f t="shared" si="13"/>
        <v>1</v>
      </c>
    </row>
    <row r="26" spans="1:31" ht="14.4" x14ac:dyDescent="0.3">
      <c r="A26" s="14">
        <v>23</v>
      </c>
      <c r="B26" s="15" t="s">
        <v>129</v>
      </c>
      <c r="C26" s="10">
        <v>9</v>
      </c>
      <c r="D26" s="10">
        <v>39</v>
      </c>
      <c r="E26" s="16">
        <v>365</v>
      </c>
      <c r="F26" s="21">
        <v>2.8E-3</v>
      </c>
      <c r="G26" s="10">
        <v>900</v>
      </c>
      <c r="H26" s="13">
        <v>3.0000000000000001E-3</v>
      </c>
      <c r="I26" s="18">
        <v>10950</v>
      </c>
      <c r="J26" s="20">
        <v>1</v>
      </c>
      <c r="K26" s="19">
        <f t="shared" si="14"/>
        <v>2.1538461538461538E-3</v>
      </c>
      <c r="L26" s="2">
        <f t="shared" si="0"/>
        <v>1.0769230769230769E-2</v>
      </c>
      <c r="M26" s="2">
        <f t="shared" si="1"/>
        <v>2.1538461538461538E-2</v>
      </c>
      <c r="N26" s="2">
        <f t="shared" si="2"/>
        <v>3.2307692307692308E-2</v>
      </c>
      <c r="O26" s="2">
        <f t="shared" si="3"/>
        <v>4.3076923076923075E-2</v>
      </c>
      <c r="P26" s="2">
        <f t="shared" si="4"/>
        <v>5.3846153846153849E-2</v>
      </c>
      <c r="Q26" s="2">
        <f t="shared" si="5"/>
        <v>6.4615384615384616E-2</v>
      </c>
      <c r="R26" s="2">
        <f t="shared" si="6"/>
        <v>0.71794871794871795</v>
      </c>
      <c r="S26" s="2">
        <f t="shared" si="7"/>
        <v>3.5897435897435894</v>
      </c>
      <c r="T26" s="2">
        <f t="shared" si="8"/>
        <v>7.1794871794871788</v>
      </c>
      <c r="U26" s="2">
        <f t="shared" si="9"/>
        <v>10.769230769230768</v>
      </c>
      <c r="V26" s="2">
        <f t="shared" si="10"/>
        <v>14.358974358974358</v>
      </c>
      <c r="W26" s="2">
        <f t="shared" si="11"/>
        <v>17.948717948717949</v>
      </c>
      <c r="X26" s="2">
        <f t="shared" si="12"/>
        <v>21.538461538461537</v>
      </c>
      <c r="Y26" s="5" t="str">
        <f t="shared" si="13"/>
        <v>2</v>
      </c>
      <c r="Z26" s="5" t="str">
        <f t="shared" si="13"/>
        <v>1</v>
      </c>
      <c r="AA26" s="5" t="str">
        <f t="shared" si="13"/>
        <v>1</v>
      </c>
      <c r="AB26" s="5" t="str">
        <f t="shared" si="13"/>
        <v>1</v>
      </c>
      <c r="AC26" s="5" t="str">
        <f t="shared" si="13"/>
        <v>1</v>
      </c>
      <c r="AD26" s="5" t="str">
        <f t="shared" si="13"/>
        <v>1</v>
      </c>
      <c r="AE26" s="5" t="str">
        <f t="shared" si="13"/>
        <v>1</v>
      </c>
    </row>
    <row r="27" spans="1:31" ht="14.4" x14ac:dyDescent="0.3">
      <c r="A27" s="14">
        <v>24</v>
      </c>
      <c r="B27" s="15" t="s">
        <v>130</v>
      </c>
      <c r="C27" s="10">
        <v>9</v>
      </c>
      <c r="D27" s="10">
        <v>26</v>
      </c>
      <c r="E27" s="16">
        <v>365</v>
      </c>
      <c r="F27" s="21">
        <v>2.8E-3</v>
      </c>
      <c r="G27" s="10">
        <v>900</v>
      </c>
      <c r="H27" s="13">
        <v>3.0000000000000001E-3</v>
      </c>
      <c r="I27" s="18">
        <v>10950</v>
      </c>
      <c r="J27" s="20">
        <v>9</v>
      </c>
      <c r="K27" s="19">
        <f t="shared" si="14"/>
        <v>2.9076923076923073E-2</v>
      </c>
      <c r="L27" s="2">
        <f t="shared" si="0"/>
        <v>1.6153846153846154E-2</v>
      </c>
      <c r="M27" s="2">
        <f t="shared" si="1"/>
        <v>3.2307692307692308E-2</v>
      </c>
      <c r="N27" s="2">
        <f t="shared" si="2"/>
        <v>4.8461538461538459E-2</v>
      </c>
      <c r="O27" s="2">
        <f t="shared" si="3"/>
        <v>6.4615384615384616E-2</v>
      </c>
      <c r="P27" s="2">
        <f t="shared" si="4"/>
        <v>8.0769230769230774E-2</v>
      </c>
      <c r="Q27" s="2">
        <f t="shared" si="5"/>
        <v>9.6923076923076917E-2</v>
      </c>
      <c r="R27" s="2">
        <f t="shared" si="6"/>
        <v>9.6923076923076916</v>
      </c>
      <c r="S27" s="2">
        <f t="shared" si="7"/>
        <v>5.3846153846153841</v>
      </c>
      <c r="T27" s="2">
        <f t="shared" si="8"/>
        <v>10.769230769230768</v>
      </c>
      <c r="U27" s="2">
        <f t="shared" si="9"/>
        <v>16.153846153846153</v>
      </c>
      <c r="V27" s="2">
        <f t="shared" si="10"/>
        <v>21.538461538461537</v>
      </c>
      <c r="W27" s="2">
        <f t="shared" si="11"/>
        <v>26.923076923076923</v>
      </c>
      <c r="X27" s="2">
        <f t="shared" si="12"/>
        <v>32.307692307692307</v>
      </c>
      <c r="Y27" s="5" t="str">
        <f t="shared" si="13"/>
        <v>1</v>
      </c>
      <c r="Z27" s="5" t="str">
        <f t="shared" si="13"/>
        <v>1</v>
      </c>
      <c r="AA27" s="5" t="str">
        <f t="shared" si="13"/>
        <v>1</v>
      </c>
      <c r="AB27" s="5" t="str">
        <f t="shared" si="13"/>
        <v>1</v>
      </c>
      <c r="AC27" s="5" t="str">
        <f t="shared" si="13"/>
        <v>1</v>
      </c>
      <c r="AD27" s="5" t="str">
        <f t="shared" si="13"/>
        <v>1</v>
      </c>
      <c r="AE27" s="5" t="str">
        <f t="shared" si="13"/>
        <v>1</v>
      </c>
    </row>
    <row r="28" spans="1:31" ht="14.4" x14ac:dyDescent="0.3">
      <c r="A28" s="14">
        <v>25</v>
      </c>
      <c r="B28" s="15" t="s">
        <v>131</v>
      </c>
      <c r="C28" s="10">
        <v>9</v>
      </c>
      <c r="D28" s="10">
        <v>20</v>
      </c>
      <c r="E28" s="16">
        <v>365</v>
      </c>
      <c r="F28" s="21">
        <v>2.9999999999999997E-4</v>
      </c>
      <c r="G28" s="10">
        <v>2100</v>
      </c>
      <c r="H28" s="13">
        <v>3.0000000000000001E-3</v>
      </c>
      <c r="I28" s="18">
        <v>10950</v>
      </c>
      <c r="J28" s="20">
        <v>9</v>
      </c>
      <c r="K28" s="19">
        <f t="shared" si="14"/>
        <v>9.4499999999999983E-3</v>
      </c>
      <c r="L28" s="2">
        <f t="shared" si="0"/>
        <v>5.2499999999999986E-3</v>
      </c>
      <c r="M28" s="2">
        <f t="shared" si="1"/>
        <v>1.0499999999999997E-2</v>
      </c>
      <c r="N28" s="2">
        <f t="shared" si="2"/>
        <v>1.5749999999999997E-2</v>
      </c>
      <c r="O28" s="2">
        <f t="shared" si="3"/>
        <v>2.0999999999999994E-2</v>
      </c>
      <c r="P28" s="2">
        <f t="shared" si="4"/>
        <v>2.6249999999999996E-2</v>
      </c>
      <c r="Q28" s="2">
        <f t="shared" si="5"/>
        <v>3.1499999999999993E-2</v>
      </c>
      <c r="R28" s="2">
        <f t="shared" si="6"/>
        <v>3.1499999999999995</v>
      </c>
      <c r="S28" s="2">
        <f t="shared" si="7"/>
        <v>1.7499999999999996</v>
      </c>
      <c r="T28" s="2">
        <f t="shared" si="8"/>
        <v>3.4999999999999991</v>
      </c>
      <c r="U28" s="2">
        <f t="shared" si="9"/>
        <v>5.2499999999999991</v>
      </c>
      <c r="V28" s="2">
        <f t="shared" si="10"/>
        <v>6.9999999999999982</v>
      </c>
      <c r="W28" s="2">
        <f t="shared" si="11"/>
        <v>8.7499999999999982</v>
      </c>
      <c r="X28" s="2">
        <f t="shared" si="12"/>
        <v>10.499999999999998</v>
      </c>
      <c r="Y28" s="5" t="str">
        <f t="shared" si="13"/>
        <v>1</v>
      </c>
      <c r="Z28" s="5" t="str">
        <f t="shared" si="13"/>
        <v>1</v>
      </c>
      <c r="AA28" s="5" t="str">
        <f t="shared" si="13"/>
        <v>1</v>
      </c>
      <c r="AB28" s="5" t="str">
        <f t="shared" si="13"/>
        <v>1</v>
      </c>
      <c r="AC28" s="5" t="str">
        <f t="shared" si="13"/>
        <v>1</v>
      </c>
      <c r="AD28" s="5" t="str">
        <f t="shared" si="13"/>
        <v>1</v>
      </c>
      <c r="AE28" s="5" t="str">
        <f t="shared" si="13"/>
        <v>1</v>
      </c>
    </row>
    <row r="29" spans="1:31" ht="14.4" x14ac:dyDescent="0.3">
      <c r="A29" s="14">
        <v>26</v>
      </c>
      <c r="B29" s="15" t="s">
        <v>132</v>
      </c>
      <c r="C29" s="10">
        <v>9</v>
      </c>
      <c r="D29" s="10">
        <v>40</v>
      </c>
      <c r="E29" s="16">
        <v>365</v>
      </c>
      <c r="F29" s="21">
        <v>2.9999999999999997E-4</v>
      </c>
      <c r="G29" s="10">
        <v>900</v>
      </c>
      <c r="H29" s="13">
        <v>3.0000000000000001E-3</v>
      </c>
      <c r="I29" s="18">
        <v>10950</v>
      </c>
      <c r="J29" s="20">
        <v>5</v>
      </c>
      <c r="K29" s="19">
        <f t="shared" si="14"/>
        <v>1.1249999999999997E-3</v>
      </c>
      <c r="L29" s="2">
        <f t="shared" si="0"/>
        <v>1.1249999999999997E-3</v>
      </c>
      <c r="M29" s="2">
        <f t="shared" si="1"/>
        <v>2.2499999999999994E-3</v>
      </c>
      <c r="N29" s="2">
        <f t="shared" si="2"/>
        <v>3.3749999999999995E-3</v>
      </c>
      <c r="O29" s="2">
        <f t="shared" si="3"/>
        <v>4.4999999999999988E-3</v>
      </c>
      <c r="P29" s="2">
        <f t="shared" si="4"/>
        <v>5.6249999999999989E-3</v>
      </c>
      <c r="Q29" s="2">
        <f t="shared" si="5"/>
        <v>6.7499999999999991E-3</v>
      </c>
      <c r="R29" s="2">
        <f t="shared" si="6"/>
        <v>0.37499999999999989</v>
      </c>
      <c r="S29" s="2">
        <f t="shared" si="7"/>
        <v>0.37499999999999989</v>
      </c>
      <c r="T29" s="2">
        <f t="shared" si="8"/>
        <v>0.74999999999999978</v>
      </c>
      <c r="U29" s="2">
        <f t="shared" si="9"/>
        <v>1.1249999999999998</v>
      </c>
      <c r="V29" s="2">
        <f t="shared" si="10"/>
        <v>1.4999999999999996</v>
      </c>
      <c r="W29" s="2">
        <f t="shared" si="11"/>
        <v>1.8749999999999996</v>
      </c>
      <c r="X29" s="2">
        <f t="shared" si="12"/>
        <v>2.2499999999999996</v>
      </c>
      <c r="Y29" s="5" t="str">
        <f t="shared" ref="Y29:AE53" si="15">IF(R29&gt;1,"1","2")</f>
        <v>2</v>
      </c>
      <c r="Z29" s="5" t="str">
        <f t="shared" si="15"/>
        <v>2</v>
      </c>
      <c r="AA29" s="5" t="str">
        <f t="shared" si="15"/>
        <v>2</v>
      </c>
      <c r="AB29" s="5" t="str">
        <f t="shared" si="15"/>
        <v>1</v>
      </c>
      <c r="AC29" s="5" t="str">
        <f t="shared" si="15"/>
        <v>1</v>
      </c>
      <c r="AD29" s="5" t="str">
        <f t="shared" si="15"/>
        <v>1</v>
      </c>
      <c r="AE29" s="5" t="str">
        <f t="shared" si="15"/>
        <v>1</v>
      </c>
    </row>
    <row r="30" spans="1:31" ht="14.4" x14ac:dyDescent="0.3">
      <c r="A30" s="14">
        <v>27</v>
      </c>
      <c r="B30" s="15" t="s">
        <v>105</v>
      </c>
      <c r="C30" s="10">
        <v>9</v>
      </c>
      <c r="D30" s="10">
        <v>39</v>
      </c>
      <c r="E30" s="16">
        <v>365</v>
      </c>
      <c r="F30" s="21">
        <v>1.2999999999999999E-3</v>
      </c>
      <c r="G30" s="10">
        <v>900</v>
      </c>
      <c r="H30" s="13">
        <v>3.0000000000000001E-3</v>
      </c>
      <c r="I30" s="18">
        <v>10950</v>
      </c>
      <c r="J30" s="20">
        <v>1</v>
      </c>
      <c r="K30" s="19">
        <f t="shared" si="14"/>
        <v>9.999999999999998E-4</v>
      </c>
      <c r="L30" s="2">
        <f t="shared" si="0"/>
        <v>5.0000000000000001E-3</v>
      </c>
      <c r="M30" s="2">
        <f t="shared" si="1"/>
        <v>0.01</v>
      </c>
      <c r="N30" s="2">
        <f t="shared" si="2"/>
        <v>1.4999999999999998E-2</v>
      </c>
      <c r="O30" s="2">
        <f t="shared" si="3"/>
        <v>0.02</v>
      </c>
      <c r="P30" s="2">
        <f t="shared" si="4"/>
        <v>2.4999999999999994E-2</v>
      </c>
      <c r="Q30" s="2">
        <f t="shared" si="5"/>
        <v>2.9999999999999995E-2</v>
      </c>
      <c r="R30" s="2">
        <f t="shared" si="6"/>
        <v>0.33333333333333326</v>
      </c>
      <c r="S30" s="2">
        <f t="shared" si="7"/>
        <v>1.6666666666666667</v>
      </c>
      <c r="T30" s="2">
        <f t="shared" si="8"/>
        <v>3.3333333333333335</v>
      </c>
      <c r="U30" s="2">
        <f t="shared" si="9"/>
        <v>4.9999999999999991</v>
      </c>
      <c r="V30" s="2">
        <f t="shared" si="10"/>
        <v>6.666666666666667</v>
      </c>
      <c r="W30" s="2">
        <f t="shared" si="11"/>
        <v>8.3333333333333321</v>
      </c>
      <c r="X30" s="2">
        <f t="shared" si="12"/>
        <v>9.9999999999999982</v>
      </c>
      <c r="Y30" s="5" t="str">
        <f t="shared" si="15"/>
        <v>2</v>
      </c>
      <c r="Z30" s="5" t="str">
        <f t="shared" si="15"/>
        <v>1</v>
      </c>
      <c r="AA30" s="5" t="str">
        <f t="shared" si="15"/>
        <v>1</v>
      </c>
      <c r="AB30" s="5" t="str">
        <f t="shared" si="15"/>
        <v>1</v>
      </c>
      <c r="AC30" s="5" t="str">
        <f t="shared" si="15"/>
        <v>1</v>
      </c>
      <c r="AD30" s="5" t="str">
        <f t="shared" si="15"/>
        <v>1</v>
      </c>
      <c r="AE30" s="5" t="str">
        <f t="shared" si="15"/>
        <v>1</v>
      </c>
    </row>
    <row r="31" spans="1:31" ht="14.4" x14ac:dyDescent="0.3">
      <c r="A31" s="14">
        <v>28</v>
      </c>
      <c r="B31" s="15" t="s">
        <v>133</v>
      </c>
      <c r="C31" s="10">
        <v>9</v>
      </c>
      <c r="D31" s="10">
        <v>26</v>
      </c>
      <c r="E31" s="16">
        <v>365</v>
      </c>
      <c r="F31" s="21">
        <v>1.2999999999999999E-3</v>
      </c>
      <c r="G31" s="10">
        <v>900</v>
      </c>
      <c r="H31" s="13">
        <v>3.0000000000000001E-3</v>
      </c>
      <c r="I31" s="18">
        <v>10950</v>
      </c>
      <c r="J31" s="20">
        <v>9</v>
      </c>
      <c r="K31" s="19">
        <f t="shared" si="14"/>
        <v>1.35E-2</v>
      </c>
      <c r="L31" s="2">
        <f t="shared" si="0"/>
        <v>7.4999999999999997E-3</v>
      </c>
      <c r="M31" s="2">
        <f t="shared" si="1"/>
        <v>1.4999999999999999E-2</v>
      </c>
      <c r="N31" s="2">
        <f t="shared" si="2"/>
        <v>2.2499999999999996E-2</v>
      </c>
      <c r="O31" s="2">
        <f t="shared" si="3"/>
        <v>0.03</v>
      </c>
      <c r="P31" s="2">
        <f t="shared" si="4"/>
        <v>3.7499999999999992E-2</v>
      </c>
      <c r="Q31" s="2">
        <f t="shared" si="5"/>
        <v>4.4999999999999991E-2</v>
      </c>
      <c r="R31" s="2">
        <f t="shared" si="6"/>
        <v>4.5</v>
      </c>
      <c r="S31" s="2">
        <f t="shared" si="7"/>
        <v>2.5</v>
      </c>
      <c r="T31" s="2">
        <f t="shared" si="8"/>
        <v>5</v>
      </c>
      <c r="U31" s="2">
        <f t="shared" si="9"/>
        <v>7.4999999999999982</v>
      </c>
      <c r="V31" s="2">
        <f t="shared" si="10"/>
        <v>10</v>
      </c>
      <c r="W31" s="2">
        <f t="shared" si="11"/>
        <v>12.499999999999996</v>
      </c>
      <c r="X31" s="2">
        <f t="shared" si="12"/>
        <v>14.999999999999996</v>
      </c>
      <c r="Y31" s="5" t="str">
        <f t="shared" si="15"/>
        <v>1</v>
      </c>
      <c r="Z31" s="5" t="str">
        <f t="shared" si="15"/>
        <v>1</v>
      </c>
      <c r="AA31" s="5" t="str">
        <f t="shared" si="15"/>
        <v>1</v>
      </c>
      <c r="AB31" s="5" t="str">
        <f t="shared" si="15"/>
        <v>1</v>
      </c>
      <c r="AC31" s="5" t="str">
        <f t="shared" si="15"/>
        <v>1</v>
      </c>
      <c r="AD31" s="5" t="str">
        <f t="shared" si="15"/>
        <v>1</v>
      </c>
      <c r="AE31" s="5" t="str">
        <f t="shared" si="15"/>
        <v>1</v>
      </c>
    </row>
    <row r="32" spans="1:31" ht="14.4" x14ac:dyDescent="0.3">
      <c r="A32" s="14">
        <v>29</v>
      </c>
      <c r="B32" s="15" t="s">
        <v>134</v>
      </c>
      <c r="C32" s="10">
        <v>9</v>
      </c>
      <c r="D32" s="10">
        <v>25</v>
      </c>
      <c r="E32" s="16">
        <v>365</v>
      </c>
      <c r="F32" s="21">
        <v>1.2999999999999999E-3</v>
      </c>
      <c r="G32" s="10">
        <v>900</v>
      </c>
      <c r="H32" s="13">
        <v>3.0000000000000001E-3</v>
      </c>
      <c r="I32" s="18">
        <v>10950</v>
      </c>
      <c r="J32" s="20">
        <v>9</v>
      </c>
      <c r="K32" s="19">
        <f t="shared" si="14"/>
        <v>1.4039999999999999E-2</v>
      </c>
      <c r="L32" s="2">
        <f t="shared" si="0"/>
        <v>7.7999999999999996E-3</v>
      </c>
      <c r="M32" s="2">
        <f t="shared" si="1"/>
        <v>1.5599999999999999E-2</v>
      </c>
      <c r="N32" s="2">
        <f t="shared" si="2"/>
        <v>2.3399999999999997E-2</v>
      </c>
      <c r="O32" s="2">
        <f t="shared" si="3"/>
        <v>3.1199999999999999E-2</v>
      </c>
      <c r="P32" s="2">
        <f t="shared" si="4"/>
        <v>3.8999999999999993E-2</v>
      </c>
      <c r="Q32" s="2">
        <f t="shared" si="5"/>
        <v>4.6799999999999994E-2</v>
      </c>
      <c r="R32" s="2">
        <f t="shared" si="6"/>
        <v>4.68</v>
      </c>
      <c r="S32" s="2">
        <f t="shared" si="7"/>
        <v>2.5999999999999996</v>
      </c>
      <c r="T32" s="2">
        <f t="shared" si="8"/>
        <v>5.1999999999999993</v>
      </c>
      <c r="U32" s="2">
        <f t="shared" si="9"/>
        <v>7.7999999999999989</v>
      </c>
      <c r="V32" s="2">
        <f t="shared" si="10"/>
        <v>10.399999999999999</v>
      </c>
      <c r="W32" s="2">
        <f t="shared" si="11"/>
        <v>12.999999999999998</v>
      </c>
      <c r="X32" s="2">
        <f t="shared" si="12"/>
        <v>15.599999999999998</v>
      </c>
      <c r="Y32" s="5" t="str">
        <f t="shared" si="15"/>
        <v>1</v>
      </c>
      <c r="Z32" s="5" t="str">
        <f t="shared" si="15"/>
        <v>1</v>
      </c>
      <c r="AA32" s="5" t="str">
        <f t="shared" si="15"/>
        <v>1</v>
      </c>
      <c r="AB32" s="5" t="str">
        <f t="shared" si="15"/>
        <v>1</v>
      </c>
      <c r="AC32" s="5" t="str">
        <f t="shared" si="15"/>
        <v>1</v>
      </c>
      <c r="AD32" s="5" t="str">
        <f t="shared" si="15"/>
        <v>1</v>
      </c>
      <c r="AE32" s="5" t="str">
        <f t="shared" si="15"/>
        <v>1</v>
      </c>
    </row>
    <row r="33" spans="1:31" ht="14.4" x14ac:dyDescent="0.3">
      <c r="A33" s="14">
        <v>30</v>
      </c>
      <c r="B33" s="15" t="s">
        <v>135</v>
      </c>
      <c r="C33" s="10">
        <v>10</v>
      </c>
      <c r="D33" s="10">
        <v>25</v>
      </c>
      <c r="E33" s="16">
        <v>365</v>
      </c>
      <c r="F33" s="21">
        <v>8.9999999999999998E-4</v>
      </c>
      <c r="G33" s="10">
        <v>900</v>
      </c>
      <c r="H33" s="13">
        <v>3.0000000000000001E-3</v>
      </c>
      <c r="I33" s="18">
        <v>10950</v>
      </c>
      <c r="J33" s="20">
        <v>10</v>
      </c>
      <c r="K33" s="19">
        <f t="shared" si="14"/>
        <v>1.0800000000000001E-2</v>
      </c>
      <c r="L33" s="2">
        <f t="shared" si="0"/>
        <v>5.4000000000000003E-3</v>
      </c>
      <c r="M33" s="2">
        <f t="shared" si="1"/>
        <v>1.0800000000000001E-2</v>
      </c>
      <c r="N33" s="2">
        <f t="shared" si="2"/>
        <v>1.6199999999999999E-2</v>
      </c>
      <c r="O33" s="2">
        <f t="shared" si="3"/>
        <v>2.1600000000000001E-2</v>
      </c>
      <c r="P33" s="2">
        <f t="shared" si="4"/>
        <v>2.6999999999999996E-2</v>
      </c>
      <c r="Q33" s="2">
        <f t="shared" si="5"/>
        <v>3.2399999999999998E-2</v>
      </c>
      <c r="R33" s="2">
        <f t="shared" si="6"/>
        <v>3.6</v>
      </c>
      <c r="S33" s="2">
        <f t="shared" si="7"/>
        <v>1.8</v>
      </c>
      <c r="T33" s="2">
        <f t="shared" si="8"/>
        <v>3.6</v>
      </c>
      <c r="U33" s="2">
        <f t="shared" si="9"/>
        <v>5.3999999999999995</v>
      </c>
      <c r="V33" s="2">
        <f t="shared" si="10"/>
        <v>7.2</v>
      </c>
      <c r="W33" s="2">
        <f t="shared" si="11"/>
        <v>8.9999999999999982</v>
      </c>
      <c r="X33" s="2">
        <f t="shared" si="12"/>
        <v>10.799999999999999</v>
      </c>
      <c r="Y33" s="5" t="str">
        <f t="shared" si="15"/>
        <v>1</v>
      </c>
      <c r="Z33" s="5" t="str">
        <f t="shared" si="15"/>
        <v>1</v>
      </c>
      <c r="AA33" s="5" t="str">
        <f t="shared" si="15"/>
        <v>1</v>
      </c>
      <c r="AB33" s="5" t="str">
        <f t="shared" si="15"/>
        <v>1</v>
      </c>
      <c r="AC33" s="5" t="str">
        <f t="shared" si="15"/>
        <v>1</v>
      </c>
      <c r="AD33" s="5" t="str">
        <f t="shared" si="15"/>
        <v>1</v>
      </c>
      <c r="AE33" s="5" t="str">
        <f t="shared" si="15"/>
        <v>1</v>
      </c>
    </row>
    <row r="34" spans="1:31" ht="14.4" x14ac:dyDescent="0.3">
      <c r="A34" s="14">
        <v>31</v>
      </c>
      <c r="B34" s="15" t="s">
        <v>136</v>
      </c>
      <c r="C34" s="10">
        <v>10</v>
      </c>
      <c r="D34" s="10">
        <v>33</v>
      </c>
      <c r="E34" s="16">
        <v>365</v>
      </c>
      <c r="F34" s="21">
        <v>8.9999999999999998E-4</v>
      </c>
      <c r="G34" s="10">
        <v>900</v>
      </c>
      <c r="H34" s="13">
        <v>3.0000000000000001E-3</v>
      </c>
      <c r="I34" s="18">
        <v>10950</v>
      </c>
      <c r="J34" s="20">
        <v>10</v>
      </c>
      <c r="K34" s="19">
        <f t="shared" si="14"/>
        <v>8.1818181818181825E-3</v>
      </c>
      <c r="L34" s="2">
        <f t="shared" si="0"/>
        <v>4.0909090909090912E-3</v>
      </c>
      <c r="M34" s="2">
        <f t="shared" si="1"/>
        <v>8.1818181818181825E-3</v>
      </c>
      <c r="N34" s="2">
        <f t="shared" si="2"/>
        <v>1.2272727272727272E-2</v>
      </c>
      <c r="O34" s="2">
        <f t="shared" si="3"/>
        <v>1.6363636363636365E-2</v>
      </c>
      <c r="P34" s="2">
        <f t="shared" si="4"/>
        <v>2.0454545454545451E-2</v>
      </c>
      <c r="Q34" s="2">
        <f t="shared" si="5"/>
        <v>2.4545454545454544E-2</v>
      </c>
      <c r="R34" s="2">
        <f t="shared" si="6"/>
        <v>2.7272727272727275</v>
      </c>
      <c r="S34" s="2">
        <f t="shared" si="7"/>
        <v>1.3636363636363638</v>
      </c>
      <c r="T34" s="2">
        <f t="shared" si="8"/>
        <v>2.7272727272727275</v>
      </c>
      <c r="U34" s="2">
        <f t="shared" si="9"/>
        <v>4.0909090909090908</v>
      </c>
      <c r="V34" s="2">
        <f t="shared" si="10"/>
        <v>5.454545454545455</v>
      </c>
      <c r="W34" s="2">
        <f t="shared" si="11"/>
        <v>6.8181818181818166</v>
      </c>
      <c r="X34" s="2">
        <f t="shared" si="12"/>
        <v>8.1818181818181817</v>
      </c>
      <c r="Y34" s="5" t="str">
        <f t="shared" si="15"/>
        <v>1</v>
      </c>
      <c r="Z34" s="5" t="str">
        <f t="shared" si="15"/>
        <v>1</v>
      </c>
      <c r="AA34" s="5" t="str">
        <f t="shared" si="15"/>
        <v>1</v>
      </c>
      <c r="AB34" s="5" t="str">
        <f t="shared" si="15"/>
        <v>1</v>
      </c>
      <c r="AC34" s="5" t="str">
        <f t="shared" si="15"/>
        <v>1</v>
      </c>
      <c r="AD34" s="5" t="str">
        <f t="shared" si="15"/>
        <v>1</v>
      </c>
      <c r="AE34" s="5" t="str">
        <f t="shared" si="15"/>
        <v>1</v>
      </c>
    </row>
    <row r="35" spans="1:31" ht="14.4" x14ac:dyDescent="0.3">
      <c r="A35" s="14">
        <v>32</v>
      </c>
      <c r="B35" s="15" t="s">
        <v>137</v>
      </c>
      <c r="C35" s="10">
        <v>10</v>
      </c>
      <c r="D35" s="10">
        <v>25</v>
      </c>
      <c r="E35" s="16">
        <v>365</v>
      </c>
      <c r="F35" s="21">
        <v>8.9999999999999998E-4</v>
      </c>
      <c r="G35" s="10">
        <v>900</v>
      </c>
      <c r="H35" s="13">
        <v>3.0000000000000001E-3</v>
      </c>
      <c r="I35" s="18">
        <v>10950</v>
      </c>
      <c r="J35" s="20">
        <v>10</v>
      </c>
      <c r="K35" s="19">
        <f t="shared" si="14"/>
        <v>1.0800000000000001E-2</v>
      </c>
      <c r="L35" s="2">
        <f t="shared" si="0"/>
        <v>5.4000000000000003E-3</v>
      </c>
      <c r="M35" s="2">
        <f t="shared" si="1"/>
        <v>1.0800000000000001E-2</v>
      </c>
      <c r="N35" s="2">
        <f t="shared" si="2"/>
        <v>1.6199999999999999E-2</v>
      </c>
      <c r="O35" s="2">
        <f t="shared" si="3"/>
        <v>2.1600000000000001E-2</v>
      </c>
      <c r="P35" s="2">
        <f t="shared" si="4"/>
        <v>2.6999999999999996E-2</v>
      </c>
      <c r="Q35" s="2">
        <f t="shared" si="5"/>
        <v>3.2399999999999998E-2</v>
      </c>
      <c r="R35" s="2">
        <f t="shared" si="6"/>
        <v>3.6</v>
      </c>
      <c r="S35" s="2">
        <f t="shared" si="7"/>
        <v>1.8</v>
      </c>
      <c r="T35" s="2">
        <f t="shared" si="8"/>
        <v>3.6</v>
      </c>
      <c r="U35" s="2">
        <f t="shared" si="9"/>
        <v>5.3999999999999995</v>
      </c>
      <c r="V35" s="2">
        <f t="shared" si="10"/>
        <v>7.2</v>
      </c>
      <c r="W35" s="2">
        <f t="shared" si="11"/>
        <v>8.9999999999999982</v>
      </c>
      <c r="X35" s="2">
        <f t="shared" si="12"/>
        <v>10.799999999999999</v>
      </c>
      <c r="Y35" s="5" t="str">
        <f t="shared" si="15"/>
        <v>1</v>
      </c>
      <c r="Z35" s="5" t="str">
        <f t="shared" si="15"/>
        <v>1</v>
      </c>
      <c r="AA35" s="5" t="str">
        <f t="shared" si="15"/>
        <v>1</v>
      </c>
      <c r="AB35" s="5" t="str">
        <f t="shared" si="15"/>
        <v>1</v>
      </c>
      <c r="AC35" s="5" t="str">
        <f t="shared" si="15"/>
        <v>1</v>
      </c>
      <c r="AD35" s="5" t="str">
        <f t="shared" si="15"/>
        <v>1</v>
      </c>
      <c r="AE35" s="5" t="str">
        <f t="shared" si="15"/>
        <v>1</v>
      </c>
    </row>
    <row r="36" spans="1:31" ht="14.4" x14ac:dyDescent="0.3">
      <c r="A36" s="14">
        <v>33</v>
      </c>
      <c r="B36" s="15" t="s">
        <v>138</v>
      </c>
      <c r="C36" s="10">
        <v>10</v>
      </c>
      <c r="D36" s="10">
        <v>25</v>
      </c>
      <c r="E36" s="16">
        <v>365</v>
      </c>
      <c r="F36" s="21">
        <v>2.0000000000000001E-4</v>
      </c>
      <c r="G36" s="10">
        <v>900</v>
      </c>
      <c r="H36" s="13">
        <v>3.0000000000000001E-3</v>
      </c>
      <c r="I36" s="18">
        <v>10950</v>
      </c>
      <c r="J36" s="20">
        <v>10</v>
      </c>
      <c r="K36" s="19">
        <f t="shared" si="14"/>
        <v>2.3999999999999998E-3</v>
      </c>
      <c r="L36" s="2">
        <f t="shared" si="0"/>
        <v>1.1999999999999999E-3</v>
      </c>
      <c r="M36" s="2">
        <f t="shared" si="1"/>
        <v>2.3999999999999998E-3</v>
      </c>
      <c r="N36" s="2">
        <f t="shared" si="2"/>
        <v>3.5999999999999999E-3</v>
      </c>
      <c r="O36" s="2">
        <f t="shared" si="3"/>
        <v>4.7999999999999996E-3</v>
      </c>
      <c r="P36" s="2">
        <f t="shared" si="4"/>
        <v>6.0000000000000001E-3</v>
      </c>
      <c r="Q36" s="2">
        <f t="shared" si="5"/>
        <v>7.1999999999999998E-3</v>
      </c>
      <c r="R36" s="2">
        <f t="shared" si="6"/>
        <v>0.79999999999999993</v>
      </c>
      <c r="S36" s="2">
        <f t="shared" si="7"/>
        <v>0.39999999999999997</v>
      </c>
      <c r="T36" s="2">
        <f t="shared" si="8"/>
        <v>0.79999999999999993</v>
      </c>
      <c r="U36" s="2">
        <f t="shared" si="9"/>
        <v>1.2</v>
      </c>
      <c r="V36" s="2">
        <f t="shared" si="10"/>
        <v>1.5999999999999999</v>
      </c>
      <c r="W36" s="2">
        <f t="shared" si="11"/>
        <v>2</v>
      </c>
      <c r="X36" s="2">
        <f t="shared" si="12"/>
        <v>2.4</v>
      </c>
      <c r="Y36" s="5" t="str">
        <f t="shared" si="15"/>
        <v>2</v>
      </c>
      <c r="Z36" s="5" t="str">
        <f t="shared" si="15"/>
        <v>2</v>
      </c>
      <c r="AA36" s="5" t="str">
        <f t="shared" si="15"/>
        <v>2</v>
      </c>
      <c r="AB36" s="5" t="str">
        <f t="shared" si="15"/>
        <v>1</v>
      </c>
      <c r="AC36" s="5" t="str">
        <f t="shared" si="15"/>
        <v>1</v>
      </c>
      <c r="AD36" s="5" t="str">
        <f t="shared" si="15"/>
        <v>1</v>
      </c>
      <c r="AE36" s="5" t="str">
        <f t="shared" si="15"/>
        <v>1</v>
      </c>
    </row>
    <row r="37" spans="1:31" ht="14.4" x14ac:dyDescent="0.3">
      <c r="A37" s="14">
        <v>34</v>
      </c>
      <c r="B37" s="15" t="s">
        <v>139</v>
      </c>
      <c r="C37" s="10">
        <v>10</v>
      </c>
      <c r="D37" s="10">
        <v>33</v>
      </c>
      <c r="E37" s="17">
        <v>365</v>
      </c>
      <c r="F37" s="21">
        <v>2.0000000000000001E-4</v>
      </c>
      <c r="G37" s="10">
        <v>900</v>
      </c>
      <c r="H37" s="13">
        <v>3.0000000000000001E-3</v>
      </c>
      <c r="I37" s="18">
        <v>10950</v>
      </c>
      <c r="J37" s="20">
        <v>10</v>
      </c>
      <c r="K37" s="19">
        <f t="shared" si="14"/>
        <v>1.8181818181818182E-3</v>
      </c>
      <c r="L37" s="2">
        <f t="shared" si="0"/>
        <v>9.0909090909090909E-4</v>
      </c>
      <c r="M37" s="2">
        <f t="shared" si="1"/>
        <v>1.8181818181818182E-3</v>
      </c>
      <c r="N37" s="2">
        <f t="shared" si="2"/>
        <v>2.7272727272727275E-3</v>
      </c>
      <c r="O37" s="2">
        <f t="shared" si="3"/>
        <v>3.6363636363636364E-3</v>
      </c>
      <c r="P37" s="2">
        <f t="shared" si="4"/>
        <v>4.5454545454545452E-3</v>
      </c>
      <c r="Q37" s="2">
        <f t="shared" si="5"/>
        <v>5.454545454545455E-3</v>
      </c>
      <c r="R37" s="2">
        <f t="shared" si="6"/>
        <v>0.60606060606060608</v>
      </c>
      <c r="S37" s="2">
        <f t="shared" si="7"/>
        <v>0.30303030303030304</v>
      </c>
      <c r="T37" s="2">
        <f t="shared" si="8"/>
        <v>0.60606060606060608</v>
      </c>
      <c r="U37" s="2">
        <f t="shared" si="9"/>
        <v>0.90909090909090917</v>
      </c>
      <c r="V37" s="2">
        <f t="shared" si="10"/>
        <v>1.2121212121212122</v>
      </c>
      <c r="W37" s="2">
        <f t="shared" si="11"/>
        <v>1.5151515151515151</v>
      </c>
      <c r="X37" s="2">
        <f t="shared" si="12"/>
        <v>1.8181818181818183</v>
      </c>
      <c r="Y37" s="5" t="str">
        <f t="shared" si="15"/>
        <v>2</v>
      </c>
      <c r="Z37" s="5" t="str">
        <f t="shared" si="15"/>
        <v>2</v>
      </c>
      <c r="AA37" s="5" t="str">
        <f t="shared" si="15"/>
        <v>2</v>
      </c>
      <c r="AB37" s="5" t="str">
        <f t="shared" si="15"/>
        <v>2</v>
      </c>
      <c r="AC37" s="5" t="str">
        <f t="shared" si="15"/>
        <v>1</v>
      </c>
      <c r="AD37" s="5" t="str">
        <f t="shared" si="15"/>
        <v>1</v>
      </c>
      <c r="AE37" s="5" t="str">
        <f t="shared" si="15"/>
        <v>1</v>
      </c>
    </row>
    <row r="38" spans="1:31" ht="14.4" x14ac:dyDescent="0.3">
      <c r="A38" s="14">
        <v>35</v>
      </c>
      <c r="B38" s="15" t="s">
        <v>140</v>
      </c>
      <c r="C38" s="10">
        <v>10</v>
      </c>
      <c r="D38" s="10">
        <v>25</v>
      </c>
      <c r="E38" s="17">
        <v>365</v>
      </c>
      <c r="F38" s="21">
        <v>2.0000000000000001E-4</v>
      </c>
      <c r="G38" s="10">
        <v>900</v>
      </c>
      <c r="H38" s="13">
        <v>3.0000000000000001E-3</v>
      </c>
      <c r="I38" s="18">
        <v>10950</v>
      </c>
      <c r="J38" s="20">
        <v>10</v>
      </c>
      <c r="K38" s="19">
        <f t="shared" si="14"/>
        <v>2.3999999999999998E-3</v>
      </c>
      <c r="L38" s="2">
        <f t="shared" si="0"/>
        <v>1.1999999999999999E-3</v>
      </c>
      <c r="M38" s="2">
        <f t="shared" si="1"/>
        <v>2.3999999999999998E-3</v>
      </c>
      <c r="N38" s="2">
        <f t="shared" si="2"/>
        <v>3.5999999999999999E-3</v>
      </c>
      <c r="O38" s="2">
        <f t="shared" si="3"/>
        <v>4.7999999999999996E-3</v>
      </c>
      <c r="P38" s="2">
        <f t="shared" si="4"/>
        <v>6.0000000000000001E-3</v>
      </c>
      <c r="Q38" s="2">
        <f t="shared" si="5"/>
        <v>7.1999999999999998E-3</v>
      </c>
      <c r="R38" s="2">
        <f t="shared" si="6"/>
        <v>0.79999999999999993</v>
      </c>
      <c r="S38" s="2">
        <f t="shared" si="7"/>
        <v>0.39999999999999997</v>
      </c>
      <c r="T38" s="2">
        <f t="shared" si="8"/>
        <v>0.79999999999999993</v>
      </c>
      <c r="U38" s="2">
        <f t="shared" si="9"/>
        <v>1.2</v>
      </c>
      <c r="V38" s="2">
        <f t="shared" si="10"/>
        <v>1.5999999999999999</v>
      </c>
      <c r="W38" s="2">
        <f t="shared" si="11"/>
        <v>2</v>
      </c>
      <c r="X38" s="2">
        <f t="shared" si="12"/>
        <v>2.4</v>
      </c>
      <c r="Y38" s="5" t="str">
        <f t="shared" si="15"/>
        <v>2</v>
      </c>
      <c r="Z38" s="5" t="str">
        <f t="shared" si="15"/>
        <v>2</v>
      </c>
      <c r="AA38" s="5" t="str">
        <f t="shared" si="15"/>
        <v>2</v>
      </c>
      <c r="AB38" s="5" t="str">
        <f t="shared" si="15"/>
        <v>1</v>
      </c>
      <c r="AC38" s="5" t="str">
        <f t="shared" si="15"/>
        <v>1</v>
      </c>
      <c r="AD38" s="5" t="str">
        <f t="shared" si="15"/>
        <v>1</v>
      </c>
      <c r="AE38" s="5" t="str">
        <f t="shared" si="15"/>
        <v>1</v>
      </c>
    </row>
    <row r="39" spans="1:31" ht="14.4" x14ac:dyDescent="0.3">
      <c r="A39" s="14">
        <v>36</v>
      </c>
      <c r="B39" s="15" t="s">
        <v>141</v>
      </c>
      <c r="C39" s="10">
        <v>10</v>
      </c>
      <c r="D39" s="10">
        <v>24</v>
      </c>
      <c r="E39" s="17">
        <v>365</v>
      </c>
      <c r="F39" s="21">
        <v>9.7999999999999997E-3</v>
      </c>
      <c r="G39" s="10">
        <v>900</v>
      </c>
      <c r="H39" s="13">
        <v>3.0000000000000001E-3</v>
      </c>
      <c r="I39" s="18">
        <v>10950</v>
      </c>
      <c r="J39" s="20">
        <v>1</v>
      </c>
      <c r="K39" s="19">
        <f t="shared" si="14"/>
        <v>1.225E-2</v>
      </c>
      <c r="L39" s="2">
        <f t="shared" si="0"/>
        <v>6.1249999999999999E-2</v>
      </c>
      <c r="M39" s="2">
        <f t="shared" si="1"/>
        <v>0.1225</v>
      </c>
      <c r="N39" s="2">
        <f t="shared" si="2"/>
        <v>0.18375</v>
      </c>
      <c r="O39" s="2">
        <f t="shared" si="3"/>
        <v>0.245</v>
      </c>
      <c r="P39" s="2">
        <f t="shared" si="4"/>
        <v>0.30625000000000002</v>
      </c>
      <c r="Q39" s="2">
        <f t="shared" si="5"/>
        <v>0.36749999999999999</v>
      </c>
      <c r="R39" s="2">
        <f t="shared" si="6"/>
        <v>4.083333333333333</v>
      </c>
      <c r="S39" s="2">
        <f t="shared" si="7"/>
        <v>20.416666666666664</v>
      </c>
      <c r="T39" s="2">
        <f t="shared" si="8"/>
        <v>40.833333333333329</v>
      </c>
      <c r="U39" s="2">
        <f t="shared" si="9"/>
        <v>61.25</v>
      </c>
      <c r="V39" s="2">
        <f t="shared" si="10"/>
        <v>81.666666666666657</v>
      </c>
      <c r="W39" s="2">
        <f t="shared" si="11"/>
        <v>102.08333333333334</v>
      </c>
      <c r="X39" s="2">
        <f t="shared" si="12"/>
        <v>122.5</v>
      </c>
      <c r="Y39" s="5" t="str">
        <f t="shared" si="15"/>
        <v>1</v>
      </c>
      <c r="Z39" s="5" t="str">
        <f t="shared" si="15"/>
        <v>1</v>
      </c>
      <c r="AA39" s="5" t="str">
        <f t="shared" si="15"/>
        <v>1</v>
      </c>
      <c r="AB39" s="5" t="str">
        <f t="shared" si="15"/>
        <v>1</v>
      </c>
      <c r="AC39" s="5" t="str">
        <f t="shared" si="15"/>
        <v>1</v>
      </c>
      <c r="AD39" s="5" t="str">
        <f t="shared" si="15"/>
        <v>1</v>
      </c>
      <c r="AE39" s="5" t="str">
        <f t="shared" si="15"/>
        <v>1</v>
      </c>
    </row>
    <row r="40" spans="1:31" ht="14.4" x14ac:dyDescent="0.3">
      <c r="A40" s="14">
        <v>37</v>
      </c>
      <c r="B40" s="15" t="s">
        <v>142</v>
      </c>
      <c r="C40" s="10">
        <v>10</v>
      </c>
      <c r="D40" s="10">
        <v>20</v>
      </c>
      <c r="E40" s="17">
        <v>365</v>
      </c>
      <c r="F40" s="21">
        <v>1.9900000000000001E-2</v>
      </c>
      <c r="G40" s="10">
        <v>900</v>
      </c>
      <c r="H40" s="13">
        <v>3.0000000000000001E-3</v>
      </c>
      <c r="I40" s="18">
        <v>10950</v>
      </c>
      <c r="J40" s="20">
        <v>10</v>
      </c>
      <c r="K40" s="19">
        <f t="shared" si="14"/>
        <v>0.29849999999999999</v>
      </c>
      <c r="L40" s="2">
        <f t="shared" si="0"/>
        <v>0.14924999999999999</v>
      </c>
      <c r="M40" s="2">
        <f t="shared" si="1"/>
        <v>0.29849999999999999</v>
      </c>
      <c r="N40" s="2">
        <f t="shared" si="2"/>
        <v>0.44774999999999998</v>
      </c>
      <c r="O40" s="2">
        <f t="shared" si="3"/>
        <v>0.59699999999999998</v>
      </c>
      <c r="P40" s="2">
        <f t="shared" si="4"/>
        <v>0.74624999999999997</v>
      </c>
      <c r="Q40" s="2">
        <f t="shared" si="5"/>
        <v>0.89549999999999996</v>
      </c>
      <c r="R40" s="2">
        <f t="shared" si="6"/>
        <v>99.5</v>
      </c>
      <c r="S40" s="2">
        <f t="shared" si="7"/>
        <v>49.75</v>
      </c>
      <c r="T40" s="2">
        <f t="shared" si="8"/>
        <v>99.5</v>
      </c>
      <c r="U40" s="2">
        <f t="shared" si="9"/>
        <v>149.25</v>
      </c>
      <c r="V40" s="2">
        <f t="shared" si="10"/>
        <v>199</v>
      </c>
      <c r="W40" s="2">
        <f t="shared" si="11"/>
        <v>248.74999999999997</v>
      </c>
      <c r="X40" s="2">
        <f t="shared" si="12"/>
        <v>298.5</v>
      </c>
      <c r="Y40" s="5" t="str">
        <f t="shared" si="15"/>
        <v>1</v>
      </c>
      <c r="Z40" s="5" t="str">
        <f t="shared" si="15"/>
        <v>1</v>
      </c>
      <c r="AA40" s="5" t="str">
        <f t="shared" si="15"/>
        <v>1</v>
      </c>
      <c r="AB40" s="5" t="str">
        <f t="shared" si="15"/>
        <v>1</v>
      </c>
      <c r="AC40" s="5" t="str">
        <f t="shared" si="15"/>
        <v>1</v>
      </c>
      <c r="AD40" s="5" t="str">
        <f t="shared" si="15"/>
        <v>1</v>
      </c>
      <c r="AE40" s="5" t="str">
        <f t="shared" si="15"/>
        <v>1</v>
      </c>
    </row>
    <row r="41" spans="1:31" ht="14.4" x14ac:dyDescent="0.3">
      <c r="A41" s="14">
        <v>38</v>
      </c>
      <c r="B41" s="15" t="s">
        <v>143</v>
      </c>
      <c r="C41" s="10">
        <v>10</v>
      </c>
      <c r="D41" s="10">
        <v>25</v>
      </c>
      <c r="E41" s="17">
        <v>365</v>
      </c>
      <c r="F41" s="21">
        <v>1.9900000000000001E-2</v>
      </c>
      <c r="G41" s="10">
        <v>900</v>
      </c>
      <c r="H41" s="13">
        <v>3.0000000000000001E-3</v>
      </c>
      <c r="I41" s="18">
        <v>10950</v>
      </c>
      <c r="J41" s="20">
        <v>10</v>
      </c>
      <c r="K41" s="19">
        <f t="shared" si="14"/>
        <v>0.23880000000000001</v>
      </c>
      <c r="L41" s="2">
        <f t="shared" si="0"/>
        <v>0.11940000000000001</v>
      </c>
      <c r="M41" s="2">
        <f t="shared" si="1"/>
        <v>0.23880000000000001</v>
      </c>
      <c r="N41" s="2">
        <f t="shared" si="2"/>
        <v>0.35820000000000002</v>
      </c>
      <c r="O41" s="2">
        <f t="shared" si="3"/>
        <v>0.47760000000000002</v>
      </c>
      <c r="P41" s="2">
        <f t="shared" si="4"/>
        <v>0.59699999999999998</v>
      </c>
      <c r="Q41" s="2">
        <f t="shared" si="5"/>
        <v>0.71640000000000004</v>
      </c>
      <c r="R41" s="2">
        <f t="shared" si="6"/>
        <v>79.600000000000009</v>
      </c>
      <c r="S41" s="2">
        <f t="shared" si="7"/>
        <v>39.800000000000004</v>
      </c>
      <c r="T41" s="2">
        <f t="shared" si="8"/>
        <v>79.600000000000009</v>
      </c>
      <c r="U41" s="2">
        <f t="shared" si="9"/>
        <v>119.4</v>
      </c>
      <c r="V41" s="2">
        <f t="shared" si="10"/>
        <v>159.20000000000002</v>
      </c>
      <c r="W41" s="2">
        <f t="shared" si="11"/>
        <v>199</v>
      </c>
      <c r="X41" s="2">
        <f t="shared" si="12"/>
        <v>238.8</v>
      </c>
      <c r="Y41" s="5" t="str">
        <f t="shared" si="15"/>
        <v>1</v>
      </c>
      <c r="Z41" s="5" t="str">
        <f t="shared" si="15"/>
        <v>1</v>
      </c>
      <c r="AA41" s="5" t="str">
        <f t="shared" si="15"/>
        <v>1</v>
      </c>
      <c r="AB41" s="5" t="str">
        <f t="shared" si="15"/>
        <v>1</v>
      </c>
      <c r="AC41" s="5" t="str">
        <f t="shared" si="15"/>
        <v>1</v>
      </c>
      <c r="AD41" s="5" t="str">
        <f t="shared" si="15"/>
        <v>1</v>
      </c>
      <c r="AE41" s="5" t="str">
        <f t="shared" si="15"/>
        <v>1</v>
      </c>
    </row>
    <row r="42" spans="1:31" ht="14.4" x14ac:dyDescent="0.3">
      <c r="A42" s="14">
        <v>39</v>
      </c>
      <c r="B42" s="15" t="s">
        <v>144</v>
      </c>
      <c r="C42" s="10">
        <v>10</v>
      </c>
      <c r="D42" s="10">
        <v>30</v>
      </c>
      <c r="E42" s="17">
        <v>365</v>
      </c>
      <c r="F42" s="21">
        <v>1.9900000000000001E-2</v>
      </c>
      <c r="G42" s="10">
        <v>900</v>
      </c>
      <c r="H42" s="13">
        <v>3.0000000000000001E-3</v>
      </c>
      <c r="I42" s="18">
        <v>10950</v>
      </c>
      <c r="J42" s="20">
        <v>10</v>
      </c>
      <c r="K42" s="19">
        <f t="shared" si="14"/>
        <v>0.19900000000000001</v>
      </c>
      <c r="L42" s="2">
        <f t="shared" si="0"/>
        <v>9.9500000000000005E-2</v>
      </c>
      <c r="M42" s="2">
        <f t="shared" si="1"/>
        <v>0.19900000000000001</v>
      </c>
      <c r="N42" s="2">
        <f t="shared" si="2"/>
        <v>0.29849999999999999</v>
      </c>
      <c r="O42" s="2">
        <f t="shared" si="3"/>
        <v>0.39800000000000002</v>
      </c>
      <c r="P42" s="2">
        <f t="shared" si="4"/>
        <v>0.4975</v>
      </c>
      <c r="Q42" s="2">
        <f t="shared" si="5"/>
        <v>0.59699999999999998</v>
      </c>
      <c r="R42" s="2">
        <f t="shared" si="6"/>
        <v>66.333333333333329</v>
      </c>
      <c r="S42" s="2">
        <f t="shared" si="7"/>
        <v>33.166666666666664</v>
      </c>
      <c r="T42" s="2">
        <f t="shared" si="8"/>
        <v>66.333333333333329</v>
      </c>
      <c r="U42" s="2">
        <f t="shared" si="9"/>
        <v>99.5</v>
      </c>
      <c r="V42" s="2">
        <f t="shared" si="10"/>
        <v>132.66666666666666</v>
      </c>
      <c r="W42" s="2">
        <f t="shared" si="11"/>
        <v>165.83333333333334</v>
      </c>
      <c r="X42" s="2">
        <f t="shared" si="12"/>
        <v>199</v>
      </c>
      <c r="Y42" s="5" t="str">
        <f t="shared" si="15"/>
        <v>1</v>
      </c>
      <c r="Z42" s="5" t="str">
        <f t="shared" si="15"/>
        <v>1</v>
      </c>
      <c r="AA42" s="5" t="str">
        <f t="shared" si="15"/>
        <v>1</v>
      </c>
      <c r="AB42" s="5" t="str">
        <f t="shared" si="15"/>
        <v>1</v>
      </c>
      <c r="AC42" s="5" t="str">
        <f t="shared" si="15"/>
        <v>1</v>
      </c>
      <c r="AD42" s="5" t="str">
        <f t="shared" si="15"/>
        <v>1</v>
      </c>
      <c r="AE42" s="5" t="str">
        <f t="shared" si="15"/>
        <v>1</v>
      </c>
    </row>
    <row r="43" spans="1:31" ht="14.4" x14ac:dyDescent="0.3">
      <c r="A43" s="14">
        <v>40</v>
      </c>
      <c r="B43" s="15" t="s">
        <v>145</v>
      </c>
      <c r="C43" s="10">
        <v>10</v>
      </c>
      <c r="D43" s="10">
        <v>25</v>
      </c>
      <c r="E43" s="17">
        <v>365</v>
      </c>
      <c r="F43" s="21">
        <v>3.2000000000000002E-3</v>
      </c>
      <c r="G43" s="10">
        <v>900</v>
      </c>
      <c r="H43" s="13">
        <v>3.0000000000000001E-3</v>
      </c>
      <c r="I43" s="18">
        <v>10950</v>
      </c>
      <c r="J43" s="20">
        <v>10</v>
      </c>
      <c r="K43" s="19">
        <f t="shared" si="14"/>
        <v>3.8399999999999997E-2</v>
      </c>
      <c r="L43" s="2">
        <f t="shared" si="0"/>
        <v>1.9199999999999998E-2</v>
      </c>
      <c r="M43" s="2">
        <f t="shared" si="1"/>
        <v>3.8399999999999997E-2</v>
      </c>
      <c r="N43" s="2">
        <f t="shared" si="2"/>
        <v>5.7599999999999998E-2</v>
      </c>
      <c r="O43" s="2">
        <f t="shared" si="3"/>
        <v>7.6799999999999993E-2</v>
      </c>
      <c r="P43" s="2">
        <f t="shared" si="4"/>
        <v>9.6000000000000002E-2</v>
      </c>
      <c r="Q43" s="2">
        <f t="shared" si="5"/>
        <v>0.1152</v>
      </c>
      <c r="R43" s="2">
        <f t="shared" si="6"/>
        <v>12.799999999999999</v>
      </c>
      <c r="S43" s="2">
        <f>L43/H43</f>
        <v>6.3999999999999995</v>
      </c>
      <c r="T43" s="2">
        <f t="shared" si="8"/>
        <v>12.799999999999999</v>
      </c>
      <c r="U43" s="2">
        <f t="shared" si="9"/>
        <v>19.2</v>
      </c>
      <c r="V43" s="2">
        <f t="shared" si="10"/>
        <v>25.599999999999998</v>
      </c>
      <c r="W43" s="2">
        <f t="shared" si="11"/>
        <v>32</v>
      </c>
      <c r="X43" s="2">
        <f t="shared" si="12"/>
        <v>38.4</v>
      </c>
      <c r="Y43" s="5" t="str">
        <f t="shared" si="15"/>
        <v>1</v>
      </c>
      <c r="Z43" s="5" t="str">
        <f t="shared" si="15"/>
        <v>1</v>
      </c>
      <c r="AA43" s="5" t="str">
        <f t="shared" si="15"/>
        <v>1</v>
      </c>
      <c r="AB43" s="5" t="str">
        <f t="shared" si="15"/>
        <v>1</v>
      </c>
      <c r="AC43" s="5" t="str">
        <f t="shared" si="15"/>
        <v>1</v>
      </c>
      <c r="AD43" s="5" t="str">
        <f t="shared" si="15"/>
        <v>1</v>
      </c>
      <c r="AE43" s="5" t="str">
        <f t="shared" si="15"/>
        <v>1</v>
      </c>
    </row>
    <row r="44" spans="1:31" ht="14.4" x14ac:dyDescent="0.3">
      <c r="A44" s="14">
        <v>41</v>
      </c>
      <c r="B44" s="15" t="s">
        <v>146</v>
      </c>
      <c r="C44" s="10">
        <v>10</v>
      </c>
      <c r="D44" s="10">
        <v>37</v>
      </c>
      <c r="E44" s="17">
        <v>365</v>
      </c>
      <c r="F44" s="21">
        <v>3.2000000000000002E-3</v>
      </c>
      <c r="G44" s="10">
        <v>900</v>
      </c>
      <c r="H44" s="13">
        <v>3.0000000000000001E-3</v>
      </c>
      <c r="I44" s="18">
        <v>10950</v>
      </c>
      <c r="J44" s="20">
        <v>10</v>
      </c>
      <c r="K44" s="19">
        <f t="shared" si="14"/>
        <v>2.5945945945945945E-2</v>
      </c>
      <c r="L44" s="2">
        <f t="shared" si="0"/>
        <v>1.2972972972972972E-2</v>
      </c>
      <c r="M44" s="2">
        <f t="shared" si="1"/>
        <v>2.5945945945945945E-2</v>
      </c>
      <c r="N44" s="2">
        <f t="shared" si="2"/>
        <v>3.8918918918918917E-2</v>
      </c>
      <c r="O44" s="2">
        <f t="shared" si="3"/>
        <v>5.1891891891891889E-2</v>
      </c>
      <c r="P44" s="2">
        <f t="shared" si="4"/>
        <v>6.4864864864864868E-2</v>
      </c>
      <c r="Q44" s="2">
        <f t="shared" si="5"/>
        <v>7.7837837837837834E-2</v>
      </c>
      <c r="R44" s="2">
        <f t="shared" si="6"/>
        <v>8.6486486486486474</v>
      </c>
      <c r="S44" s="2">
        <f t="shared" ref="S44:S103" si="16">L44/H44</f>
        <v>4.3243243243243237</v>
      </c>
      <c r="T44" s="2">
        <f t="shared" si="8"/>
        <v>8.6486486486486474</v>
      </c>
      <c r="U44" s="2">
        <f>N44/H44</f>
        <v>12.972972972972972</v>
      </c>
      <c r="V44" s="2">
        <f>O44/H44</f>
        <v>17.297297297297295</v>
      </c>
      <c r="W44" s="2">
        <f>P44/H44</f>
        <v>21.621621621621621</v>
      </c>
      <c r="X44" s="2">
        <f>Q44/H44</f>
        <v>25.945945945945944</v>
      </c>
      <c r="Y44" s="5" t="str">
        <f t="shared" si="15"/>
        <v>1</v>
      </c>
      <c r="Z44" s="5" t="str">
        <f t="shared" si="15"/>
        <v>1</v>
      </c>
      <c r="AA44" s="5" t="str">
        <f t="shared" si="15"/>
        <v>1</v>
      </c>
      <c r="AB44" s="5" t="str">
        <f t="shared" si="15"/>
        <v>1</v>
      </c>
      <c r="AC44" s="5" t="str">
        <f t="shared" si="15"/>
        <v>1</v>
      </c>
      <c r="AD44" s="5" t="str">
        <f t="shared" si="15"/>
        <v>1</v>
      </c>
      <c r="AE44" s="5" t="str">
        <f t="shared" si="15"/>
        <v>1</v>
      </c>
    </row>
    <row r="45" spans="1:31" ht="14.4" x14ac:dyDescent="0.3">
      <c r="A45" s="14">
        <v>42</v>
      </c>
      <c r="B45" s="15" t="s">
        <v>147</v>
      </c>
      <c r="C45" s="10">
        <v>10</v>
      </c>
      <c r="D45" s="10">
        <v>22</v>
      </c>
      <c r="E45" s="17">
        <v>365</v>
      </c>
      <c r="F45" s="21">
        <v>3.2000000000000002E-3</v>
      </c>
      <c r="G45" s="10">
        <v>900</v>
      </c>
      <c r="H45" s="13">
        <v>3.0000000000000001E-3</v>
      </c>
      <c r="I45" s="18">
        <v>10950</v>
      </c>
      <c r="J45" s="20">
        <v>10</v>
      </c>
      <c r="K45" s="19">
        <f t="shared" si="14"/>
        <v>4.363636363636364E-2</v>
      </c>
      <c r="L45" s="2">
        <f t="shared" si="0"/>
        <v>2.181818181818182E-2</v>
      </c>
      <c r="M45" s="2">
        <f t="shared" si="1"/>
        <v>4.363636363636364E-2</v>
      </c>
      <c r="N45" s="2">
        <f t="shared" si="2"/>
        <v>6.545454545454546E-2</v>
      </c>
      <c r="O45" s="2">
        <f t="shared" si="3"/>
        <v>8.727272727272728E-2</v>
      </c>
      <c r="P45" s="2">
        <f t="shared" si="4"/>
        <v>0.10909090909090909</v>
      </c>
      <c r="Q45" s="2">
        <f t="shared" si="5"/>
        <v>0.13090909090909092</v>
      </c>
      <c r="R45" s="2">
        <f t="shared" si="6"/>
        <v>14.545454545454547</v>
      </c>
      <c r="S45" s="2">
        <f t="shared" si="16"/>
        <v>7.2727272727272734</v>
      </c>
      <c r="T45" s="2">
        <f t="shared" si="8"/>
        <v>14.545454545454547</v>
      </c>
      <c r="U45" s="2">
        <f>N45/H45</f>
        <v>21.81818181818182</v>
      </c>
      <c r="V45" s="2">
        <f>O45/H45</f>
        <v>29.090909090909093</v>
      </c>
      <c r="W45" s="2">
        <f>P45/H45</f>
        <v>36.36363636363636</v>
      </c>
      <c r="X45" s="2">
        <f>Q45/H45</f>
        <v>43.63636363636364</v>
      </c>
      <c r="Y45" s="5" t="str">
        <f t="shared" si="15"/>
        <v>1</v>
      </c>
      <c r="Z45" s="5" t="str">
        <f t="shared" si="15"/>
        <v>1</v>
      </c>
      <c r="AA45" s="5" t="str">
        <f t="shared" si="15"/>
        <v>1</v>
      </c>
      <c r="AB45" s="5" t="str">
        <f t="shared" si="15"/>
        <v>1</v>
      </c>
      <c r="AC45" s="5" t="str">
        <f t="shared" si="15"/>
        <v>1</v>
      </c>
      <c r="AD45" s="5" t="str">
        <f t="shared" si="15"/>
        <v>1</v>
      </c>
      <c r="AE45" s="5" t="str">
        <f t="shared" si="15"/>
        <v>1</v>
      </c>
    </row>
    <row r="46" spans="1:31" ht="14.4" x14ac:dyDescent="0.3">
      <c r="A46" s="14">
        <v>43</v>
      </c>
      <c r="B46" s="15" t="s">
        <v>148</v>
      </c>
      <c r="C46" s="10">
        <v>10</v>
      </c>
      <c r="D46" s="10">
        <v>20</v>
      </c>
      <c r="E46" s="17">
        <v>365</v>
      </c>
      <c r="F46" s="21">
        <v>1.8E-3</v>
      </c>
      <c r="G46" s="10">
        <v>900</v>
      </c>
      <c r="H46" s="13">
        <v>3.0000000000000001E-3</v>
      </c>
      <c r="I46" s="18">
        <v>10950</v>
      </c>
      <c r="J46" s="20">
        <v>6</v>
      </c>
      <c r="K46" s="19">
        <f t="shared" si="14"/>
        <v>1.6199999999999999E-2</v>
      </c>
      <c r="L46" s="2">
        <f>(F46*G46*E46*5)/(D46*I46)</f>
        <v>1.35E-2</v>
      </c>
      <c r="M46" s="2">
        <f t="shared" si="1"/>
        <v>2.7E-2</v>
      </c>
      <c r="N46" s="2">
        <f t="shared" si="2"/>
        <v>4.0500000000000001E-2</v>
      </c>
      <c r="O46" s="2">
        <f t="shared" si="3"/>
        <v>5.3999999999999999E-2</v>
      </c>
      <c r="P46" s="2">
        <f t="shared" si="4"/>
        <v>6.7499999999999991E-2</v>
      </c>
      <c r="Q46" s="2">
        <f t="shared" si="5"/>
        <v>8.1000000000000003E-2</v>
      </c>
      <c r="R46" s="2">
        <f t="shared" si="6"/>
        <v>5.3999999999999995</v>
      </c>
      <c r="S46" s="2">
        <f t="shared" si="16"/>
        <v>4.5</v>
      </c>
      <c r="T46" s="2">
        <f t="shared" si="8"/>
        <v>9</v>
      </c>
      <c r="U46" s="2">
        <f t="shared" ref="U46:U103" si="17">N46/H46</f>
        <v>13.5</v>
      </c>
      <c r="V46" s="2">
        <f t="shared" ref="V46:V103" si="18">O46/H46</f>
        <v>18</v>
      </c>
      <c r="W46" s="2">
        <f t="shared" ref="W46:W103" si="19">P46/H46</f>
        <v>22.499999999999996</v>
      </c>
      <c r="X46" s="2">
        <f t="shared" ref="X46:X103" si="20">Q46/H46</f>
        <v>27</v>
      </c>
      <c r="Y46" s="5" t="str">
        <f t="shared" si="15"/>
        <v>1</v>
      </c>
      <c r="Z46" s="5" t="str">
        <f t="shared" si="15"/>
        <v>1</v>
      </c>
      <c r="AA46" s="5" t="str">
        <f t="shared" si="15"/>
        <v>1</v>
      </c>
      <c r="AB46" s="5" t="str">
        <f t="shared" si="15"/>
        <v>1</v>
      </c>
      <c r="AC46" s="5" t="str">
        <f t="shared" si="15"/>
        <v>1</v>
      </c>
      <c r="AD46" s="5" t="str">
        <f t="shared" si="15"/>
        <v>1</v>
      </c>
      <c r="AE46" s="5" t="str">
        <f t="shared" si="15"/>
        <v>1</v>
      </c>
    </row>
    <row r="47" spans="1:31" ht="14.4" x14ac:dyDescent="0.3">
      <c r="A47" s="14">
        <v>44</v>
      </c>
      <c r="B47" s="15" t="s">
        <v>149</v>
      </c>
      <c r="C47" s="10">
        <v>10</v>
      </c>
      <c r="D47" s="10">
        <v>25</v>
      </c>
      <c r="E47" s="17">
        <v>365</v>
      </c>
      <c r="F47" s="21">
        <v>2.3999999999999998E-3</v>
      </c>
      <c r="G47" s="10">
        <v>1500</v>
      </c>
      <c r="H47" s="13">
        <v>3.0000000000000001E-3</v>
      </c>
      <c r="I47" s="18">
        <v>10950</v>
      </c>
      <c r="J47" s="20">
        <v>6</v>
      </c>
      <c r="K47" s="19">
        <f t="shared" si="14"/>
        <v>2.8799999999999992E-2</v>
      </c>
      <c r="L47" s="2">
        <f t="shared" ref="L47:L103" si="21">(F47*G47*E47*5)/(D47*I47)</f>
        <v>2.3999999999999997E-2</v>
      </c>
      <c r="M47" s="2">
        <f t="shared" si="1"/>
        <v>4.7999999999999994E-2</v>
      </c>
      <c r="N47" s="2">
        <f t="shared" si="2"/>
        <v>7.1999999999999981E-2</v>
      </c>
      <c r="O47" s="2">
        <f t="shared" si="3"/>
        <v>9.5999999999999988E-2</v>
      </c>
      <c r="P47" s="2">
        <f t="shared" si="4"/>
        <v>0.11999999999999997</v>
      </c>
      <c r="Q47" s="2">
        <f t="shared" si="5"/>
        <v>0.14399999999999996</v>
      </c>
      <c r="R47" s="2">
        <f t="shared" si="6"/>
        <v>9.5999999999999979</v>
      </c>
      <c r="S47" s="2">
        <f t="shared" si="16"/>
        <v>7.9999999999999991</v>
      </c>
      <c r="T47" s="2">
        <f t="shared" si="8"/>
        <v>15.999999999999998</v>
      </c>
      <c r="U47" s="2">
        <f t="shared" si="17"/>
        <v>23.999999999999993</v>
      </c>
      <c r="V47" s="2">
        <f t="shared" si="18"/>
        <v>31.999999999999996</v>
      </c>
      <c r="W47" s="2">
        <f t="shared" si="19"/>
        <v>39.999999999999986</v>
      </c>
      <c r="X47" s="2">
        <f t="shared" si="20"/>
        <v>47.999999999999986</v>
      </c>
      <c r="Y47" s="5" t="str">
        <f t="shared" si="15"/>
        <v>1</v>
      </c>
      <c r="Z47" s="5" t="str">
        <f t="shared" si="15"/>
        <v>1</v>
      </c>
      <c r="AA47" s="5" t="str">
        <f t="shared" si="15"/>
        <v>1</v>
      </c>
      <c r="AB47" s="5" t="str">
        <f t="shared" si="15"/>
        <v>1</v>
      </c>
      <c r="AC47" s="5" t="str">
        <f t="shared" si="15"/>
        <v>1</v>
      </c>
      <c r="AD47" s="5" t="str">
        <f t="shared" si="15"/>
        <v>1</v>
      </c>
      <c r="AE47" s="5" t="str">
        <f t="shared" si="15"/>
        <v>1</v>
      </c>
    </row>
    <row r="48" spans="1:31" ht="14.4" x14ac:dyDescent="0.3">
      <c r="A48" s="14">
        <v>45</v>
      </c>
      <c r="B48" s="15" t="s">
        <v>150</v>
      </c>
      <c r="C48" s="10">
        <v>10</v>
      </c>
      <c r="D48" s="10">
        <v>49</v>
      </c>
      <c r="E48" s="17">
        <v>365</v>
      </c>
      <c r="F48" s="21">
        <v>2.3999999999999998E-3</v>
      </c>
      <c r="G48" s="10">
        <v>2100</v>
      </c>
      <c r="H48" s="13">
        <v>3.0000000000000001E-3</v>
      </c>
      <c r="I48" s="18">
        <v>10950</v>
      </c>
      <c r="J48" s="20">
        <v>2</v>
      </c>
      <c r="K48" s="19">
        <f t="shared" si="14"/>
        <v>6.8571428571428559E-3</v>
      </c>
      <c r="L48" s="2">
        <f t="shared" si="21"/>
        <v>1.714285714285714E-2</v>
      </c>
      <c r="M48" s="2">
        <f t="shared" si="1"/>
        <v>3.428571428571428E-2</v>
      </c>
      <c r="N48" s="2">
        <f t="shared" si="2"/>
        <v>5.1428571428571421E-2</v>
      </c>
      <c r="O48" s="2">
        <f t="shared" si="3"/>
        <v>6.8571428571428561E-2</v>
      </c>
      <c r="P48" s="2">
        <f t="shared" si="4"/>
        <v>8.5714285714285701E-2</v>
      </c>
      <c r="Q48" s="2">
        <f t="shared" si="5"/>
        <v>0.10285714285714284</v>
      </c>
      <c r="R48" s="2">
        <f t="shared" si="6"/>
        <v>2.2857142857142851</v>
      </c>
      <c r="S48" s="2">
        <f t="shared" si="16"/>
        <v>5.7142857142857135</v>
      </c>
      <c r="T48" s="2">
        <f t="shared" si="8"/>
        <v>11.428571428571427</v>
      </c>
      <c r="U48" s="2">
        <f t="shared" si="17"/>
        <v>17.142857142857139</v>
      </c>
      <c r="V48" s="2">
        <f t="shared" si="18"/>
        <v>22.857142857142854</v>
      </c>
      <c r="W48" s="2">
        <f t="shared" si="19"/>
        <v>28.571428571428566</v>
      </c>
      <c r="X48" s="2">
        <f t="shared" si="20"/>
        <v>34.285714285714278</v>
      </c>
      <c r="Y48" s="5" t="str">
        <f t="shared" si="15"/>
        <v>1</v>
      </c>
      <c r="Z48" s="5" t="str">
        <f t="shared" si="15"/>
        <v>1</v>
      </c>
      <c r="AA48" s="5" t="str">
        <f t="shared" si="15"/>
        <v>1</v>
      </c>
      <c r="AB48" s="5" t="str">
        <f t="shared" si="15"/>
        <v>1</v>
      </c>
      <c r="AC48" s="5" t="str">
        <f t="shared" si="15"/>
        <v>1</v>
      </c>
      <c r="AD48" s="5" t="str">
        <f t="shared" si="15"/>
        <v>1</v>
      </c>
      <c r="AE48" s="5" t="str">
        <f t="shared" si="15"/>
        <v>1</v>
      </c>
    </row>
    <row r="49" spans="1:31" ht="14.4" x14ac:dyDescent="0.3">
      <c r="A49" s="14">
        <v>46</v>
      </c>
      <c r="B49" s="15" t="s">
        <v>151</v>
      </c>
      <c r="C49" s="10">
        <v>10</v>
      </c>
      <c r="D49" s="10">
        <v>25</v>
      </c>
      <c r="E49" s="17">
        <v>365</v>
      </c>
      <c r="F49" s="21">
        <v>2.3999999999999998E-3</v>
      </c>
      <c r="G49" s="10">
        <v>900</v>
      </c>
      <c r="H49" s="13">
        <v>3.0000000000000001E-3</v>
      </c>
      <c r="I49" s="18">
        <v>10950</v>
      </c>
      <c r="J49" s="20">
        <v>10</v>
      </c>
      <c r="K49" s="19">
        <f t="shared" si="14"/>
        <v>2.8799999999999992E-2</v>
      </c>
      <c r="L49" s="2">
        <f t="shared" si="21"/>
        <v>1.4399999999999996E-2</v>
      </c>
      <c r="M49" s="2">
        <f t="shared" si="1"/>
        <v>2.8799999999999992E-2</v>
      </c>
      <c r="N49" s="2">
        <f t="shared" si="2"/>
        <v>4.3199999999999995E-2</v>
      </c>
      <c r="O49" s="2">
        <f t="shared" si="3"/>
        <v>5.7599999999999985E-2</v>
      </c>
      <c r="P49" s="2">
        <f t="shared" si="4"/>
        <v>7.1999999999999981E-2</v>
      </c>
      <c r="Q49" s="2">
        <f t="shared" si="5"/>
        <v>8.6399999999999991E-2</v>
      </c>
      <c r="R49" s="2">
        <f t="shared" si="6"/>
        <v>9.5999999999999979</v>
      </c>
      <c r="S49" s="2">
        <f t="shared" si="16"/>
        <v>4.7999999999999989</v>
      </c>
      <c r="T49" s="2">
        <f t="shared" si="8"/>
        <v>9.5999999999999979</v>
      </c>
      <c r="U49" s="2">
        <f t="shared" si="17"/>
        <v>14.399999999999999</v>
      </c>
      <c r="V49" s="2">
        <f t="shared" si="18"/>
        <v>19.199999999999996</v>
      </c>
      <c r="W49" s="2">
        <f t="shared" si="19"/>
        <v>23.999999999999993</v>
      </c>
      <c r="X49" s="2">
        <f t="shared" si="20"/>
        <v>28.799999999999997</v>
      </c>
      <c r="Y49" s="5" t="str">
        <f t="shared" si="15"/>
        <v>1</v>
      </c>
      <c r="Z49" s="5" t="str">
        <f t="shared" si="15"/>
        <v>1</v>
      </c>
      <c r="AA49" s="5" t="str">
        <f t="shared" si="15"/>
        <v>1</v>
      </c>
      <c r="AB49" s="5" t="str">
        <f t="shared" si="15"/>
        <v>1</v>
      </c>
      <c r="AC49" s="5" t="str">
        <f t="shared" si="15"/>
        <v>1</v>
      </c>
      <c r="AD49" s="5" t="str">
        <f t="shared" si="15"/>
        <v>1</v>
      </c>
      <c r="AE49" s="5" t="str">
        <f t="shared" si="15"/>
        <v>1</v>
      </c>
    </row>
    <row r="50" spans="1:31" ht="14.4" x14ac:dyDescent="0.3">
      <c r="A50" s="14">
        <v>47</v>
      </c>
      <c r="B50" s="15" t="s">
        <v>152</v>
      </c>
      <c r="C50" s="10">
        <v>10</v>
      </c>
      <c r="D50" s="10">
        <v>27</v>
      </c>
      <c r="E50" s="17">
        <v>365</v>
      </c>
      <c r="F50" s="21">
        <v>1.4E-3</v>
      </c>
      <c r="G50" s="10">
        <v>900</v>
      </c>
      <c r="H50" s="13">
        <v>3.0000000000000001E-3</v>
      </c>
      <c r="I50" s="18">
        <v>10950</v>
      </c>
      <c r="J50" s="20">
        <v>10</v>
      </c>
      <c r="K50" s="19">
        <f t="shared" si="14"/>
        <v>1.5555555555555555E-2</v>
      </c>
      <c r="L50" s="2">
        <f t="shared" si="21"/>
        <v>7.7777777777777776E-3</v>
      </c>
      <c r="M50" s="2">
        <f t="shared" si="1"/>
        <v>1.5555555555555555E-2</v>
      </c>
      <c r="N50" s="2">
        <f t="shared" si="2"/>
        <v>2.3333333333333334E-2</v>
      </c>
      <c r="O50" s="2">
        <f t="shared" si="3"/>
        <v>3.111111111111111E-2</v>
      </c>
      <c r="P50" s="2">
        <f t="shared" si="4"/>
        <v>3.888888888888889E-2</v>
      </c>
      <c r="Q50" s="2">
        <f t="shared" si="5"/>
        <v>4.6666666666666669E-2</v>
      </c>
      <c r="R50" s="2">
        <f t="shared" si="6"/>
        <v>5.1851851851851851</v>
      </c>
      <c r="S50" s="2">
        <f t="shared" si="16"/>
        <v>2.5925925925925926</v>
      </c>
      <c r="T50" s="2">
        <f t="shared" si="8"/>
        <v>5.1851851851851851</v>
      </c>
      <c r="U50" s="2">
        <f t="shared" si="17"/>
        <v>7.7777777777777777</v>
      </c>
      <c r="V50" s="2">
        <f t="shared" si="18"/>
        <v>10.37037037037037</v>
      </c>
      <c r="W50" s="2">
        <f t="shared" si="19"/>
        <v>12.962962962962964</v>
      </c>
      <c r="X50" s="2">
        <f t="shared" si="20"/>
        <v>15.555555555555555</v>
      </c>
      <c r="Y50" s="5" t="str">
        <f t="shared" si="15"/>
        <v>1</v>
      </c>
      <c r="Z50" s="5" t="str">
        <f t="shared" si="15"/>
        <v>1</v>
      </c>
      <c r="AA50" s="5" t="str">
        <f t="shared" si="15"/>
        <v>1</v>
      </c>
      <c r="AB50" s="5" t="str">
        <f t="shared" si="15"/>
        <v>1</v>
      </c>
      <c r="AC50" s="5" t="str">
        <f t="shared" si="15"/>
        <v>1</v>
      </c>
      <c r="AD50" s="5" t="str">
        <f t="shared" si="15"/>
        <v>1</v>
      </c>
      <c r="AE50" s="5" t="str">
        <f t="shared" si="15"/>
        <v>1</v>
      </c>
    </row>
    <row r="51" spans="1:31" ht="14.4" x14ac:dyDescent="0.3">
      <c r="A51" s="14">
        <v>48</v>
      </c>
      <c r="B51" s="15" t="s">
        <v>106</v>
      </c>
      <c r="C51" s="10">
        <v>10</v>
      </c>
      <c r="D51" s="10">
        <v>33</v>
      </c>
      <c r="E51" s="17">
        <v>365</v>
      </c>
      <c r="F51" s="21">
        <v>1.4E-3</v>
      </c>
      <c r="G51" s="10">
        <v>900</v>
      </c>
      <c r="H51" s="13">
        <v>3.0000000000000001E-3</v>
      </c>
      <c r="I51" s="18">
        <v>10950</v>
      </c>
      <c r="J51" s="20">
        <v>6</v>
      </c>
      <c r="K51" s="19">
        <f t="shared" si="14"/>
        <v>7.6363636363636356E-3</v>
      </c>
      <c r="L51" s="2">
        <f t="shared" si="21"/>
        <v>6.3636363636363638E-3</v>
      </c>
      <c r="M51" s="2">
        <f t="shared" si="1"/>
        <v>1.2727272727272728E-2</v>
      </c>
      <c r="N51" s="2">
        <f t="shared" si="2"/>
        <v>1.9090909090909092E-2</v>
      </c>
      <c r="O51" s="2">
        <f t="shared" si="3"/>
        <v>2.5454545454545455E-2</v>
      </c>
      <c r="P51" s="2">
        <f t="shared" si="4"/>
        <v>3.1818181818181815E-2</v>
      </c>
      <c r="Q51" s="2">
        <f t="shared" si="5"/>
        <v>3.8181818181818185E-2</v>
      </c>
      <c r="R51" s="2">
        <f t="shared" si="6"/>
        <v>2.545454545454545</v>
      </c>
      <c r="S51" s="2">
        <f t="shared" si="16"/>
        <v>2.1212121212121211</v>
      </c>
      <c r="T51" s="2">
        <f t="shared" si="8"/>
        <v>4.2424242424242422</v>
      </c>
      <c r="U51" s="2">
        <f t="shared" si="17"/>
        <v>6.3636363636363642</v>
      </c>
      <c r="V51" s="2">
        <f t="shared" si="18"/>
        <v>8.4848484848484844</v>
      </c>
      <c r="W51" s="2">
        <f t="shared" si="19"/>
        <v>10.606060606060606</v>
      </c>
      <c r="X51" s="2">
        <f t="shared" si="20"/>
        <v>12.727272727272728</v>
      </c>
      <c r="Y51" s="5" t="str">
        <f t="shared" si="15"/>
        <v>1</v>
      </c>
      <c r="Z51" s="5" t="str">
        <f t="shared" si="15"/>
        <v>1</v>
      </c>
      <c r="AA51" s="5" t="str">
        <f t="shared" si="15"/>
        <v>1</v>
      </c>
      <c r="AB51" s="5" t="str">
        <f t="shared" si="15"/>
        <v>1</v>
      </c>
      <c r="AC51" s="5" t="str">
        <f t="shared" si="15"/>
        <v>1</v>
      </c>
      <c r="AD51" s="5" t="str">
        <f t="shared" si="15"/>
        <v>1</v>
      </c>
      <c r="AE51" s="5" t="str">
        <f t="shared" si="15"/>
        <v>1</v>
      </c>
    </row>
    <row r="52" spans="1:31" ht="14.4" x14ac:dyDescent="0.3">
      <c r="A52" s="14">
        <v>49</v>
      </c>
      <c r="B52" s="15" t="s">
        <v>153</v>
      </c>
      <c r="C52" s="10">
        <v>10</v>
      </c>
      <c r="D52" s="10">
        <v>29</v>
      </c>
      <c r="E52" s="17">
        <v>365</v>
      </c>
      <c r="F52" s="21">
        <v>1.4E-3</v>
      </c>
      <c r="G52" s="10">
        <v>1500</v>
      </c>
      <c r="H52" s="13">
        <v>3.0000000000000001E-3</v>
      </c>
      <c r="I52" s="18">
        <v>10950</v>
      </c>
      <c r="J52" s="20">
        <v>8</v>
      </c>
      <c r="K52" s="19">
        <f t="shared" si="14"/>
        <v>1.9310344827586208E-2</v>
      </c>
      <c r="L52" s="2">
        <f t="shared" si="21"/>
        <v>1.2068965517241379E-2</v>
      </c>
      <c r="M52" s="2">
        <f t="shared" si="1"/>
        <v>2.4137931034482758E-2</v>
      </c>
      <c r="N52" s="2">
        <f t="shared" si="2"/>
        <v>3.6206896551724141E-2</v>
      </c>
      <c r="O52" s="2">
        <f t="shared" si="3"/>
        <v>4.8275862068965517E-2</v>
      </c>
      <c r="P52" s="2">
        <f t="shared" si="4"/>
        <v>6.0344827586206899E-2</v>
      </c>
      <c r="Q52" s="2">
        <f t="shared" si="5"/>
        <v>7.2413793103448282E-2</v>
      </c>
      <c r="R52" s="2">
        <f t="shared" si="6"/>
        <v>6.4367816091954024</v>
      </c>
      <c r="S52" s="2">
        <f t="shared" si="16"/>
        <v>4.0229885057471266</v>
      </c>
      <c r="T52" s="2">
        <f t="shared" si="8"/>
        <v>8.0459770114942533</v>
      </c>
      <c r="U52" s="2">
        <f t="shared" si="17"/>
        <v>12.068965517241381</v>
      </c>
      <c r="V52" s="2">
        <f t="shared" si="18"/>
        <v>16.091954022988507</v>
      </c>
      <c r="W52" s="2">
        <f t="shared" si="19"/>
        <v>20.114942528735632</v>
      </c>
      <c r="X52" s="2">
        <f t="shared" si="20"/>
        <v>24.137931034482762</v>
      </c>
      <c r="Y52" s="5" t="str">
        <f t="shared" si="15"/>
        <v>1</v>
      </c>
      <c r="Z52" s="5" t="str">
        <f t="shared" si="15"/>
        <v>1</v>
      </c>
      <c r="AA52" s="5" t="str">
        <f t="shared" si="15"/>
        <v>1</v>
      </c>
      <c r="AB52" s="5" t="str">
        <f t="shared" si="15"/>
        <v>1</v>
      </c>
      <c r="AC52" s="5" t="str">
        <f t="shared" si="15"/>
        <v>1</v>
      </c>
      <c r="AD52" s="5" t="str">
        <f t="shared" si="15"/>
        <v>1</v>
      </c>
      <c r="AE52" s="5" t="str">
        <f t="shared" si="15"/>
        <v>1</v>
      </c>
    </row>
    <row r="53" spans="1:31" ht="14.4" x14ac:dyDescent="0.3">
      <c r="A53" s="14">
        <v>50</v>
      </c>
      <c r="B53" s="15" t="s">
        <v>154</v>
      </c>
      <c r="C53" s="10">
        <v>10</v>
      </c>
      <c r="D53" s="10">
        <v>39</v>
      </c>
      <c r="E53" s="17">
        <v>365</v>
      </c>
      <c r="F53" s="21">
        <v>3.0999999999999999E-3</v>
      </c>
      <c r="G53" s="10">
        <v>900</v>
      </c>
      <c r="H53" s="13">
        <v>3.0000000000000001E-3</v>
      </c>
      <c r="I53" s="18">
        <v>10950</v>
      </c>
      <c r="J53" s="20">
        <v>8</v>
      </c>
      <c r="K53" s="19">
        <f t="shared" si="14"/>
        <v>1.9076923076923078E-2</v>
      </c>
      <c r="L53" s="2">
        <f t="shared" si="21"/>
        <v>1.1923076923076923E-2</v>
      </c>
      <c r="M53" s="2">
        <f t="shared" si="1"/>
        <v>2.3846153846153847E-2</v>
      </c>
      <c r="N53" s="2">
        <f t="shared" si="2"/>
        <v>3.5769230769230768E-2</v>
      </c>
      <c r="O53" s="2">
        <f t="shared" si="3"/>
        <v>4.7692307692307694E-2</v>
      </c>
      <c r="P53" s="2">
        <f t="shared" si="4"/>
        <v>5.9615384615384619E-2</v>
      </c>
      <c r="Q53" s="2">
        <f t="shared" si="5"/>
        <v>7.1538461538461537E-2</v>
      </c>
      <c r="R53" s="2">
        <f t="shared" si="6"/>
        <v>6.3589743589743595</v>
      </c>
      <c r="S53" s="2">
        <f t="shared" si="16"/>
        <v>3.9743589743589745</v>
      </c>
      <c r="T53" s="2">
        <f t="shared" si="8"/>
        <v>7.9487179487179489</v>
      </c>
      <c r="U53" s="2">
        <f t="shared" si="17"/>
        <v>11.923076923076923</v>
      </c>
      <c r="V53" s="2">
        <f t="shared" si="18"/>
        <v>15.897435897435898</v>
      </c>
      <c r="W53" s="2">
        <f t="shared" si="19"/>
        <v>19.871794871794872</v>
      </c>
      <c r="X53" s="2">
        <f t="shared" si="20"/>
        <v>23.846153846153847</v>
      </c>
      <c r="Y53" s="5" t="str">
        <f t="shared" si="15"/>
        <v>1</v>
      </c>
      <c r="Z53" s="5" t="str">
        <f t="shared" si="15"/>
        <v>1</v>
      </c>
      <c r="AA53" s="5" t="str">
        <f t="shared" si="15"/>
        <v>1</v>
      </c>
      <c r="AB53" s="5" t="str">
        <f t="shared" si="15"/>
        <v>1</v>
      </c>
      <c r="AC53" s="5" t="str">
        <f t="shared" si="15"/>
        <v>1</v>
      </c>
      <c r="AD53" s="5" t="str">
        <f t="shared" si="15"/>
        <v>1</v>
      </c>
      <c r="AE53" s="5" t="str">
        <f t="shared" si="15"/>
        <v>1</v>
      </c>
    </row>
    <row r="54" spans="1:31" ht="14.4" x14ac:dyDescent="0.3">
      <c r="A54" s="14">
        <v>51</v>
      </c>
      <c r="B54" s="15" t="s">
        <v>155</v>
      </c>
      <c r="C54" s="10">
        <v>10</v>
      </c>
      <c r="D54" s="10">
        <v>25</v>
      </c>
      <c r="E54" s="17">
        <v>365</v>
      </c>
      <c r="F54" s="21">
        <v>6.3E-3</v>
      </c>
      <c r="G54" s="10">
        <v>900</v>
      </c>
      <c r="H54" s="13">
        <v>3.0000000000000001E-3</v>
      </c>
      <c r="I54" s="18">
        <v>10950</v>
      </c>
      <c r="J54" s="20">
        <v>10</v>
      </c>
      <c r="K54" s="19">
        <f t="shared" si="14"/>
        <v>7.5600000000000001E-2</v>
      </c>
      <c r="L54" s="2">
        <f t="shared" si="21"/>
        <v>3.78E-2</v>
      </c>
      <c r="M54" s="2">
        <f t="shared" si="1"/>
        <v>7.5600000000000001E-2</v>
      </c>
      <c r="N54" s="2">
        <f t="shared" si="2"/>
        <v>0.11340000000000001</v>
      </c>
      <c r="O54" s="2">
        <f t="shared" si="3"/>
        <v>0.1512</v>
      </c>
      <c r="P54" s="2">
        <f t="shared" si="4"/>
        <v>0.18900000000000003</v>
      </c>
      <c r="Q54" s="2">
        <f t="shared" si="5"/>
        <v>0.22680000000000003</v>
      </c>
      <c r="R54" s="2">
        <f t="shared" si="6"/>
        <v>25.2</v>
      </c>
      <c r="S54" s="2">
        <f t="shared" si="16"/>
        <v>12.6</v>
      </c>
      <c r="T54" s="2">
        <f t="shared" si="8"/>
        <v>25.2</v>
      </c>
      <c r="U54" s="2">
        <f t="shared" si="17"/>
        <v>37.800000000000004</v>
      </c>
      <c r="V54" s="2">
        <f t="shared" si="18"/>
        <v>50.4</v>
      </c>
      <c r="W54" s="2">
        <f t="shared" si="19"/>
        <v>63.000000000000007</v>
      </c>
      <c r="X54" s="2">
        <f t="shared" si="20"/>
        <v>75.600000000000009</v>
      </c>
      <c r="Y54" s="5" t="str">
        <f t="shared" ref="Y54:AE90" si="22">IF(R54&gt;1,"1","2")</f>
        <v>1</v>
      </c>
      <c r="Z54" s="5" t="str">
        <f t="shared" si="22"/>
        <v>1</v>
      </c>
      <c r="AA54" s="5" t="str">
        <f t="shared" si="22"/>
        <v>1</v>
      </c>
      <c r="AB54" s="5" t="str">
        <f t="shared" si="22"/>
        <v>1</v>
      </c>
      <c r="AC54" s="5" t="str">
        <f t="shared" si="22"/>
        <v>1</v>
      </c>
      <c r="AD54" s="5" t="str">
        <f t="shared" si="22"/>
        <v>1</v>
      </c>
      <c r="AE54" s="5" t="str">
        <f t="shared" si="22"/>
        <v>1</v>
      </c>
    </row>
    <row r="55" spans="1:31" ht="14.4" x14ac:dyDescent="0.3">
      <c r="A55" s="14">
        <v>52</v>
      </c>
      <c r="B55" s="15" t="s">
        <v>156</v>
      </c>
      <c r="C55" s="10">
        <v>10</v>
      </c>
      <c r="D55" s="10">
        <v>25</v>
      </c>
      <c r="E55" s="17">
        <v>365</v>
      </c>
      <c r="F55" s="21">
        <v>6.3E-3</v>
      </c>
      <c r="G55" s="10">
        <v>900</v>
      </c>
      <c r="H55" s="13">
        <v>3.0000000000000001E-3</v>
      </c>
      <c r="I55" s="18">
        <v>10950</v>
      </c>
      <c r="J55" s="20">
        <v>10</v>
      </c>
      <c r="K55" s="19">
        <f t="shared" si="14"/>
        <v>7.5600000000000001E-2</v>
      </c>
      <c r="L55" s="2">
        <f t="shared" si="21"/>
        <v>3.78E-2</v>
      </c>
      <c r="M55" s="2">
        <f t="shared" si="1"/>
        <v>7.5600000000000001E-2</v>
      </c>
      <c r="N55" s="2">
        <f t="shared" si="2"/>
        <v>0.11340000000000001</v>
      </c>
      <c r="O55" s="2">
        <f t="shared" si="3"/>
        <v>0.1512</v>
      </c>
      <c r="P55" s="2">
        <f t="shared" si="4"/>
        <v>0.18900000000000003</v>
      </c>
      <c r="Q55" s="2">
        <f t="shared" si="5"/>
        <v>0.22680000000000003</v>
      </c>
      <c r="R55" s="2">
        <f t="shared" si="6"/>
        <v>25.2</v>
      </c>
      <c r="S55" s="2">
        <f t="shared" si="16"/>
        <v>12.6</v>
      </c>
      <c r="T55" s="2">
        <f t="shared" si="8"/>
        <v>25.2</v>
      </c>
      <c r="U55" s="2">
        <f t="shared" si="17"/>
        <v>37.800000000000004</v>
      </c>
      <c r="V55" s="2">
        <f t="shared" si="18"/>
        <v>50.4</v>
      </c>
      <c r="W55" s="2">
        <f t="shared" si="19"/>
        <v>63.000000000000007</v>
      </c>
      <c r="X55" s="2">
        <f t="shared" si="20"/>
        <v>75.600000000000009</v>
      </c>
      <c r="Y55" s="5" t="str">
        <f t="shared" si="22"/>
        <v>1</v>
      </c>
      <c r="Z55" s="5" t="str">
        <f t="shared" si="22"/>
        <v>1</v>
      </c>
      <c r="AA55" s="5" t="str">
        <f t="shared" si="22"/>
        <v>1</v>
      </c>
      <c r="AB55" s="5" t="str">
        <f t="shared" si="22"/>
        <v>1</v>
      </c>
      <c r="AC55" s="5" t="str">
        <f t="shared" si="22"/>
        <v>1</v>
      </c>
      <c r="AD55" s="5" t="str">
        <f t="shared" si="22"/>
        <v>1</v>
      </c>
      <c r="AE55" s="5" t="str">
        <f t="shared" si="22"/>
        <v>1</v>
      </c>
    </row>
    <row r="56" spans="1:31" ht="14.4" x14ac:dyDescent="0.3">
      <c r="A56" s="14">
        <v>53</v>
      </c>
      <c r="B56" s="15" t="s">
        <v>139</v>
      </c>
      <c r="C56" s="10">
        <v>10</v>
      </c>
      <c r="D56" s="10">
        <v>33</v>
      </c>
      <c r="E56" s="17">
        <v>365</v>
      </c>
      <c r="F56" s="21">
        <v>6.3E-3</v>
      </c>
      <c r="G56" s="10">
        <v>900</v>
      </c>
      <c r="H56" s="13">
        <v>3.0000000000000001E-3</v>
      </c>
      <c r="I56" s="18">
        <v>10950</v>
      </c>
      <c r="J56" s="20">
        <v>10</v>
      </c>
      <c r="K56" s="19">
        <f t="shared" si="14"/>
        <v>5.7272727272727274E-2</v>
      </c>
      <c r="L56" s="2">
        <f t="shared" si="21"/>
        <v>2.8636363636363637E-2</v>
      </c>
      <c r="M56" s="2">
        <f t="shared" si="1"/>
        <v>5.7272727272727274E-2</v>
      </c>
      <c r="N56" s="2">
        <f t="shared" si="2"/>
        <v>8.5909090909090921E-2</v>
      </c>
      <c r="O56" s="2">
        <f t="shared" si="3"/>
        <v>0.11454545454545455</v>
      </c>
      <c r="P56" s="2">
        <f t="shared" si="4"/>
        <v>0.14318181818181822</v>
      </c>
      <c r="Q56" s="2">
        <f t="shared" si="5"/>
        <v>0.17181818181818184</v>
      </c>
      <c r="R56" s="2">
        <f t="shared" si="6"/>
        <v>19.09090909090909</v>
      </c>
      <c r="S56" s="2">
        <f t="shared" si="16"/>
        <v>9.545454545454545</v>
      </c>
      <c r="T56" s="2">
        <f t="shared" si="8"/>
        <v>19.09090909090909</v>
      </c>
      <c r="U56" s="2">
        <f t="shared" si="17"/>
        <v>28.63636363636364</v>
      </c>
      <c r="V56" s="2">
        <f t="shared" si="18"/>
        <v>38.18181818181818</v>
      </c>
      <c r="W56" s="2">
        <f t="shared" si="19"/>
        <v>47.727272727272741</v>
      </c>
      <c r="X56" s="2">
        <f t="shared" si="20"/>
        <v>57.27272727272728</v>
      </c>
      <c r="Y56" s="5" t="str">
        <f t="shared" si="22"/>
        <v>1</v>
      </c>
      <c r="Z56" s="5" t="str">
        <f t="shared" si="22"/>
        <v>1</v>
      </c>
      <c r="AA56" s="5" t="str">
        <f t="shared" si="22"/>
        <v>1</v>
      </c>
      <c r="AB56" s="5" t="str">
        <f t="shared" si="22"/>
        <v>1</v>
      </c>
      <c r="AC56" s="5" t="str">
        <f t="shared" si="22"/>
        <v>1</v>
      </c>
      <c r="AD56" s="5" t="str">
        <f t="shared" si="22"/>
        <v>1</v>
      </c>
      <c r="AE56" s="5" t="str">
        <f t="shared" si="22"/>
        <v>1</v>
      </c>
    </row>
    <row r="57" spans="1:31" ht="14.4" x14ac:dyDescent="0.3">
      <c r="A57" s="14">
        <v>54</v>
      </c>
      <c r="B57" s="15" t="s">
        <v>157</v>
      </c>
      <c r="C57" s="10">
        <v>10</v>
      </c>
      <c r="D57" s="10">
        <v>25</v>
      </c>
      <c r="E57" s="17">
        <v>365</v>
      </c>
      <c r="F57" s="21">
        <v>6.9999999999999999E-4</v>
      </c>
      <c r="G57" s="10">
        <v>900</v>
      </c>
      <c r="H57" s="13">
        <v>3.0000000000000001E-3</v>
      </c>
      <c r="I57" s="18">
        <v>10950</v>
      </c>
      <c r="J57" s="20">
        <v>10</v>
      </c>
      <c r="K57" s="19">
        <f t="shared" si="14"/>
        <v>8.3999999999999995E-3</v>
      </c>
      <c r="L57" s="2">
        <f t="shared" si="21"/>
        <v>4.1999999999999997E-3</v>
      </c>
      <c r="M57" s="2">
        <f t="shared" si="1"/>
        <v>8.3999999999999995E-3</v>
      </c>
      <c r="N57" s="2">
        <f t="shared" si="2"/>
        <v>1.26E-2</v>
      </c>
      <c r="O57" s="2">
        <f t="shared" si="3"/>
        <v>1.6799999999999999E-2</v>
      </c>
      <c r="P57" s="2">
        <f t="shared" si="4"/>
        <v>2.1000000000000001E-2</v>
      </c>
      <c r="Q57" s="2">
        <f t="shared" si="5"/>
        <v>2.52E-2</v>
      </c>
      <c r="R57" s="2">
        <f t="shared" si="6"/>
        <v>2.8</v>
      </c>
      <c r="S57" s="2">
        <f t="shared" si="16"/>
        <v>1.4</v>
      </c>
      <c r="T57" s="2">
        <f t="shared" si="8"/>
        <v>2.8</v>
      </c>
      <c r="U57" s="2">
        <f t="shared" si="17"/>
        <v>4.2</v>
      </c>
      <c r="V57" s="2">
        <f t="shared" si="18"/>
        <v>5.6</v>
      </c>
      <c r="W57" s="2">
        <f t="shared" si="19"/>
        <v>7</v>
      </c>
      <c r="X57" s="2">
        <f t="shared" si="20"/>
        <v>8.4</v>
      </c>
      <c r="Y57" s="5" t="str">
        <f t="shared" si="22"/>
        <v>1</v>
      </c>
      <c r="Z57" s="5" t="str">
        <f t="shared" si="22"/>
        <v>1</v>
      </c>
      <c r="AA57" s="5" t="str">
        <f t="shared" si="22"/>
        <v>1</v>
      </c>
      <c r="AB57" s="5" t="str">
        <f t="shared" si="22"/>
        <v>1</v>
      </c>
      <c r="AC57" s="5" t="str">
        <f t="shared" si="22"/>
        <v>1</v>
      </c>
      <c r="AD57" s="5" t="str">
        <f t="shared" si="22"/>
        <v>1</v>
      </c>
      <c r="AE57" s="5" t="str">
        <f t="shared" si="22"/>
        <v>1</v>
      </c>
    </row>
    <row r="58" spans="1:31" ht="14.4" x14ac:dyDescent="0.3">
      <c r="A58" s="14">
        <v>55</v>
      </c>
      <c r="B58" s="15" t="s">
        <v>149</v>
      </c>
      <c r="C58" s="10">
        <v>10</v>
      </c>
      <c r="D58" s="10">
        <v>25</v>
      </c>
      <c r="E58" s="17">
        <v>365</v>
      </c>
      <c r="F58" s="21">
        <v>6.9999999999999999E-4</v>
      </c>
      <c r="G58" s="10">
        <v>1500</v>
      </c>
      <c r="H58" s="13">
        <v>3.0000000000000001E-3</v>
      </c>
      <c r="I58" s="18">
        <v>10950</v>
      </c>
      <c r="J58" s="20">
        <v>6</v>
      </c>
      <c r="K58" s="19">
        <f t="shared" si="14"/>
        <v>8.3999999999999995E-3</v>
      </c>
      <c r="L58" s="2">
        <f t="shared" si="21"/>
        <v>7.0000000000000001E-3</v>
      </c>
      <c r="M58" s="2">
        <f t="shared" si="1"/>
        <v>1.4E-2</v>
      </c>
      <c r="N58" s="2">
        <f t="shared" si="2"/>
        <v>2.1000000000000001E-2</v>
      </c>
      <c r="O58" s="2">
        <f t="shared" si="3"/>
        <v>2.8000000000000001E-2</v>
      </c>
      <c r="P58" s="2">
        <f t="shared" si="4"/>
        <v>3.5000000000000003E-2</v>
      </c>
      <c r="Q58" s="2">
        <f t="shared" si="5"/>
        <v>4.2000000000000003E-2</v>
      </c>
      <c r="R58" s="2">
        <f t="shared" si="6"/>
        <v>2.8</v>
      </c>
      <c r="S58" s="2">
        <f t="shared" si="16"/>
        <v>2.3333333333333335</v>
      </c>
      <c r="T58" s="2">
        <f t="shared" si="8"/>
        <v>4.666666666666667</v>
      </c>
      <c r="U58" s="2">
        <f t="shared" si="17"/>
        <v>7</v>
      </c>
      <c r="V58" s="2">
        <f t="shared" si="18"/>
        <v>9.3333333333333339</v>
      </c>
      <c r="W58" s="2">
        <f t="shared" si="19"/>
        <v>11.666666666666668</v>
      </c>
      <c r="X58" s="2">
        <f t="shared" si="20"/>
        <v>14</v>
      </c>
      <c r="Y58" s="5" t="str">
        <f t="shared" si="22"/>
        <v>1</v>
      </c>
      <c r="Z58" s="5" t="str">
        <f t="shared" si="22"/>
        <v>1</v>
      </c>
      <c r="AA58" s="5" t="str">
        <f t="shared" si="22"/>
        <v>1</v>
      </c>
      <c r="AB58" s="5" t="str">
        <f t="shared" si="22"/>
        <v>1</v>
      </c>
      <c r="AC58" s="5" t="str">
        <f t="shared" si="22"/>
        <v>1</v>
      </c>
      <c r="AD58" s="5" t="str">
        <f t="shared" si="22"/>
        <v>1</v>
      </c>
      <c r="AE58" s="5" t="str">
        <f t="shared" si="22"/>
        <v>1</v>
      </c>
    </row>
    <row r="59" spans="1:31" ht="14.4" x14ac:dyDescent="0.3">
      <c r="A59" s="14">
        <v>56</v>
      </c>
      <c r="B59" s="15" t="s">
        <v>158</v>
      </c>
      <c r="C59" s="10">
        <v>10</v>
      </c>
      <c r="D59" s="10">
        <v>49</v>
      </c>
      <c r="E59" s="17">
        <v>365</v>
      </c>
      <c r="F59" s="21">
        <v>6.9999999999999999E-4</v>
      </c>
      <c r="G59" s="10">
        <v>2100</v>
      </c>
      <c r="H59" s="13">
        <v>3.0000000000000001E-3</v>
      </c>
      <c r="I59" s="18">
        <v>10950</v>
      </c>
      <c r="J59" s="20">
        <v>2</v>
      </c>
      <c r="K59" s="19">
        <f t="shared" si="14"/>
        <v>2E-3</v>
      </c>
      <c r="L59" s="2">
        <f t="shared" si="21"/>
        <v>5.0000000000000001E-3</v>
      </c>
      <c r="M59" s="2">
        <f t="shared" si="1"/>
        <v>0.01</v>
      </c>
      <c r="N59" s="2">
        <f t="shared" si="2"/>
        <v>1.4999999999999998E-2</v>
      </c>
      <c r="O59" s="2">
        <f t="shared" si="3"/>
        <v>0.02</v>
      </c>
      <c r="P59" s="2">
        <f t="shared" si="4"/>
        <v>2.4999999999999998E-2</v>
      </c>
      <c r="Q59" s="2">
        <f t="shared" si="5"/>
        <v>2.9999999999999995E-2</v>
      </c>
      <c r="R59" s="2">
        <f t="shared" si="6"/>
        <v>0.66666666666666663</v>
      </c>
      <c r="S59" s="2">
        <f t="shared" si="16"/>
        <v>1.6666666666666667</v>
      </c>
      <c r="T59" s="2">
        <f t="shared" si="8"/>
        <v>3.3333333333333335</v>
      </c>
      <c r="U59" s="2">
        <f t="shared" si="17"/>
        <v>4.9999999999999991</v>
      </c>
      <c r="V59" s="2">
        <f t="shared" si="18"/>
        <v>6.666666666666667</v>
      </c>
      <c r="W59" s="2">
        <f t="shared" si="19"/>
        <v>8.3333333333333321</v>
      </c>
      <c r="X59" s="2">
        <f t="shared" si="20"/>
        <v>9.9999999999999982</v>
      </c>
      <c r="Y59" s="5" t="str">
        <f t="shared" si="22"/>
        <v>2</v>
      </c>
      <c r="Z59" s="5" t="str">
        <f t="shared" si="22"/>
        <v>1</v>
      </c>
      <c r="AA59" s="5" t="str">
        <f t="shared" si="22"/>
        <v>1</v>
      </c>
      <c r="AB59" s="5" t="str">
        <f t="shared" si="22"/>
        <v>1</v>
      </c>
      <c r="AC59" s="5" t="str">
        <f t="shared" si="22"/>
        <v>1</v>
      </c>
      <c r="AD59" s="5" t="str">
        <f t="shared" si="22"/>
        <v>1</v>
      </c>
      <c r="AE59" s="5" t="str">
        <f t="shared" si="22"/>
        <v>1</v>
      </c>
    </row>
    <row r="60" spans="1:31" ht="14.4" x14ac:dyDescent="0.3">
      <c r="A60" s="14">
        <v>57</v>
      </c>
      <c r="B60" s="15" t="s">
        <v>159</v>
      </c>
      <c r="C60" s="10">
        <v>10</v>
      </c>
      <c r="D60" s="10">
        <v>25</v>
      </c>
      <c r="E60" s="17">
        <v>365</v>
      </c>
      <c r="F60" s="21">
        <v>5.9999999999999995E-4</v>
      </c>
      <c r="G60" s="10">
        <v>900</v>
      </c>
      <c r="H60" s="13">
        <v>3.0000000000000001E-3</v>
      </c>
      <c r="I60" s="18">
        <v>10950</v>
      </c>
      <c r="J60" s="20">
        <v>10</v>
      </c>
      <c r="K60" s="19">
        <f t="shared" si="14"/>
        <v>7.1999999999999981E-3</v>
      </c>
      <c r="L60" s="2">
        <f t="shared" si="21"/>
        <v>3.599999999999999E-3</v>
      </c>
      <c r="M60" s="2">
        <f t="shared" si="1"/>
        <v>7.1999999999999981E-3</v>
      </c>
      <c r="N60" s="2">
        <f t="shared" si="2"/>
        <v>1.0799999999999999E-2</v>
      </c>
      <c r="O60" s="2">
        <f t="shared" si="3"/>
        <v>1.4399999999999996E-2</v>
      </c>
      <c r="P60" s="2">
        <f t="shared" si="4"/>
        <v>1.7999999999999995E-2</v>
      </c>
      <c r="Q60" s="2">
        <f t="shared" si="5"/>
        <v>2.1599999999999998E-2</v>
      </c>
      <c r="R60" s="2">
        <f t="shared" si="6"/>
        <v>2.3999999999999995</v>
      </c>
      <c r="S60" s="2">
        <f t="shared" si="16"/>
        <v>1.1999999999999997</v>
      </c>
      <c r="T60" s="2">
        <f t="shared" si="8"/>
        <v>2.3999999999999995</v>
      </c>
      <c r="U60" s="2">
        <f t="shared" si="17"/>
        <v>3.5999999999999996</v>
      </c>
      <c r="V60" s="2">
        <f t="shared" si="18"/>
        <v>4.7999999999999989</v>
      </c>
      <c r="W60" s="2">
        <f t="shared" si="19"/>
        <v>5.9999999999999982</v>
      </c>
      <c r="X60" s="2">
        <f t="shared" si="20"/>
        <v>7.1999999999999993</v>
      </c>
      <c r="Y60" s="5" t="str">
        <f t="shared" si="22"/>
        <v>1</v>
      </c>
      <c r="Z60" s="5" t="str">
        <f t="shared" si="22"/>
        <v>1</v>
      </c>
      <c r="AA60" s="5" t="str">
        <f t="shared" si="22"/>
        <v>1</v>
      </c>
      <c r="AB60" s="5" t="str">
        <f t="shared" si="22"/>
        <v>1</v>
      </c>
      <c r="AC60" s="5" t="str">
        <f t="shared" si="22"/>
        <v>1</v>
      </c>
      <c r="AD60" s="5" t="str">
        <f t="shared" si="22"/>
        <v>1</v>
      </c>
      <c r="AE60" s="5" t="str">
        <f t="shared" si="22"/>
        <v>1</v>
      </c>
    </row>
    <row r="61" spans="1:31" ht="14.4" x14ac:dyDescent="0.3">
      <c r="A61" s="14">
        <v>58</v>
      </c>
      <c r="B61" s="15" t="s">
        <v>160</v>
      </c>
      <c r="C61" s="10">
        <v>10</v>
      </c>
      <c r="D61" s="10">
        <v>27</v>
      </c>
      <c r="E61" s="17">
        <v>365</v>
      </c>
      <c r="F61" s="21">
        <v>5.9999999999999995E-4</v>
      </c>
      <c r="G61" s="10">
        <v>900</v>
      </c>
      <c r="H61" s="13">
        <v>3.0000000000000001E-3</v>
      </c>
      <c r="I61" s="18">
        <v>10950</v>
      </c>
      <c r="J61" s="20">
        <v>10</v>
      </c>
      <c r="K61" s="19">
        <f t="shared" si="14"/>
        <v>6.6666666666666654E-3</v>
      </c>
      <c r="L61" s="2">
        <f t="shared" si="21"/>
        <v>3.3333333333333327E-3</v>
      </c>
      <c r="M61" s="2">
        <f t="shared" si="1"/>
        <v>6.6666666666666654E-3</v>
      </c>
      <c r="N61" s="2">
        <f t="shared" si="2"/>
        <v>9.9999999999999985E-3</v>
      </c>
      <c r="O61" s="2">
        <f t="shared" si="3"/>
        <v>1.3333333333333331E-2</v>
      </c>
      <c r="P61" s="2">
        <f t="shared" si="4"/>
        <v>1.6666666666666663E-2</v>
      </c>
      <c r="Q61" s="2">
        <f t="shared" si="5"/>
        <v>1.9999999999999997E-2</v>
      </c>
      <c r="R61" s="2">
        <f t="shared" si="6"/>
        <v>2.2222222222222219</v>
      </c>
      <c r="S61" s="2">
        <f t="shared" si="16"/>
        <v>1.1111111111111109</v>
      </c>
      <c r="T61" s="2">
        <f t="shared" si="8"/>
        <v>2.2222222222222219</v>
      </c>
      <c r="U61" s="2">
        <f t="shared" si="17"/>
        <v>3.3333333333333326</v>
      </c>
      <c r="V61" s="2">
        <f t="shared" si="18"/>
        <v>4.4444444444444438</v>
      </c>
      <c r="W61" s="2">
        <f t="shared" si="19"/>
        <v>5.5555555555555545</v>
      </c>
      <c r="X61" s="2">
        <f t="shared" si="20"/>
        <v>6.6666666666666652</v>
      </c>
      <c r="Y61" s="5" t="str">
        <f t="shared" si="22"/>
        <v>1</v>
      </c>
      <c r="Z61" s="5" t="str">
        <f t="shared" si="22"/>
        <v>1</v>
      </c>
      <c r="AA61" s="5" t="str">
        <f t="shared" si="22"/>
        <v>1</v>
      </c>
      <c r="AB61" s="5" t="str">
        <f t="shared" si="22"/>
        <v>1</v>
      </c>
      <c r="AC61" s="5" t="str">
        <f t="shared" si="22"/>
        <v>1</v>
      </c>
      <c r="AD61" s="5" t="str">
        <f t="shared" si="22"/>
        <v>1</v>
      </c>
      <c r="AE61" s="5" t="str">
        <f t="shared" si="22"/>
        <v>1</v>
      </c>
    </row>
    <row r="62" spans="1:31" ht="14.4" x14ac:dyDescent="0.3">
      <c r="A62" s="14">
        <v>59</v>
      </c>
      <c r="B62" s="15" t="s">
        <v>161</v>
      </c>
      <c r="C62" s="10">
        <v>10</v>
      </c>
      <c r="D62" s="10">
        <v>25</v>
      </c>
      <c r="E62" s="17">
        <v>365</v>
      </c>
      <c r="F62" s="21">
        <v>1.6000000000000001E-3</v>
      </c>
      <c r="G62" s="10">
        <v>900</v>
      </c>
      <c r="H62" s="13">
        <v>3.0000000000000001E-3</v>
      </c>
      <c r="I62" s="18">
        <v>10950</v>
      </c>
      <c r="J62" s="20">
        <v>10</v>
      </c>
      <c r="K62" s="19">
        <f t="shared" si="14"/>
        <v>1.9199999999999998E-2</v>
      </c>
      <c r="L62" s="2">
        <f t="shared" si="21"/>
        <v>9.5999999999999992E-3</v>
      </c>
      <c r="M62" s="2">
        <f t="shared" si="1"/>
        <v>1.9199999999999998E-2</v>
      </c>
      <c r="N62" s="2">
        <f t="shared" si="2"/>
        <v>2.8799999999999999E-2</v>
      </c>
      <c r="O62" s="2">
        <f t="shared" si="3"/>
        <v>3.8399999999999997E-2</v>
      </c>
      <c r="P62" s="2">
        <f t="shared" si="4"/>
        <v>4.8000000000000001E-2</v>
      </c>
      <c r="Q62" s="2">
        <f t="shared" si="5"/>
        <v>5.7599999999999998E-2</v>
      </c>
      <c r="R62" s="2">
        <f t="shared" si="6"/>
        <v>6.3999999999999995</v>
      </c>
      <c r="S62" s="2">
        <f t="shared" si="16"/>
        <v>3.1999999999999997</v>
      </c>
      <c r="T62" s="2">
        <f t="shared" si="8"/>
        <v>6.3999999999999995</v>
      </c>
      <c r="U62" s="2">
        <f t="shared" si="17"/>
        <v>9.6</v>
      </c>
      <c r="V62" s="2">
        <f t="shared" si="18"/>
        <v>12.799999999999999</v>
      </c>
      <c r="W62" s="2">
        <f t="shared" si="19"/>
        <v>16</v>
      </c>
      <c r="X62" s="2">
        <f t="shared" si="20"/>
        <v>19.2</v>
      </c>
      <c r="Y62" s="5" t="str">
        <f t="shared" si="22"/>
        <v>1</v>
      </c>
      <c r="Z62" s="5" t="str">
        <f t="shared" si="22"/>
        <v>1</v>
      </c>
      <c r="AA62" s="5" t="str">
        <f t="shared" si="22"/>
        <v>1</v>
      </c>
      <c r="AB62" s="5" t="str">
        <f t="shared" si="22"/>
        <v>1</v>
      </c>
      <c r="AC62" s="5" t="str">
        <f t="shared" si="22"/>
        <v>1</v>
      </c>
      <c r="AD62" s="5" t="str">
        <f t="shared" si="22"/>
        <v>1</v>
      </c>
      <c r="AE62" s="5" t="str">
        <f t="shared" si="22"/>
        <v>1</v>
      </c>
    </row>
    <row r="63" spans="1:31" ht="14.4" x14ac:dyDescent="0.3">
      <c r="A63" s="14">
        <v>60</v>
      </c>
      <c r="B63" s="15" t="s">
        <v>162</v>
      </c>
      <c r="C63" s="10">
        <v>10</v>
      </c>
      <c r="D63" s="10">
        <v>25</v>
      </c>
      <c r="E63" s="17">
        <v>365</v>
      </c>
      <c r="F63" s="21">
        <v>2.8E-3</v>
      </c>
      <c r="G63" s="10">
        <v>900</v>
      </c>
      <c r="H63" s="13">
        <v>3.0000000000000001E-3</v>
      </c>
      <c r="I63" s="18">
        <v>10950</v>
      </c>
      <c r="J63" s="20">
        <v>10</v>
      </c>
      <c r="K63" s="19">
        <f t="shared" si="14"/>
        <v>3.3599999999999998E-2</v>
      </c>
      <c r="L63" s="2">
        <f t="shared" si="21"/>
        <v>1.6799999999999999E-2</v>
      </c>
      <c r="M63" s="2">
        <f t="shared" si="1"/>
        <v>3.3599999999999998E-2</v>
      </c>
      <c r="N63" s="2">
        <f t="shared" si="2"/>
        <v>5.04E-2</v>
      </c>
      <c r="O63" s="2">
        <f t="shared" si="3"/>
        <v>6.7199999999999996E-2</v>
      </c>
      <c r="P63" s="2">
        <f t="shared" si="4"/>
        <v>8.4000000000000005E-2</v>
      </c>
      <c r="Q63" s="2">
        <f t="shared" si="5"/>
        <v>0.1008</v>
      </c>
      <c r="R63" s="2">
        <f t="shared" si="6"/>
        <v>11.2</v>
      </c>
      <c r="S63" s="2">
        <f t="shared" si="16"/>
        <v>5.6</v>
      </c>
      <c r="T63" s="2">
        <f t="shared" si="8"/>
        <v>11.2</v>
      </c>
      <c r="U63" s="2">
        <f t="shared" si="17"/>
        <v>16.8</v>
      </c>
      <c r="V63" s="2">
        <f t="shared" si="18"/>
        <v>22.4</v>
      </c>
      <c r="W63" s="2">
        <f t="shared" si="19"/>
        <v>28</v>
      </c>
      <c r="X63" s="2">
        <f t="shared" si="20"/>
        <v>33.6</v>
      </c>
      <c r="Y63" s="5" t="str">
        <f t="shared" si="22"/>
        <v>1</v>
      </c>
      <c r="Z63" s="5" t="str">
        <f t="shared" si="22"/>
        <v>1</v>
      </c>
      <c r="AA63" s="5" t="str">
        <f t="shared" si="22"/>
        <v>1</v>
      </c>
      <c r="AB63" s="5" t="str">
        <f t="shared" si="22"/>
        <v>1</v>
      </c>
      <c r="AC63" s="5" t="str">
        <f t="shared" si="22"/>
        <v>1</v>
      </c>
      <c r="AD63" s="5" t="str">
        <f t="shared" si="22"/>
        <v>1</v>
      </c>
      <c r="AE63" s="5" t="str">
        <f t="shared" si="22"/>
        <v>1</v>
      </c>
    </row>
    <row r="64" spans="1:31" ht="14.4" x14ac:dyDescent="0.3">
      <c r="A64" s="14">
        <v>61</v>
      </c>
      <c r="B64" s="15" t="s">
        <v>163</v>
      </c>
      <c r="C64" s="10">
        <v>10</v>
      </c>
      <c r="D64" s="10">
        <v>30</v>
      </c>
      <c r="E64" s="17">
        <v>365</v>
      </c>
      <c r="F64" s="21">
        <v>2.8E-3</v>
      </c>
      <c r="G64" s="10">
        <v>900</v>
      </c>
      <c r="H64" s="13">
        <v>3.0000000000000001E-3</v>
      </c>
      <c r="I64" s="18">
        <v>10950</v>
      </c>
      <c r="J64" s="20">
        <v>10</v>
      </c>
      <c r="K64" s="19">
        <f t="shared" si="14"/>
        <v>2.8000000000000001E-2</v>
      </c>
      <c r="L64" s="2">
        <f t="shared" si="21"/>
        <v>1.4E-2</v>
      </c>
      <c r="M64" s="2">
        <f t="shared" si="1"/>
        <v>2.8000000000000001E-2</v>
      </c>
      <c r="N64" s="2">
        <f t="shared" si="2"/>
        <v>4.2000000000000003E-2</v>
      </c>
      <c r="O64" s="2">
        <f t="shared" si="3"/>
        <v>5.6000000000000001E-2</v>
      </c>
      <c r="P64" s="2">
        <f t="shared" si="4"/>
        <v>7.0000000000000007E-2</v>
      </c>
      <c r="Q64" s="2">
        <f t="shared" si="5"/>
        <v>8.4000000000000005E-2</v>
      </c>
      <c r="R64" s="2">
        <f t="shared" si="6"/>
        <v>9.3333333333333339</v>
      </c>
      <c r="S64" s="2">
        <f t="shared" si="16"/>
        <v>4.666666666666667</v>
      </c>
      <c r="T64" s="2">
        <f t="shared" si="8"/>
        <v>9.3333333333333339</v>
      </c>
      <c r="U64" s="2">
        <f t="shared" si="17"/>
        <v>14</v>
      </c>
      <c r="V64" s="2">
        <f t="shared" si="18"/>
        <v>18.666666666666668</v>
      </c>
      <c r="W64" s="2">
        <f t="shared" si="19"/>
        <v>23.333333333333336</v>
      </c>
      <c r="X64" s="2">
        <f t="shared" si="20"/>
        <v>28</v>
      </c>
      <c r="Y64" s="5" t="str">
        <f t="shared" si="22"/>
        <v>1</v>
      </c>
      <c r="Z64" s="5" t="str">
        <f t="shared" si="22"/>
        <v>1</v>
      </c>
      <c r="AA64" s="5" t="str">
        <f t="shared" si="22"/>
        <v>1</v>
      </c>
      <c r="AB64" s="5" t="str">
        <f t="shared" si="22"/>
        <v>1</v>
      </c>
      <c r="AC64" s="5" t="str">
        <f t="shared" si="22"/>
        <v>1</v>
      </c>
      <c r="AD64" s="5" t="str">
        <f t="shared" si="22"/>
        <v>1</v>
      </c>
      <c r="AE64" s="5" t="str">
        <f t="shared" si="22"/>
        <v>1</v>
      </c>
    </row>
    <row r="65" spans="1:31" ht="14.4" x14ac:dyDescent="0.3">
      <c r="A65" s="14">
        <v>62</v>
      </c>
      <c r="B65" s="15" t="s">
        <v>164</v>
      </c>
      <c r="C65" s="10">
        <v>10</v>
      </c>
      <c r="D65" s="10">
        <v>25</v>
      </c>
      <c r="E65" s="17">
        <v>365</v>
      </c>
      <c r="F65" s="21">
        <v>3.5000000000000001E-3</v>
      </c>
      <c r="G65" s="10">
        <v>900</v>
      </c>
      <c r="H65" s="13">
        <v>3.0000000000000001E-3</v>
      </c>
      <c r="I65" s="18">
        <v>10950</v>
      </c>
      <c r="J65" s="20">
        <v>10</v>
      </c>
      <c r="K65" s="19">
        <f t="shared" si="14"/>
        <v>4.2000000000000003E-2</v>
      </c>
      <c r="L65" s="2">
        <f t="shared" si="21"/>
        <v>2.1000000000000001E-2</v>
      </c>
      <c r="M65" s="2">
        <f t="shared" si="1"/>
        <v>4.2000000000000003E-2</v>
      </c>
      <c r="N65" s="2">
        <f t="shared" si="2"/>
        <v>6.3E-2</v>
      </c>
      <c r="O65" s="2">
        <f t="shared" si="3"/>
        <v>8.4000000000000005E-2</v>
      </c>
      <c r="P65" s="2">
        <f t="shared" si="4"/>
        <v>0.105</v>
      </c>
      <c r="Q65" s="2">
        <f t="shared" si="5"/>
        <v>0.126</v>
      </c>
      <c r="R65" s="2">
        <f t="shared" si="6"/>
        <v>14</v>
      </c>
      <c r="S65" s="2">
        <f t="shared" si="16"/>
        <v>7</v>
      </c>
      <c r="T65" s="2">
        <f t="shared" si="8"/>
        <v>14</v>
      </c>
      <c r="U65" s="2">
        <f t="shared" si="17"/>
        <v>21</v>
      </c>
      <c r="V65" s="2">
        <f t="shared" si="18"/>
        <v>28</v>
      </c>
      <c r="W65" s="2">
        <f t="shared" si="19"/>
        <v>35</v>
      </c>
      <c r="X65" s="2">
        <f t="shared" si="20"/>
        <v>42</v>
      </c>
      <c r="Y65" s="5" t="str">
        <f t="shared" si="22"/>
        <v>1</v>
      </c>
      <c r="Z65" s="5" t="str">
        <f t="shared" si="22"/>
        <v>1</v>
      </c>
      <c r="AA65" s="5" t="str">
        <f t="shared" si="22"/>
        <v>1</v>
      </c>
      <c r="AB65" s="5" t="str">
        <f t="shared" si="22"/>
        <v>1</v>
      </c>
      <c r="AC65" s="5" t="str">
        <f t="shared" si="22"/>
        <v>1</v>
      </c>
      <c r="AD65" s="5" t="str">
        <f t="shared" si="22"/>
        <v>1</v>
      </c>
      <c r="AE65" s="5" t="str">
        <f t="shared" si="22"/>
        <v>1</v>
      </c>
    </row>
    <row r="66" spans="1:31" ht="14.4" x14ac:dyDescent="0.3">
      <c r="A66" s="14">
        <v>63</v>
      </c>
      <c r="B66" s="15" t="s">
        <v>165</v>
      </c>
      <c r="C66" s="10">
        <v>10</v>
      </c>
      <c r="D66" s="10">
        <v>25</v>
      </c>
      <c r="E66" s="17">
        <v>365</v>
      </c>
      <c r="F66" s="21">
        <v>3.5000000000000001E-3</v>
      </c>
      <c r="G66" s="10">
        <v>900</v>
      </c>
      <c r="H66" s="13">
        <v>3.0000000000000001E-3</v>
      </c>
      <c r="I66" s="18">
        <v>10950</v>
      </c>
      <c r="J66" s="20">
        <v>10</v>
      </c>
      <c r="K66" s="19">
        <f t="shared" si="14"/>
        <v>4.2000000000000003E-2</v>
      </c>
      <c r="L66" s="2">
        <f t="shared" si="21"/>
        <v>2.1000000000000001E-2</v>
      </c>
      <c r="M66" s="2">
        <f t="shared" si="1"/>
        <v>4.2000000000000003E-2</v>
      </c>
      <c r="N66" s="2">
        <f t="shared" si="2"/>
        <v>6.3E-2</v>
      </c>
      <c r="O66" s="2">
        <f t="shared" si="3"/>
        <v>8.4000000000000005E-2</v>
      </c>
      <c r="P66" s="2">
        <f t="shared" si="4"/>
        <v>0.105</v>
      </c>
      <c r="Q66" s="2">
        <f t="shared" si="5"/>
        <v>0.126</v>
      </c>
      <c r="R66" s="2">
        <f t="shared" si="6"/>
        <v>14</v>
      </c>
      <c r="S66" s="2">
        <f t="shared" si="16"/>
        <v>7</v>
      </c>
      <c r="T66" s="2">
        <f t="shared" si="8"/>
        <v>14</v>
      </c>
      <c r="U66" s="2">
        <f t="shared" si="17"/>
        <v>21</v>
      </c>
      <c r="V66" s="2">
        <f t="shared" si="18"/>
        <v>28</v>
      </c>
      <c r="W66" s="2">
        <f t="shared" si="19"/>
        <v>35</v>
      </c>
      <c r="X66" s="2">
        <f t="shared" si="20"/>
        <v>42</v>
      </c>
      <c r="Y66" s="5" t="str">
        <f t="shared" si="22"/>
        <v>1</v>
      </c>
      <c r="Z66" s="5" t="str">
        <f t="shared" si="22"/>
        <v>1</v>
      </c>
      <c r="AA66" s="5" t="str">
        <f t="shared" si="22"/>
        <v>1</v>
      </c>
      <c r="AB66" s="5" t="str">
        <f t="shared" si="22"/>
        <v>1</v>
      </c>
      <c r="AC66" s="5" t="str">
        <f t="shared" si="22"/>
        <v>1</v>
      </c>
      <c r="AD66" s="5" t="str">
        <f t="shared" si="22"/>
        <v>1</v>
      </c>
      <c r="AE66" s="5" t="str">
        <f t="shared" si="22"/>
        <v>1</v>
      </c>
    </row>
    <row r="67" spans="1:31" ht="14.4" x14ac:dyDescent="0.3">
      <c r="A67" s="14">
        <v>64</v>
      </c>
      <c r="B67" s="15" t="s">
        <v>144</v>
      </c>
      <c r="C67" s="10">
        <v>10</v>
      </c>
      <c r="D67" s="10">
        <v>30</v>
      </c>
      <c r="E67" s="17">
        <v>365</v>
      </c>
      <c r="F67" s="21">
        <v>3.5000000000000001E-3</v>
      </c>
      <c r="G67" s="10">
        <v>900</v>
      </c>
      <c r="H67" s="13">
        <v>3.0000000000000001E-3</v>
      </c>
      <c r="I67" s="18">
        <v>10950</v>
      </c>
      <c r="J67" s="20">
        <v>10</v>
      </c>
      <c r="K67" s="19">
        <f t="shared" si="14"/>
        <v>3.5000000000000003E-2</v>
      </c>
      <c r="L67" s="2">
        <f t="shared" si="21"/>
        <v>1.7500000000000002E-2</v>
      </c>
      <c r="M67" s="2">
        <f t="shared" si="1"/>
        <v>3.5000000000000003E-2</v>
      </c>
      <c r="N67" s="2">
        <f t="shared" si="2"/>
        <v>5.2499999999999998E-2</v>
      </c>
      <c r="O67" s="2">
        <f t="shared" si="3"/>
        <v>7.0000000000000007E-2</v>
      </c>
      <c r="P67" s="2">
        <f t="shared" si="4"/>
        <v>8.7499999999999994E-2</v>
      </c>
      <c r="Q67" s="2">
        <f t="shared" si="5"/>
        <v>0.105</v>
      </c>
      <c r="R67" s="2">
        <f t="shared" si="6"/>
        <v>11.666666666666668</v>
      </c>
      <c r="S67" s="2">
        <f t="shared" si="16"/>
        <v>5.8333333333333339</v>
      </c>
      <c r="T67" s="2">
        <f t="shared" si="8"/>
        <v>11.666666666666668</v>
      </c>
      <c r="U67" s="2">
        <f t="shared" si="17"/>
        <v>17.5</v>
      </c>
      <c r="V67" s="2">
        <f t="shared" si="18"/>
        <v>23.333333333333336</v>
      </c>
      <c r="W67" s="2">
        <f t="shared" si="19"/>
        <v>29.166666666666664</v>
      </c>
      <c r="X67" s="2">
        <f t="shared" si="20"/>
        <v>35</v>
      </c>
      <c r="Y67" s="5" t="str">
        <f t="shared" si="22"/>
        <v>1</v>
      </c>
      <c r="Z67" s="5" t="str">
        <f t="shared" si="22"/>
        <v>1</v>
      </c>
      <c r="AA67" s="5" t="str">
        <f t="shared" si="22"/>
        <v>1</v>
      </c>
      <c r="AB67" s="5" t="str">
        <f t="shared" si="22"/>
        <v>1</v>
      </c>
      <c r="AC67" s="5" t="str">
        <f t="shared" si="22"/>
        <v>1</v>
      </c>
      <c r="AD67" s="5" t="str">
        <f t="shared" si="22"/>
        <v>1</v>
      </c>
      <c r="AE67" s="5" t="str">
        <f t="shared" si="22"/>
        <v>1</v>
      </c>
    </row>
    <row r="68" spans="1:31" ht="14.4" x14ac:dyDescent="0.3">
      <c r="A68" s="14">
        <v>65</v>
      </c>
      <c r="B68" s="15" t="s">
        <v>166</v>
      </c>
      <c r="C68" s="10">
        <v>11</v>
      </c>
      <c r="D68" s="10">
        <v>33</v>
      </c>
      <c r="E68" s="17">
        <v>365</v>
      </c>
      <c r="F68" s="21">
        <v>4.4000000000000003E-3</v>
      </c>
      <c r="G68" s="10">
        <v>900</v>
      </c>
      <c r="H68" s="13">
        <v>3.0000000000000001E-3</v>
      </c>
      <c r="I68" s="18">
        <v>10950</v>
      </c>
      <c r="J68" s="20">
        <v>11</v>
      </c>
      <c r="K68" s="19">
        <f t="shared" ref="K68:K103" si="23">(F68*G68*E68*J68)/(D68*I68)</f>
        <v>4.4000000000000004E-2</v>
      </c>
      <c r="L68" s="2">
        <f t="shared" si="21"/>
        <v>0.02</v>
      </c>
      <c r="M68" s="2">
        <f t="shared" ref="M68:M103" si="24">(F68*G68*E68*10)/(D68*I68)</f>
        <v>0.04</v>
      </c>
      <c r="N68" s="2">
        <f t="shared" ref="N68:N103" si="25">(F68*G68*E68*15)/(D68*I68)</f>
        <v>0.06</v>
      </c>
      <c r="O68" s="2">
        <f t="shared" ref="O68:O103" si="26">(F68*G68*E68*20)/(D68*I68)</f>
        <v>0.08</v>
      </c>
      <c r="P68" s="2">
        <f t="shared" ref="P68:P103" si="27">(F68*G68*E68*25)/(D68*I68)</f>
        <v>0.1</v>
      </c>
      <c r="Q68" s="2">
        <f t="shared" ref="Q68:Q103" si="28">(F68*G68*E68*30)/(D68*I68)</f>
        <v>0.12</v>
      </c>
      <c r="R68" s="2">
        <f t="shared" ref="R68:R103" si="29">K68/H68</f>
        <v>14.666666666666668</v>
      </c>
      <c r="S68" s="2">
        <f t="shared" si="16"/>
        <v>6.666666666666667</v>
      </c>
      <c r="T68" s="2">
        <f t="shared" ref="T68:T103" si="30">M68/H68</f>
        <v>13.333333333333334</v>
      </c>
      <c r="U68" s="2">
        <f t="shared" si="17"/>
        <v>20</v>
      </c>
      <c r="V68" s="2">
        <f t="shared" si="18"/>
        <v>26.666666666666668</v>
      </c>
      <c r="W68" s="2">
        <f t="shared" si="19"/>
        <v>33.333333333333336</v>
      </c>
      <c r="X68" s="2">
        <f t="shared" si="20"/>
        <v>40</v>
      </c>
      <c r="Y68" s="5" t="str">
        <f t="shared" si="22"/>
        <v>1</v>
      </c>
      <c r="Z68" s="5" t="str">
        <f t="shared" si="22"/>
        <v>1</v>
      </c>
      <c r="AA68" s="5" t="str">
        <f t="shared" si="22"/>
        <v>1</v>
      </c>
      <c r="AB68" s="5" t="str">
        <f t="shared" si="22"/>
        <v>1</v>
      </c>
      <c r="AC68" s="5" t="str">
        <f t="shared" si="22"/>
        <v>1</v>
      </c>
      <c r="AD68" s="5" t="str">
        <f t="shared" si="22"/>
        <v>1</v>
      </c>
      <c r="AE68" s="5" t="str">
        <f t="shared" si="22"/>
        <v>1</v>
      </c>
    </row>
    <row r="69" spans="1:31" ht="14.4" x14ac:dyDescent="0.3">
      <c r="A69" s="14">
        <v>66</v>
      </c>
      <c r="B69" s="15" t="s">
        <v>167</v>
      </c>
      <c r="C69" s="10">
        <v>11</v>
      </c>
      <c r="D69" s="10">
        <v>23</v>
      </c>
      <c r="E69" s="17">
        <v>365</v>
      </c>
      <c r="F69" s="21">
        <v>9.7999999999999997E-3</v>
      </c>
      <c r="G69" s="10">
        <v>900</v>
      </c>
      <c r="H69" s="13">
        <v>3.0000000000000001E-3</v>
      </c>
      <c r="I69" s="18">
        <v>10950</v>
      </c>
      <c r="J69" s="20">
        <v>11</v>
      </c>
      <c r="K69" s="19">
        <f t="shared" si="23"/>
        <v>0.14060869565217393</v>
      </c>
      <c r="L69" s="2">
        <f t="shared" si="21"/>
        <v>6.3913043478260864E-2</v>
      </c>
      <c r="M69" s="2">
        <f t="shared" si="24"/>
        <v>0.12782608695652173</v>
      </c>
      <c r="N69" s="2">
        <f t="shared" si="25"/>
        <v>0.19173913043478261</v>
      </c>
      <c r="O69" s="2">
        <f t="shared" si="26"/>
        <v>0.25565217391304346</v>
      </c>
      <c r="P69" s="2">
        <f t="shared" si="27"/>
        <v>0.31956521739130433</v>
      </c>
      <c r="Q69" s="2">
        <f t="shared" si="28"/>
        <v>0.38347826086956521</v>
      </c>
      <c r="R69" s="2">
        <f t="shared" si="29"/>
        <v>46.869565217391312</v>
      </c>
      <c r="S69" s="2">
        <f t="shared" si="16"/>
        <v>21.304347826086953</v>
      </c>
      <c r="T69" s="2">
        <f t="shared" si="30"/>
        <v>42.608695652173907</v>
      </c>
      <c r="U69" s="2">
        <f t="shared" si="17"/>
        <v>63.913043478260867</v>
      </c>
      <c r="V69" s="2">
        <f t="shared" si="18"/>
        <v>85.217391304347814</v>
      </c>
      <c r="W69" s="2">
        <f t="shared" si="19"/>
        <v>106.52173913043478</v>
      </c>
      <c r="X69" s="2">
        <f t="shared" si="20"/>
        <v>127.82608695652173</v>
      </c>
      <c r="Y69" s="5" t="str">
        <f t="shared" si="22"/>
        <v>1</v>
      </c>
      <c r="Z69" s="5" t="str">
        <f t="shared" si="22"/>
        <v>1</v>
      </c>
      <c r="AA69" s="5" t="str">
        <f t="shared" si="22"/>
        <v>1</v>
      </c>
      <c r="AB69" s="5" t="str">
        <f t="shared" si="22"/>
        <v>1</v>
      </c>
      <c r="AC69" s="5" t="str">
        <f t="shared" si="22"/>
        <v>1</v>
      </c>
      <c r="AD69" s="5" t="str">
        <f t="shared" si="22"/>
        <v>1</v>
      </c>
      <c r="AE69" s="5" t="str">
        <f t="shared" si="22"/>
        <v>1</v>
      </c>
    </row>
    <row r="70" spans="1:31" ht="14.4" x14ac:dyDescent="0.3">
      <c r="A70" s="14">
        <v>67</v>
      </c>
      <c r="B70" s="15" t="s">
        <v>168</v>
      </c>
      <c r="C70" s="10">
        <v>11</v>
      </c>
      <c r="D70" s="10">
        <v>34</v>
      </c>
      <c r="E70" s="17">
        <v>365</v>
      </c>
      <c r="F70" s="21">
        <v>9.7999999999999997E-3</v>
      </c>
      <c r="G70" s="10">
        <v>1200</v>
      </c>
      <c r="H70" s="13">
        <v>3.0000000000000001E-3</v>
      </c>
      <c r="I70" s="18">
        <v>10950</v>
      </c>
      <c r="J70" s="20">
        <v>11</v>
      </c>
      <c r="K70" s="19">
        <f t="shared" si="23"/>
        <v>0.1268235294117647</v>
      </c>
      <c r="L70" s="2">
        <f t="shared" si="21"/>
        <v>5.7647058823529412E-2</v>
      </c>
      <c r="M70" s="2">
        <f t="shared" si="24"/>
        <v>0.11529411764705882</v>
      </c>
      <c r="N70" s="2">
        <f t="shared" si="25"/>
        <v>0.17294117647058821</v>
      </c>
      <c r="O70" s="2">
        <f t="shared" si="26"/>
        <v>0.23058823529411765</v>
      </c>
      <c r="P70" s="2">
        <f t="shared" si="27"/>
        <v>0.28823529411764703</v>
      </c>
      <c r="Q70" s="2">
        <f t="shared" si="28"/>
        <v>0.34588235294117642</v>
      </c>
      <c r="R70" s="2">
        <f t="shared" si="29"/>
        <v>42.274509803921568</v>
      </c>
      <c r="S70" s="2">
        <f t="shared" si="16"/>
        <v>19.215686274509803</v>
      </c>
      <c r="T70" s="2">
        <f t="shared" si="30"/>
        <v>38.431372549019606</v>
      </c>
      <c r="U70" s="2">
        <f t="shared" si="17"/>
        <v>57.647058823529399</v>
      </c>
      <c r="V70" s="2">
        <f t="shared" si="18"/>
        <v>76.862745098039213</v>
      </c>
      <c r="W70" s="2">
        <f t="shared" si="19"/>
        <v>96.078431372549005</v>
      </c>
      <c r="X70" s="2">
        <f t="shared" si="20"/>
        <v>115.2941176470588</v>
      </c>
      <c r="Y70" s="5" t="str">
        <f t="shared" si="22"/>
        <v>1</v>
      </c>
      <c r="Z70" s="5" t="str">
        <f t="shared" si="22"/>
        <v>1</v>
      </c>
      <c r="AA70" s="5" t="str">
        <f t="shared" si="22"/>
        <v>1</v>
      </c>
      <c r="AB70" s="5" t="str">
        <f t="shared" si="22"/>
        <v>1</v>
      </c>
      <c r="AC70" s="5" t="str">
        <f t="shared" si="22"/>
        <v>1</v>
      </c>
      <c r="AD70" s="5" t="str">
        <f t="shared" si="22"/>
        <v>1</v>
      </c>
      <c r="AE70" s="5" t="str">
        <f t="shared" si="22"/>
        <v>1</v>
      </c>
    </row>
    <row r="71" spans="1:31" ht="14.4" x14ac:dyDescent="0.3">
      <c r="A71" s="14">
        <v>68</v>
      </c>
      <c r="B71" s="15" t="s">
        <v>169</v>
      </c>
      <c r="C71" s="10">
        <v>11</v>
      </c>
      <c r="D71" s="10">
        <v>32</v>
      </c>
      <c r="E71" s="17">
        <v>365</v>
      </c>
      <c r="F71" s="21">
        <v>1.9900000000000001E-2</v>
      </c>
      <c r="G71" s="10">
        <v>900</v>
      </c>
      <c r="H71" s="13">
        <v>3.0000000000000001E-3</v>
      </c>
      <c r="I71" s="18">
        <v>10950</v>
      </c>
      <c r="J71" s="20">
        <v>11</v>
      </c>
      <c r="K71" s="19">
        <f t="shared" si="23"/>
        <v>0.20521874999999998</v>
      </c>
      <c r="L71" s="2">
        <f t="shared" si="21"/>
        <v>9.3281249999999996E-2</v>
      </c>
      <c r="M71" s="2">
        <f t="shared" si="24"/>
        <v>0.18656249999999999</v>
      </c>
      <c r="N71" s="2">
        <f t="shared" si="25"/>
        <v>0.27984375</v>
      </c>
      <c r="O71" s="2">
        <f t="shared" si="26"/>
        <v>0.37312499999999998</v>
      </c>
      <c r="P71" s="2">
        <f t="shared" si="27"/>
        <v>0.46640625000000002</v>
      </c>
      <c r="Q71" s="2">
        <f t="shared" si="28"/>
        <v>0.5596875</v>
      </c>
      <c r="R71" s="2">
        <f t="shared" si="29"/>
        <v>68.406249999999986</v>
      </c>
      <c r="S71" s="2">
        <f t="shared" si="16"/>
        <v>31.093749999999996</v>
      </c>
      <c r="T71" s="2">
        <f t="shared" si="30"/>
        <v>62.187499999999993</v>
      </c>
      <c r="U71" s="2">
        <f t="shared" si="17"/>
        <v>93.28125</v>
      </c>
      <c r="V71" s="2">
        <f t="shared" si="18"/>
        <v>124.37499999999999</v>
      </c>
      <c r="W71" s="2">
        <f t="shared" si="19"/>
        <v>155.46875</v>
      </c>
      <c r="X71" s="2">
        <f t="shared" si="20"/>
        <v>186.5625</v>
      </c>
      <c r="Y71" s="5" t="str">
        <f t="shared" si="22"/>
        <v>1</v>
      </c>
      <c r="Z71" s="5" t="str">
        <f t="shared" si="22"/>
        <v>1</v>
      </c>
      <c r="AA71" s="5" t="str">
        <f t="shared" si="22"/>
        <v>1</v>
      </c>
      <c r="AB71" s="5" t="str">
        <f t="shared" si="22"/>
        <v>1</v>
      </c>
      <c r="AC71" s="5" t="str">
        <f t="shared" si="22"/>
        <v>1</v>
      </c>
      <c r="AD71" s="5" t="str">
        <f t="shared" si="22"/>
        <v>1</v>
      </c>
      <c r="AE71" s="5" t="str">
        <f t="shared" si="22"/>
        <v>1</v>
      </c>
    </row>
    <row r="72" spans="1:31" ht="14.4" x14ac:dyDescent="0.3">
      <c r="A72" s="14">
        <v>69</v>
      </c>
      <c r="B72" s="15" t="s">
        <v>170</v>
      </c>
      <c r="C72" s="10">
        <v>11</v>
      </c>
      <c r="D72" s="10">
        <v>29</v>
      </c>
      <c r="E72" s="17">
        <v>365</v>
      </c>
      <c r="F72" s="21">
        <v>1.8E-3</v>
      </c>
      <c r="G72" s="10">
        <v>1200</v>
      </c>
      <c r="H72" s="13">
        <v>3.0000000000000001E-3</v>
      </c>
      <c r="I72" s="18">
        <v>10950</v>
      </c>
      <c r="J72" s="20">
        <v>11</v>
      </c>
      <c r="K72" s="19">
        <f t="shared" si="23"/>
        <v>2.7310344827586212E-2</v>
      </c>
      <c r="L72" s="2">
        <f t="shared" si="21"/>
        <v>1.2413793103448277E-2</v>
      </c>
      <c r="M72" s="2">
        <f t="shared" si="24"/>
        <v>2.4827586206896554E-2</v>
      </c>
      <c r="N72" s="2">
        <f t="shared" si="25"/>
        <v>3.7241379310344831E-2</v>
      </c>
      <c r="O72" s="2">
        <f t="shared" si="26"/>
        <v>4.9655172413793108E-2</v>
      </c>
      <c r="P72" s="2">
        <f t="shared" si="27"/>
        <v>6.2068965517241392E-2</v>
      </c>
      <c r="Q72" s="2">
        <f t="shared" si="28"/>
        <v>7.4482758620689662E-2</v>
      </c>
      <c r="R72" s="2">
        <f t="shared" si="29"/>
        <v>9.1034482758620712</v>
      </c>
      <c r="S72" s="2">
        <f t="shared" si="16"/>
        <v>4.1379310344827589</v>
      </c>
      <c r="T72" s="2">
        <f t="shared" si="30"/>
        <v>8.2758620689655178</v>
      </c>
      <c r="U72" s="2">
        <f t="shared" si="17"/>
        <v>12.413793103448278</v>
      </c>
      <c r="V72" s="2">
        <f t="shared" si="18"/>
        <v>16.551724137931036</v>
      </c>
      <c r="W72" s="2">
        <f t="shared" si="19"/>
        <v>20.689655172413797</v>
      </c>
      <c r="X72" s="2">
        <f t="shared" si="20"/>
        <v>24.827586206896555</v>
      </c>
      <c r="Y72" s="5" t="str">
        <f t="shared" si="22"/>
        <v>1</v>
      </c>
      <c r="Z72" s="5" t="str">
        <f t="shared" si="22"/>
        <v>1</v>
      </c>
      <c r="AA72" s="5" t="str">
        <f t="shared" si="22"/>
        <v>1</v>
      </c>
      <c r="AB72" s="5" t="str">
        <f t="shared" si="22"/>
        <v>1</v>
      </c>
      <c r="AC72" s="5" t="str">
        <f t="shared" si="22"/>
        <v>1</v>
      </c>
      <c r="AD72" s="5" t="str">
        <f t="shared" si="22"/>
        <v>1</v>
      </c>
      <c r="AE72" s="5" t="str">
        <f t="shared" si="22"/>
        <v>1</v>
      </c>
    </row>
    <row r="73" spans="1:31" ht="14.4" x14ac:dyDescent="0.3">
      <c r="A73" s="14">
        <v>70</v>
      </c>
      <c r="B73" s="15" t="s">
        <v>171</v>
      </c>
      <c r="C73" s="10">
        <v>11</v>
      </c>
      <c r="D73" s="10">
        <v>29</v>
      </c>
      <c r="E73" s="17">
        <v>365</v>
      </c>
      <c r="F73" s="21">
        <v>1.8E-3</v>
      </c>
      <c r="G73" s="10">
        <v>1200</v>
      </c>
      <c r="H73" s="13">
        <v>3.0000000000000001E-3</v>
      </c>
      <c r="I73" s="18">
        <v>10950</v>
      </c>
      <c r="J73" s="20">
        <v>11</v>
      </c>
      <c r="K73" s="19">
        <f t="shared" si="23"/>
        <v>2.7310344827586212E-2</v>
      </c>
      <c r="L73" s="2">
        <f t="shared" si="21"/>
        <v>1.2413793103448277E-2</v>
      </c>
      <c r="M73" s="2">
        <f t="shared" si="24"/>
        <v>2.4827586206896554E-2</v>
      </c>
      <c r="N73" s="2">
        <f t="shared" si="25"/>
        <v>3.7241379310344831E-2</v>
      </c>
      <c r="O73" s="2">
        <f t="shared" si="26"/>
        <v>4.9655172413793108E-2</v>
      </c>
      <c r="P73" s="2">
        <f t="shared" si="27"/>
        <v>6.2068965517241392E-2</v>
      </c>
      <c r="Q73" s="2">
        <f t="shared" si="28"/>
        <v>7.4482758620689662E-2</v>
      </c>
      <c r="R73" s="2">
        <f t="shared" si="29"/>
        <v>9.1034482758620712</v>
      </c>
      <c r="S73" s="2">
        <f t="shared" si="16"/>
        <v>4.1379310344827589</v>
      </c>
      <c r="T73" s="2">
        <f t="shared" si="30"/>
        <v>8.2758620689655178</v>
      </c>
      <c r="U73" s="2">
        <f t="shared" si="17"/>
        <v>12.413793103448278</v>
      </c>
      <c r="V73" s="2">
        <f t="shared" si="18"/>
        <v>16.551724137931036</v>
      </c>
      <c r="W73" s="2">
        <f t="shared" si="19"/>
        <v>20.689655172413797</v>
      </c>
      <c r="X73" s="2">
        <f t="shared" si="20"/>
        <v>24.827586206896555</v>
      </c>
      <c r="Y73" s="5" t="str">
        <f t="shared" si="22"/>
        <v>1</v>
      </c>
      <c r="Z73" s="5" t="str">
        <f t="shared" si="22"/>
        <v>1</v>
      </c>
      <c r="AA73" s="5" t="str">
        <f t="shared" si="22"/>
        <v>1</v>
      </c>
      <c r="AB73" s="5" t="str">
        <f t="shared" si="22"/>
        <v>1</v>
      </c>
      <c r="AC73" s="5" t="str">
        <f t="shared" si="22"/>
        <v>1</v>
      </c>
      <c r="AD73" s="5" t="str">
        <f t="shared" si="22"/>
        <v>1</v>
      </c>
      <c r="AE73" s="5" t="str">
        <f t="shared" si="22"/>
        <v>1</v>
      </c>
    </row>
    <row r="74" spans="1:31" ht="14.4" x14ac:dyDescent="0.3">
      <c r="A74" s="14">
        <v>71</v>
      </c>
      <c r="B74" s="15" t="s">
        <v>108</v>
      </c>
      <c r="C74" s="10">
        <v>11</v>
      </c>
      <c r="D74" s="10">
        <v>20</v>
      </c>
      <c r="E74" s="17">
        <v>365</v>
      </c>
      <c r="F74" s="21">
        <v>2.3999999999999998E-3</v>
      </c>
      <c r="G74" s="10">
        <v>900</v>
      </c>
      <c r="H74" s="13">
        <v>3.0000000000000001E-3</v>
      </c>
      <c r="I74" s="18">
        <v>10950</v>
      </c>
      <c r="J74" s="20">
        <v>1</v>
      </c>
      <c r="K74" s="19">
        <f t="shared" si="23"/>
        <v>3.5999999999999995E-3</v>
      </c>
      <c r="L74" s="2">
        <f t="shared" si="21"/>
        <v>1.7999999999999995E-2</v>
      </c>
      <c r="M74" s="2">
        <f t="shared" si="24"/>
        <v>3.599999999999999E-2</v>
      </c>
      <c r="N74" s="2">
        <f t="shared" si="25"/>
        <v>5.3999999999999992E-2</v>
      </c>
      <c r="O74" s="2">
        <f t="shared" si="26"/>
        <v>7.1999999999999981E-2</v>
      </c>
      <c r="P74" s="2">
        <f t="shared" si="27"/>
        <v>8.9999999999999983E-2</v>
      </c>
      <c r="Q74" s="2">
        <f t="shared" si="28"/>
        <v>0.10799999999999998</v>
      </c>
      <c r="R74" s="2">
        <f t="shared" si="29"/>
        <v>1.1999999999999997</v>
      </c>
      <c r="S74" s="2">
        <f t="shared" si="16"/>
        <v>5.9999999999999982</v>
      </c>
      <c r="T74" s="2">
        <f t="shared" si="30"/>
        <v>11.999999999999996</v>
      </c>
      <c r="U74" s="2">
        <f t="shared" si="17"/>
        <v>17.999999999999996</v>
      </c>
      <c r="V74" s="2">
        <f t="shared" si="18"/>
        <v>23.999999999999993</v>
      </c>
      <c r="W74" s="2">
        <f t="shared" si="19"/>
        <v>29.999999999999993</v>
      </c>
      <c r="X74" s="2">
        <f t="shared" si="20"/>
        <v>35.999999999999993</v>
      </c>
      <c r="Y74" s="5" t="str">
        <f t="shared" si="22"/>
        <v>1</v>
      </c>
      <c r="Z74" s="5" t="str">
        <f t="shared" si="22"/>
        <v>1</v>
      </c>
      <c r="AA74" s="5" t="str">
        <f t="shared" si="22"/>
        <v>1</v>
      </c>
      <c r="AB74" s="5" t="str">
        <f t="shared" si="22"/>
        <v>1</v>
      </c>
      <c r="AC74" s="5" t="str">
        <f t="shared" si="22"/>
        <v>1</v>
      </c>
      <c r="AD74" s="5" t="str">
        <f t="shared" si="22"/>
        <v>1</v>
      </c>
      <c r="AE74" s="5" t="str">
        <f t="shared" si="22"/>
        <v>1</v>
      </c>
    </row>
    <row r="75" spans="1:31" ht="14.4" x14ac:dyDescent="0.3">
      <c r="A75" s="14">
        <v>72</v>
      </c>
      <c r="B75" s="15" t="s">
        <v>172</v>
      </c>
      <c r="C75" s="10">
        <v>11</v>
      </c>
      <c r="D75" s="10">
        <v>26</v>
      </c>
      <c r="E75" s="17">
        <v>365</v>
      </c>
      <c r="F75" s="21">
        <v>1.4E-3</v>
      </c>
      <c r="G75" s="10">
        <v>900</v>
      </c>
      <c r="H75" s="13">
        <v>3.0000000000000001E-3</v>
      </c>
      <c r="I75" s="18">
        <v>10950</v>
      </c>
      <c r="J75" s="20">
        <v>1</v>
      </c>
      <c r="K75" s="19">
        <f t="shared" si="23"/>
        <v>1.6153846153846153E-3</v>
      </c>
      <c r="L75" s="2">
        <f t="shared" si="21"/>
        <v>8.076923076923077E-3</v>
      </c>
      <c r="M75" s="2">
        <f t="shared" si="24"/>
        <v>1.6153846153846154E-2</v>
      </c>
      <c r="N75" s="2">
        <f t="shared" si="25"/>
        <v>2.4230769230769229E-2</v>
      </c>
      <c r="O75" s="2">
        <f t="shared" si="26"/>
        <v>3.2307692307692308E-2</v>
      </c>
      <c r="P75" s="2">
        <f t="shared" si="27"/>
        <v>4.0384615384615387E-2</v>
      </c>
      <c r="Q75" s="2">
        <f t="shared" si="28"/>
        <v>4.8461538461538459E-2</v>
      </c>
      <c r="R75" s="2">
        <f t="shared" si="29"/>
        <v>0.53846153846153844</v>
      </c>
      <c r="S75" s="2">
        <f t="shared" si="16"/>
        <v>2.6923076923076921</v>
      </c>
      <c r="T75" s="2">
        <f t="shared" si="30"/>
        <v>5.3846153846153841</v>
      </c>
      <c r="U75" s="2">
        <f t="shared" si="17"/>
        <v>8.0769230769230766</v>
      </c>
      <c r="V75" s="2">
        <f t="shared" si="18"/>
        <v>10.769230769230768</v>
      </c>
      <c r="W75" s="2">
        <f t="shared" si="19"/>
        <v>13.461538461538462</v>
      </c>
      <c r="X75" s="2">
        <f t="shared" si="20"/>
        <v>16.153846153846153</v>
      </c>
      <c r="Y75" s="5" t="str">
        <f t="shared" si="22"/>
        <v>2</v>
      </c>
      <c r="Z75" s="5" t="str">
        <f t="shared" si="22"/>
        <v>1</v>
      </c>
      <c r="AA75" s="5" t="str">
        <f t="shared" si="22"/>
        <v>1</v>
      </c>
      <c r="AB75" s="5" t="str">
        <f t="shared" si="22"/>
        <v>1</v>
      </c>
      <c r="AC75" s="5" t="str">
        <f t="shared" si="22"/>
        <v>1</v>
      </c>
      <c r="AD75" s="5" t="str">
        <f t="shared" si="22"/>
        <v>1</v>
      </c>
      <c r="AE75" s="5" t="str">
        <f t="shared" si="22"/>
        <v>1</v>
      </c>
    </row>
    <row r="76" spans="1:31" ht="14.4" x14ac:dyDescent="0.3">
      <c r="A76" s="14">
        <v>73</v>
      </c>
      <c r="B76" s="15" t="s">
        <v>173</v>
      </c>
      <c r="C76" s="10">
        <v>11</v>
      </c>
      <c r="D76" s="10">
        <v>31</v>
      </c>
      <c r="E76" s="17">
        <v>365</v>
      </c>
      <c r="F76" s="21">
        <v>3.0999999999999999E-3</v>
      </c>
      <c r="G76" s="10">
        <v>1200</v>
      </c>
      <c r="H76" s="13">
        <v>3.0000000000000001E-3</v>
      </c>
      <c r="I76" s="18">
        <v>10950</v>
      </c>
      <c r="J76" s="20">
        <v>11</v>
      </c>
      <c r="K76" s="19">
        <f t="shared" si="23"/>
        <v>4.3999999999999997E-2</v>
      </c>
      <c r="L76" s="2">
        <f t="shared" si="21"/>
        <v>0.02</v>
      </c>
      <c r="M76" s="2">
        <f t="shared" si="24"/>
        <v>0.04</v>
      </c>
      <c r="N76" s="2">
        <f t="shared" si="25"/>
        <v>0.06</v>
      </c>
      <c r="O76" s="2">
        <f t="shared" si="26"/>
        <v>0.08</v>
      </c>
      <c r="P76" s="2">
        <f t="shared" si="27"/>
        <v>0.1</v>
      </c>
      <c r="Q76" s="2">
        <f t="shared" si="28"/>
        <v>0.12</v>
      </c>
      <c r="R76" s="2">
        <f t="shared" si="29"/>
        <v>14.666666666666666</v>
      </c>
      <c r="S76" s="2">
        <f t="shared" si="16"/>
        <v>6.666666666666667</v>
      </c>
      <c r="T76" s="2">
        <f t="shared" si="30"/>
        <v>13.333333333333334</v>
      </c>
      <c r="U76" s="2">
        <f t="shared" si="17"/>
        <v>20</v>
      </c>
      <c r="V76" s="2">
        <f t="shared" si="18"/>
        <v>26.666666666666668</v>
      </c>
      <c r="W76" s="2">
        <f t="shared" si="19"/>
        <v>33.333333333333336</v>
      </c>
      <c r="X76" s="2">
        <f t="shared" si="20"/>
        <v>40</v>
      </c>
      <c r="Y76" s="5" t="str">
        <f t="shared" si="22"/>
        <v>1</v>
      </c>
      <c r="Z76" s="5" t="str">
        <f t="shared" si="22"/>
        <v>1</v>
      </c>
      <c r="AA76" s="5" t="str">
        <f t="shared" si="22"/>
        <v>1</v>
      </c>
      <c r="AB76" s="5" t="str">
        <f t="shared" si="22"/>
        <v>1</v>
      </c>
      <c r="AC76" s="5" t="str">
        <f t="shared" si="22"/>
        <v>1</v>
      </c>
      <c r="AD76" s="5" t="str">
        <f t="shared" si="22"/>
        <v>1</v>
      </c>
      <c r="AE76" s="5" t="str">
        <f t="shared" si="22"/>
        <v>1</v>
      </c>
    </row>
    <row r="77" spans="1:31" ht="14.4" x14ac:dyDescent="0.3">
      <c r="A77" s="14">
        <v>74</v>
      </c>
      <c r="B77" s="15" t="s">
        <v>174</v>
      </c>
      <c r="C77" s="10">
        <v>11</v>
      </c>
      <c r="D77" s="10">
        <v>28</v>
      </c>
      <c r="E77" s="17">
        <v>365</v>
      </c>
      <c r="F77" s="21">
        <v>3.0999999999999999E-3</v>
      </c>
      <c r="G77" s="10">
        <v>1200</v>
      </c>
      <c r="H77" s="13">
        <v>3.0000000000000001E-3</v>
      </c>
      <c r="I77" s="18">
        <v>10950</v>
      </c>
      <c r="J77" s="20">
        <v>11</v>
      </c>
      <c r="K77" s="19">
        <f t="shared" si="23"/>
        <v>4.871428571428571E-2</v>
      </c>
      <c r="L77" s="2">
        <f t="shared" si="21"/>
        <v>2.2142857142857141E-2</v>
      </c>
      <c r="M77" s="2">
        <f t="shared" si="24"/>
        <v>4.4285714285714282E-2</v>
      </c>
      <c r="N77" s="2">
        <f t="shared" si="25"/>
        <v>6.6428571428571434E-2</v>
      </c>
      <c r="O77" s="2">
        <f t="shared" si="26"/>
        <v>8.8571428571428565E-2</v>
      </c>
      <c r="P77" s="2">
        <f t="shared" si="27"/>
        <v>0.11071428571428571</v>
      </c>
      <c r="Q77" s="2">
        <f t="shared" si="28"/>
        <v>0.13285714285714287</v>
      </c>
      <c r="R77" s="2">
        <f t="shared" si="29"/>
        <v>16.238095238095237</v>
      </c>
      <c r="S77" s="2">
        <f t="shared" si="16"/>
        <v>7.3809523809523805</v>
      </c>
      <c r="T77" s="2">
        <f t="shared" si="30"/>
        <v>14.761904761904761</v>
      </c>
      <c r="U77" s="2">
        <f t="shared" si="17"/>
        <v>22.142857142857146</v>
      </c>
      <c r="V77" s="2">
        <f t="shared" si="18"/>
        <v>29.523809523809522</v>
      </c>
      <c r="W77" s="2">
        <f t="shared" si="19"/>
        <v>36.904761904761905</v>
      </c>
      <c r="X77" s="2">
        <f t="shared" si="20"/>
        <v>44.285714285714292</v>
      </c>
      <c r="Y77" s="5" t="str">
        <f t="shared" si="22"/>
        <v>1</v>
      </c>
      <c r="Z77" s="5" t="str">
        <f t="shared" si="22"/>
        <v>1</v>
      </c>
      <c r="AA77" s="5" t="str">
        <f t="shared" si="22"/>
        <v>1</v>
      </c>
      <c r="AB77" s="5" t="str">
        <f t="shared" si="22"/>
        <v>1</v>
      </c>
      <c r="AC77" s="5" t="str">
        <f t="shared" si="22"/>
        <v>1</v>
      </c>
      <c r="AD77" s="5" t="str">
        <f t="shared" si="22"/>
        <v>1</v>
      </c>
      <c r="AE77" s="5" t="str">
        <f t="shared" si="22"/>
        <v>1</v>
      </c>
    </row>
    <row r="78" spans="1:31" ht="14.4" x14ac:dyDescent="0.3">
      <c r="A78" s="14">
        <v>75</v>
      </c>
      <c r="B78" s="15" t="s">
        <v>175</v>
      </c>
      <c r="C78" s="10">
        <v>11</v>
      </c>
      <c r="D78" s="10">
        <v>35</v>
      </c>
      <c r="E78" s="17">
        <v>365</v>
      </c>
      <c r="F78" s="21">
        <v>3.0999999999999999E-3</v>
      </c>
      <c r="G78" s="10">
        <v>900</v>
      </c>
      <c r="H78" s="13">
        <v>3.0000000000000001E-3</v>
      </c>
      <c r="I78" s="18">
        <v>10950</v>
      </c>
      <c r="J78" s="20">
        <v>6</v>
      </c>
      <c r="K78" s="19">
        <f t="shared" si="23"/>
        <v>1.5942857142857144E-2</v>
      </c>
      <c r="L78" s="2">
        <f t="shared" si="21"/>
        <v>1.3285714285714286E-2</v>
      </c>
      <c r="M78" s="2">
        <f t="shared" si="24"/>
        <v>2.6571428571428572E-2</v>
      </c>
      <c r="N78" s="2">
        <f t="shared" si="25"/>
        <v>3.9857142857142855E-2</v>
      </c>
      <c r="O78" s="2">
        <f t="shared" si="26"/>
        <v>5.3142857142857144E-2</v>
      </c>
      <c r="P78" s="2">
        <f t="shared" si="27"/>
        <v>6.6428571428571434E-2</v>
      </c>
      <c r="Q78" s="2">
        <f t="shared" si="28"/>
        <v>7.971428571428571E-2</v>
      </c>
      <c r="R78" s="2">
        <f t="shared" si="29"/>
        <v>5.3142857142857149</v>
      </c>
      <c r="S78" s="2">
        <f t="shared" si="16"/>
        <v>4.4285714285714288</v>
      </c>
      <c r="T78" s="2">
        <f t="shared" si="30"/>
        <v>8.8571428571428577</v>
      </c>
      <c r="U78" s="2">
        <f t="shared" si="17"/>
        <v>13.285714285714285</v>
      </c>
      <c r="V78" s="2">
        <f t="shared" si="18"/>
        <v>17.714285714285715</v>
      </c>
      <c r="W78" s="2">
        <f t="shared" si="19"/>
        <v>22.142857142857146</v>
      </c>
      <c r="X78" s="2">
        <f t="shared" si="20"/>
        <v>26.571428571428569</v>
      </c>
      <c r="Y78" s="5" t="str">
        <f t="shared" si="22"/>
        <v>1</v>
      </c>
      <c r="Z78" s="5" t="str">
        <f t="shared" si="22"/>
        <v>1</v>
      </c>
      <c r="AA78" s="5" t="str">
        <f t="shared" si="22"/>
        <v>1</v>
      </c>
      <c r="AB78" s="5" t="str">
        <f t="shared" si="22"/>
        <v>1</v>
      </c>
      <c r="AC78" s="5" t="str">
        <f t="shared" si="22"/>
        <v>1</v>
      </c>
      <c r="AD78" s="5" t="str">
        <f t="shared" si="22"/>
        <v>1</v>
      </c>
      <c r="AE78" s="5" t="str">
        <f t="shared" si="22"/>
        <v>1</v>
      </c>
    </row>
    <row r="79" spans="1:31" ht="14.4" x14ac:dyDescent="0.3">
      <c r="A79" s="14">
        <v>76</v>
      </c>
      <c r="B79" s="15" t="s">
        <v>176</v>
      </c>
      <c r="C79" s="10">
        <v>11</v>
      </c>
      <c r="D79" s="10">
        <v>31</v>
      </c>
      <c r="E79" s="17">
        <v>365</v>
      </c>
      <c r="F79" s="21">
        <v>6.3E-3</v>
      </c>
      <c r="G79" s="10">
        <v>1200</v>
      </c>
      <c r="H79" s="13">
        <v>3.0000000000000001E-3</v>
      </c>
      <c r="I79" s="18">
        <v>10950</v>
      </c>
      <c r="J79" s="20">
        <v>11</v>
      </c>
      <c r="K79" s="19">
        <f t="shared" si="23"/>
        <v>8.9419354838709678E-2</v>
      </c>
      <c r="L79" s="2">
        <f t="shared" si="21"/>
        <v>4.0645161290322578E-2</v>
      </c>
      <c r="M79" s="2">
        <f t="shared" si="24"/>
        <v>8.1290322580645155E-2</v>
      </c>
      <c r="N79" s="2">
        <f t="shared" si="25"/>
        <v>0.12193548387096774</v>
      </c>
      <c r="O79" s="2">
        <f t="shared" si="26"/>
        <v>0.16258064516129031</v>
      </c>
      <c r="P79" s="2">
        <f t="shared" si="27"/>
        <v>0.20322580645161289</v>
      </c>
      <c r="Q79" s="2">
        <f t="shared" si="28"/>
        <v>0.24387096774193548</v>
      </c>
      <c r="R79" s="2">
        <f t="shared" si="29"/>
        <v>29.806451612903224</v>
      </c>
      <c r="S79" s="2">
        <f t="shared" si="16"/>
        <v>13.548387096774192</v>
      </c>
      <c r="T79" s="2">
        <f t="shared" si="30"/>
        <v>27.096774193548384</v>
      </c>
      <c r="U79" s="2">
        <f t="shared" si="17"/>
        <v>40.645161290322577</v>
      </c>
      <c r="V79" s="2">
        <f t="shared" si="18"/>
        <v>54.193548387096769</v>
      </c>
      <c r="W79" s="2">
        <f t="shared" si="19"/>
        <v>67.741935483870961</v>
      </c>
      <c r="X79" s="2">
        <f t="shared" si="20"/>
        <v>81.290322580645153</v>
      </c>
      <c r="Y79" s="5" t="str">
        <f t="shared" si="22"/>
        <v>1</v>
      </c>
      <c r="Z79" s="5" t="str">
        <f t="shared" si="22"/>
        <v>1</v>
      </c>
      <c r="AA79" s="5" t="str">
        <f t="shared" si="22"/>
        <v>1</v>
      </c>
      <c r="AB79" s="5" t="str">
        <f t="shared" si="22"/>
        <v>1</v>
      </c>
      <c r="AC79" s="5" t="str">
        <f t="shared" si="22"/>
        <v>1</v>
      </c>
      <c r="AD79" s="5" t="str">
        <f t="shared" si="22"/>
        <v>1</v>
      </c>
      <c r="AE79" s="5" t="str">
        <f t="shared" si="22"/>
        <v>1</v>
      </c>
    </row>
    <row r="80" spans="1:31" ht="14.4" x14ac:dyDescent="0.3">
      <c r="A80" s="14">
        <v>77</v>
      </c>
      <c r="B80" s="15" t="s">
        <v>177</v>
      </c>
      <c r="C80" s="10">
        <v>11</v>
      </c>
      <c r="D80" s="10">
        <v>20</v>
      </c>
      <c r="E80" s="17">
        <v>365</v>
      </c>
      <c r="F80" s="21">
        <v>5.9999999999999995E-4</v>
      </c>
      <c r="G80" s="10">
        <v>900</v>
      </c>
      <c r="H80" s="13">
        <v>3.0000000000000001E-3</v>
      </c>
      <c r="I80" s="18">
        <v>10950</v>
      </c>
      <c r="J80" s="20">
        <v>1</v>
      </c>
      <c r="K80" s="19">
        <f t="shared" si="23"/>
        <v>8.9999999999999987E-4</v>
      </c>
      <c r="L80" s="2">
        <f t="shared" si="21"/>
        <v>4.4999999999999988E-3</v>
      </c>
      <c r="M80" s="2">
        <f t="shared" si="24"/>
        <v>8.9999999999999976E-3</v>
      </c>
      <c r="N80" s="2">
        <f t="shared" si="25"/>
        <v>1.3499999999999998E-2</v>
      </c>
      <c r="O80" s="2">
        <f t="shared" si="26"/>
        <v>1.7999999999999995E-2</v>
      </c>
      <c r="P80" s="2">
        <f t="shared" si="27"/>
        <v>2.2499999999999996E-2</v>
      </c>
      <c r="Q80" s="2">
        <f t="shared" si="28"/>
        <v>2.6999999999999996E-2</v>
      </c>
      <c r="R80" s="2">
        <f t="shared" si="29"/>
        <v>0.29999999999999993</v>
      </c>
      <c r="S80" s="2">
        <f t="shared" si="16"/>
        <v>1.4999999999999996</v>
      </c>
      <c r="T80" s="2">
        <f t="shared" si="30"/>
        <v>2.9999999999999991</v>
      </c>
      <c r="U80" s="2">
        <f t="shared" si="17"/>
        <v>4.4999999999999991</v>
      </c>
      <c r="V80" s="2">
        <f t="shared" si="18"/>
        <v>5.9999999999999982</v>
      </c>
      <c r="W80" s="2">
        <f t="shared" si="19"/>
        <v>7.4999999999999982</v>
      </c>
      <c r="X80" s="2">
        <f t="shared" si="20"/>
        <v>8.9999999999999982</v>
      </c>
      <c r="Y80" s="5" t="str">
        <f t="shared" si="22"/>
        <v>2</v>
      </c>
      <c r="Z80" s="5" t="str">
        <f t="shared" si="22"/>
        <v>1</v>
      </c>
      <c r="AA80" s="5" t="str">
        <f t="shared" si="22"/>
        <v>1</v>
      </c>
      <c r="AB80" s="5" t="str">
        <f t="shared" si="22"/>
        <v>1</v>
      </c>
      <c r="AC80" s="5" t="str">
        <f t="shared" si="22"/>
        <v>1</v>
      </c>
      <c r="AD80" s="5" t="str">
        <f t="shared" si="22"/>
        <v>1</v>
      </c>
      <c r="AE80" s="5" t="str">
        <f t="shared" si="22"/>
        <v>1</v>
      </c>
    </row>
    <row r="81" spans="1:31" ht="14.4" x14ac:dyDescent="0.3">
      <c r="A81" s="14">
        <v>78</v>
      </c>
      <c r="B81" s="15" t="s">
        <v>178</v>
      </c>
      <c r="C81" s="10">
        <v>11</v>
      </c>
      <c r="D81" s="10">
        <v>33</v>
      </c>
      <c r="E81" s="17">
        <v>365</v>
      </c>
      <c r="F81" s="21">
        <v>1.1000000000000001E-3</v>
      </c>
      <c r="G81" s="10">
        <v>900</v>
      </c>
      <c r="H81" s="13">
        <v>3.0000000000000001E-3</v>
      </c>
      <c r="I81" s="18">
        <v>10950</v>
      </c>
      <c r="J81" s="20">
        <v>11</v>
      </c>
      <c r="K81" s="19">
        <f t="shared" si="23"/>
        <v>1.1000000000000001E-2</v>
      </c>
      <c r="L81" s="2">
        <f t="shared" si="21"/>
        <v>5.0000000000000001E-3</v>
      </c>
      <c r="M81" s="2">
        <f t="shared" si="24"/>
        <v>0.01</v>
      </c>
      <c r="N81" s="2">
        <f t="shared" si="25"/>
        <v>1.4999999999999999E-2</v>
      </c>
      <c r="O81" s="2">
        <f t="shared" si="26"/>
        <v>0.02</v>
      </c>
      <c r="P81" s="2">
        <f t="shared" si="27"/>
        <v>2.5000000000000001E-2</v>
      </c>
      <c r="Q81" s="2">
        <f t="shared" si="28"/>
        <v>0.03</v>
      </c>
      <c r="R81" s="2">
        <f t="shared" si="29"/>
        <v>3.666666666666667</v>
      </c>
      <c r="S81" s="2">
        <f t="shared" si="16"/>
        <v>1.6666666666666667</v>
      </c>
      <c r="T81" s="2">
        <f t="shared" si="30"/>
        <v>3.3333333333333335</v>
      </c>
      <c r="U81" s="2">
        <f t="shared" si="17"/>
        <v>5</v>
      </c>
      <c r="V81" s="2">
        <f t="shared" si="18"/>
        <v>6.666666666666667</v>
      </c>
      <c r="W81" s="2">
        <f t="shared" si="19"/>
        <v>8.3333333333333339</v>
      </c>
      <c r="X81" s="2">
        <f t="shared" si="20"/>
        <v>10</v>
      </c>
      <c r="Y81" s="5" t="str">
        <f t="shared" si="22"/>
        <v>1</v>
      </c>
      <c r="Z81" s="5" t="str">
        <f t="shared" si="22"/>
        <v>1</v>
      </c>
      <c r="AA81" s="5" t="str">
        <f t="shared" si="22"/>
        <v>1</v>
      </c>
      <c r="AB81" s="5" t="str">
        <f t="shared" si="22"/>
        <v>1</v>
      </c>
      <c r="AC81" s="5" t="str">
        <f t="shared" si="22"/>
        <v>1</v>
      </c>
      <c r="AD81" s="5" t="str">
        <f t="shared" si="22"/>
        <v>1</v>
      </c>
      <c r="AE81" s="5" t="str">
        <f t="shared" si="22"/>
        <v>1</v>
      </c>
    </row>
    <row r="82" spans="1:31" ht="14.4" x14ac:dyDescent="0.3">
      <c r="A82" s="14">
        <v>79</v>
      </c>
      <c r="B82" s="15" t="s">
        <v>179</v>
      </c>
      <c r="C82" s="10">
        <v>11</v>
      </c>
      <c r="D82" s="10">
        <v>32</v>
      </c>
      <c r="E82" s="17">
        <v>365</v>
      </c>
      <c r="F82" s="21">
        <v>1.6000000000000001E-3</v>
      </c>
      <c r="G82" s="10">
        <v>900</v>
      </c>
      <c r="H82" s="13">
        <v>3.0000000000000001E-3</v>
      </c>
      <c r="I82" s="18">
        <v>10950</v>
      </c>
      <c r="J82" s="20">
        <v>11</v>
      </c>
      <c r="K82" s="19">
        <f t="shared" si="23"/>
        <v>1.6500000000000001E-2</v>
      </c>
      <c r="L82" s="2">
        <f t="shared" si="21"/>
        <v>7.4999999999999997E-3</v>
      </c>
      <c r="M82" s="2">
        <f t="shared" si="24"/>
        <v>1.4999999999999999E-2</v>
      </c>
      <c r="N82" s="2">
        <f t="shared" si="25"/>
        <v>2.2499999999999999E-2</v>
      </c>
      <c r="O82" s="2">
        <f t="shared" si="26"/>
        <v>0.03</v>
      </c>
      <c r="P82" s="2">
        <f t="shared" si="27"/>
        <v>3.7499999999999999E-2</v>
      </c>
      <c r="Q82" s="2">
        <f t="shared" si="28"/>
        <v>4.4999999999999998E-2</v>
      </c>
      <c r="R82" s="2">
        <f t="shared" si="29"/>
        <v>5.5</v>
      </c>
      <c r="S82" s="2">
        <f t="shared" si="16"/>
        <v>2.5</v>
      </c>
      <c r="T82" s="2">
        <f t="shared" si="30"/>
        <v>5</v>
      </c>
      <c r="U82" s="2">
        <f t="shared" si="17"/>
        <v>7.5</v>
      </c>
      <c r="V82" s="2">
        <f t="shared" si="18"/>
        <v>10</v>
      </c>
      <c r="W82" s="2">
        <f t="shared" si="19"/>
        <v>12.5</v>
      </c>
      <c r="X82" s="2">
        <f t="shared" si="20"/>
        <v>15</v>
      </c>
      <c r="Y82" s="5" t="str">
        <f t="shared" si="22"/>
        <v>1</v>
      </c>
      <c r="Z82" s="5" t="str">
        <f t="shared" si="22"/>
        <v>1</v>
      </c>
      <c r="AA82" s="5" t="str">
        <f t="shared" si="22"/>
        <v>1</v>
      </c>
      <c r="AB82" s="5" t="str">
        <f t="shared" si="22"/>
        <v>1</v>
      </c>
      <c r="AC82" s="5" t="str">
        <f t="shared" si="22"/>
        <v>1</v>
      </c>
      <c r="AD82" s="5" t="str">
        <f t="shared" si="22"/>
        <v>1</v>
      </c>
      <c r="AE82" s="5" t="str">
        <f t="shared" si="22"/>
        <v>1</v>
      </c>
    </row>
    <row r="83" spans="1:31" ht="14.4" x14ac:dyDescent="0.3">
      <c r="A83" s="14">
        <v>80</v>
      </c>
      <c r="B83" s="15" t="s">
        <v>167</v>
      </c>
      <c r="C83" s="10">
        <v>11</v>
      </c>
      <c r="D83" s="10">
        <v>23</v>
      </c>
      <c r="E83" s="17">
        <v>365</v>
      </c>
      <c r="F83" s="21">
        <v>2.9999999999999997E-4</v>
      </c>
      <c r="G83" s="10">
        <v>900</v>
      </c>
      <c r="H83" s="13">
        <v>3.0000000000000001E-3</v>
      </c>
      <c r="I83" s="18">
        <v>10950</v>
      </c>
      <c r="J83" s="20">
        <v>11</v>
      </c>
      <c r="K83" s="19">
        <f t="shared" si="23"/>
        <v>4.3043478260869558E-3</v>
      </c>
      <c r="L83" s="2">
        <f t="shared" si="21"/>
        <v>1.9565217391304345E-3</v>
      </c>
      <c r="M83" s="2">
        <f t="shared" si="24"/>
        <v>3.913043478260869E-3</v>
      </c>
      <c r="N83" s="2">
        <f t="shared" si="25"/>
        <v>5.8695652173913031E-3</v>
      </c>
      <c r="O83" s="2">
        <f t="shared" si="26"/>
        <v>7.826086956521738E-3</v>
      </c>
      <c r="P83" s="2">
        <f t="shared" si="27"/>
        <v>9.7826086956521729E-3</v>
      </c>
      <c r="Q83" s="2">
        <f t="shared" si="28"/>
        <v>1.1739130434782606E-2</v>
      </c>
      <c r="R83" s="2">
        <f t="shared" si="29"/>
        <v>1.4347826086956519</v>
      </c>
      <c r="S83" s="2">
        <f t="shared" si="16"/>
        <v>0.65217391304347816</v>
      </c>
      <c r="T83" s="2">
        <f t="shared" si="30"/>
        <v>1.3043478260869563</v>
      </c>
      <c r="U83" s="2">
        <f t="shared" si="17"/>
        <v>1.9565217391304344</v>
      </c>
      <c r="V83" s="2">
        <f t="shared" si="18"/>
        <v>2.6086956521739126</v>
      </c>
      <c r="W83" s="2">
        <f t="shared" si="19"/>
        <v>3.2608695652173911</v>
      </c>
      <c r="X83" s="2">
        <f t="shared" si="20"/>
        <v>3.9130434782608687</v>
      </c>
      <c r="Y83" s="5" t="str">
        <f t="shared" si="22"/>
        <v>1</v>
      </c>
      <c r="Z83" s="5" t="str">
        <f t="shared" si="22"/>
        <v>2</v>
      </c>
      <c r="AA83" s="5" t="str">
        <f t="shared" si="22"/>
        <v>1</v>
      </c>
      <c r="AB83" s="5" t="str">
        <f t="shared" si="22"/>
        <v>1</v>
      </c>
      <c r="AC83" s="5" t="str">
        <f t="shared" si="22"/>
        <v>1</v>
      </c>
      <c r="AD83" s="5" t="str">
        <f t="shared" si="22"/>
        <v>1</v>
      </c>
      <c r="AE83" s="5" t="str">
        <f t="shared" si="22"/>
        <v>1</v>
      </c>
    </row>
    <row r="84" spans="1:31" ht="14.4" x14ac:dyDescent="0.3">
      <c r="A84" s="14">
        <v>81</v>
      </c>
      <c r="B84" s="15" t="s">
        <v>180</v>
      </c>
      <c r="C84" s="10">
        <v>11</v>
      </c>
      <c r="D84" s="10">
        <v>34</v>
      </c>
      <c r="E84" s="17">
        <v>365</v>
      </c>
      <c r="F84" s="21">
        <v>2.9999999999999997E-4</v>
      </c>
      <c r="G84" s="10">
        <v>1200</v>
      </c>
      <c r="H84" s="13">
        <v>3.0000000000000001E-3</v>
      </c>
      <c r="I84" s="18">
        <v>10950</v>
      </c>
      <c r="J84" s="20">
        <v>11</v>
      </c>
      <c r="K84" s="19">
        <f t="shared" si="23"/>
        <v>3.8823529411764709E-3</v>
      </c>
      <c r="L84" s="2">
        <f t="shared" si="21"/>
        <v>1.7647058823529412E-3</v>
      </c>
      <c r="M84" s="2">
        <f t="shared" si="24"/>
        <v>3.5294117647058825E-3</v>
      </c>
      <c r="N84" s="2">
        <f t="shared" si="25"/>
        <v>5.2941176470588233E-3</v>
      </c>
      <c r="O84" s="2">
        <f t="shared" si="26"/>
        <v>7.058823529411765E-3</v>
      </c>
      <c r="P84" s="2">
        <f t="shared" si="27"/>
        <v>8.8235294117647058E-3</v>
      </c>
      <c r="Q84" s="2">
        <f t="shared" si="28"/>
        <v>1.0588235294117647E-2</v>
      </c>
      <c r="R84" s="2">
        <f t="shared" si="29"/>
        <v>1.2941176470588236</v>
      </c>
      <c r="S84" s="2">
        <f t="shared" si="16"/>
        <v>0.58823529411764708</v>
      </c>
      <c r="T84" s="2">
        <f t="shared" si="30"/>
        <v>1.1764705882352942</v>
      </c>
      <c r="U84" s="2">
        <f t="shared" si="17"/>
        <v>1.7647058823529411</v>
      </c>
      <c r="V84" s="2">
        <f t="shared" si="18"/>
        <v>2.3529411764705883</v>
      </c>
      <c r="W84" s="2">
        <f t="shared" si="19"/>
        <v>2.9411764705882351</v>
      </c>
      <c r="X84" s="2">
        <f t="shared" si="20"/>
        <v>3.5294117647058822</v>
      </c>
      <c r="Y84" s="5" t="str">
        <f t="shared" si="22"/>
        <v>1</v>
      </c>
      <c r="Z84" s="5" t="str">
        <f t="shared" si="22"/>
        <v>2</v>
      </c>
      <c r="AA84" s="5" t="str">
        <f t="shared" si="22"/>
        <v>1</v>
      </c>
      <c r="AB84" s="5" t="str">
        <f t="shared" si="22"/>
        <v>1</v>
      </c>
      <c r="AC84" s="5" t="str">
        <f t="shared" si="22"/>
        <v>1</v>
      </c>
      <c r="AD84" s="5" t="str">
        <f t="shared" si="22"/>
        <v>1</v>
      </c>
      <c r="AE84" s="5" t="str">
        <f t="shared" si="22"/>
        <v>1</v>
      </c>
    </row>
    <row r="85" spans="1:31" ht="14.4" x14ac:dyDescent="0.3">
      <c r="A85" s="14">
        <v>82</v>
      </c>
      <c r="B85" s="15" t="s">
        <v>181</v>
      </c>
      <c r="C85" s="10">
        <v>11</v>
      </c>
      <c r="D85" s="10">
        <v>32</v>
      </c>
      <c r="E85" s="17">
        <v>365</v>
      </c>
      <c r="F85" s="21">
        <v>3.5000000000000001E-3</v>
      </c>
      <c r="G85" s="10">
        <v>900</v>
      </c>
      <c r="H85" s="13">
        <v>3.0000000000000001E-3</v>
      </c>
      <c r="I85" s="18">
        <v>10950</v>
      </c>
      <c r="J85" s="20">
        <v>11</v>
      </c>
      <c r="K85" s="19">
        <f t="shared" si="23"/>
        <v>3.6093750000000001E-2</v>
      </c>
      <c r="L85" s="2">
        <f t="shared" si="21"/>
        <v>1.6406250000000001E-2</v>
      </c>
      <c r="M85" s="2">
        <f t="shared" si="24"/>
        <v>3.2812500000000001E-2</v>
      </c>
      <c r="N85" s="2">
        <f t="shared" si="25"/>
        <v>4.9218749999999999E-2</v>
      </c>
      <c r="O85" s="2">
        <f t="shared" si="26"/>
        <v>6.5625000000000003E-2</v>
      </c>
      <c r="P85" s="2">
        <f t="shared" si="27"/>
        <v>8.203125E-2</v>
      </c>
      <c r="Q85" s="2">
        <f t="shared" si="28"/>
        <v>9.8437499999999997E-2</v>
      </c>
      <c r="R85" s="2">
        <f t="shared" si="29"/>
        <v>12.03125</v>
      </c>
      <c r="S85" s="2">
        <f t="shared" si="16"/>
        <v>5.46875</v>
      </c>
      <c r="T85" s="2">
        <f t="shared" si="30"/>
        <v>10.9375</v>
      </c>
      <c r="U85" s="2">
        <f t="shared" si="17"/>
        <v>16.40625</v>
      </c>
      <c r="V85" s="2">
        <f t="shared" si="18"/>
        <v>21.875</v>
      </c>
      <c r="W85" s="2">
        <f t="shared" si="19"/>
        <v>27.34375</v>
      </c>
      <c r="X85" s="2">
        <f t="shared" si="20"/>
        <v>32.8125</v>
      </c>
      <c r="Y85" s="5" t="str">
        <f t="shared" si="22"/>
        <v>1</v>
      </c>
      <c r="Z85" s="5" t="str">
        <f t="shared" si="22"/>
        <v>1</v>
      </c>
      <c r="AA85" s="5" t="str">
        <f t="shared" si="22"/>
        <v>1</v>
      </c>
      <c r="AB85" s="5" t="str">
        <f t="shared" si="22"/>
        <v>1</v>
      </c>
      <c r="AC85" s="5" t="str">
        <f t="shared" si="22"/>
        <v>1</v>
      </c>
      <c r="AD85" s="5" t="str">
        <f t="shared" si="22"/>
        <v>1</v>
      </c>
      <c r="AE85" s="5" t="str">
        <f t="shared" si="22"/>
        <v>1</v>
      </c>
    </row>
    <row r="86" spans="1:31" ht="14.4" x14ac:dyDescent="0.3">
      <c r="A86" s="14">
        <v>83</v>
      </c>
      <c r="B86" s="15" t="s">
        <v>182</v>
      </c>
      <c r="C86" s="10">
        <v>11</v>
      </c>
      <c r="D86" s="10">
        <v>35</v>
      </c>
      <c r="E86" s="17">
        <v>365</v>
      </c>
      <c r="F86" s="21">
        <v>1.2999999999999999E-3</v>
      </c>
      <c r="G86" s="10">
        <v>900</v>
      </c>
      <c r="H86" s="13">
        <v>3.0000000000000001E-3</v>
      </c>
      <c r="I86" s="18">
        <v>10950</v>
      </c>
      <c r="J86" s="20">
        <v>6</v>
      </c>
      <c r="K86" s="19">
        <f t="shared" si="23"/>
        <v>6.6857142857142853E-3</v>
      </c>
      <c r="L86" s="2">
        <f t="shared" si="21"/>
        <v>5.5714285714285718E-3</v>
      </c>
      <c r="M86" s="2">
        <f t="shared" si="24"/>
        <v>1.1142857142857144E-2</v>
      </c>
      <c r="N86" s="2">
        <f t="shared" si="25"/>
        <v>1.6714285714285713E-2</v>
      </c>
      <c r="O86" s="2">
        <f t="shared" si="26"/>
        <v>2.2285714285714287E-2</v>
      </c>
      <c r="P86" s="2">
        <f t="shared" si="27"/>
        <v>2.7857142857142851E-2</v>
      </c>
      <c r="Q86" s="2">
        <f t="shared" si="28"/>
        <v>3.3428571428571426E-2</v>
      </c>
      <c r="R86" s="2">
        <f t="shared" si="29"/>
        <v>2.2285714285714282</v>
      </c>
      <c r="S86" s="2">
        <f t="shared" si="16"/>
        <v>1.8571428571428572</v>
      </c>
      <c r="T86" s="2">
        <f t="shared" si="30"/>
        <v>3.7142857142857144</v>
      </c>
      <c r="U86" s="2">
        <f t="shared" si="17"/>
        <v>5.5714285714285712</v>
      </c>
      <c r="V86" s="2">
        <f t="shared" si="18"/>
        <v>7.4285714285714288</v>
      </c>
      <c r="W86" s="2">
        <f t="shared" si="19"/>
        <v>9.2857142857142829</v>
      </c>
      <c r="X86" s="2">
        <f t="shared" si="20"/>
        <v>11.142857142857142</v>
      </c>
      <c r="Y86" s="5" t="str">
        <f t="shared" si="22"/>
        <v>1</v>
      </c>
      <c r="Z86" s="5" t="str">
        <f t="shared" si="22"/>
        <v>1</v>
      </c>
      <c r="AA86" s="5" t="str">
        <f t="shared" si="22"/>
        <v>1</v>
      </c>
      <c r="AB86" s="5" t="str">
        <f t="shared" si="22"/>
        <v>1</v>
      </c>
      <c r="AC86" s="5" t="str">
        <f t="shared" si="22"/>
        <v>1</v>
      </c>
      <c r="AD86" s="5" t="str">
        <f t="shared" si="22"/>
        <v>1</v>
      </c>
      <c r="AE86" s="5" t="str">
        <f t="shared" si="22"/>
        <v>1</v>
      </c>
    </row>
    <row r="87" spans="1:31" ht="14.4" x14ac:dyDescent="0.3">
      <c r="A87" s="14">
        <v>84</v>
      </c>
      <c r="B87" s="15" t="s">
        <v>183</v>
      </c>
      <c r="C87" s="10">
        <v>12</v>
      </c>
      <c r="D87" s="10">
        <v>28</v>
      </c>
      <c r="E87" s="17">
        <v>365</v>
      </c>
      <c r="F87" s="21">
        <v>4.4000000000000003E-3</v>
      </c>
      <c r="G87" s="10">
        <v>900</v>
      </c>
      <c r="H87" s="13">
        <v>3.0000000000000001E-3</v>
      </c>
      <c r="I87" s="18">
        <v>10950</v>
      </c>
      <c r="J87" s="20">
        <v>12</v>
      </c>
      <c r="K87" s="19">
        <f t="shared" si="23"/>
        <v>5.6571428571428578E-2</v>
      </c>
      <c r="L87" s="2">
        <f t="shared" si="21"/>
        <v>2.3571428571428573E-2</v>
      </c>
      <c r="M87" s="2">
        <f t="shared" si="24"/>
        <v>4.7142857142857146E-2</v>
      </c>
      <c r="N87" s="2">
        <f t="shared" si="25"/>
        <v>7.0714285714285716E-2</v>
      </c>
      <c r="O87" s="2">
        <f t="shared" si="26"/>
        <v>9.4285714285714292E-2</v>
      </c>
      <c r="P87" s="2">
        <f t="shared" si="27"/>
        <v>0.11785714285714285</v>
      </c>
      <c r="Q87" s="2">
        <f t="shared" si="28"/>
        <v>0.14142857142857143</v>
      </c>
      <c r="R87" s="2">
        <f t="shared" si="29"/>
        <v>18.857142857142858</v>
      </c>
      <c r="S87" s="2">
        <f t="shared" si="16"/>
        <v>7.8571428571428577</v>
      </c>
      <c r="T87" s="2">
        <f t="shared" si="30"/>
        <v>15.714285714285715</v>
      </c>
      <c r="U87" s="2">
        <f t="shared" si="17"/>
        <v>23.571428571428573</v>
      </c>
      <c r="V87" s="2">
        <f t="shared" si="18"/>
        <v>31.428571428571431</v>
      </c>
      <c r="W87" s="2">
        <f t="shared" si="19"/>
        <v>39.285714285714285</v>
      </c>
      <c r="X87" s="2">
        <f t="shared" si="20"/>
        <v>47.142857142857146</v>
      </c>
      <c r="Y87" s="5" t="str">
        <f t="shared" si="22"/>
        <v>1</v>
      </c>
      <c r="Z87" s="5" t="str">
        <f t="shared" si="22"/>
        <v>1</v>
      </c>
      <c r="AA87" s="5" t="str">
        <f t="shared" si="22"/>
        <v>1</v>
      </c>
      <c r="AB87" s="5" t="str">
        <f t="shared" si="22"/>
        <v>1</v>
      </c>
      <c r="AC87" s="5" t="str">
        <f t="shared" si="22"/>
        <v>1</v>
      </c>
      <c r="AD87" s="5" t="str">
        <f t="shared" si="22"/>
        <v>1</v>
      </c>
      <c r="AE87" s="5" t="str">
        <f t="shared" si="22"/>
        <v>1</v>
      </c>
    </row>
    <row r="88" spans="1:31" ht="14.4" x14ac:dyDescent="0.3">
      <c r="A88" s="14">
        <v>85</v>
      </c>
      <c r="B88" s="15" t="s">
        <v>184</v>
      </c>
      <c r="C88" s="10">
        <v>12</v>
      </c>
      <c r="D88" s="10">
        <v>28</v>
      </c>
      <c r="E88" s="17">
        <v>365</v>
      </c>
      <c r="F88" s="21">
        <v>4.4000000000000003E-3</v>
      </c>
      <c r="G88" s="10">
        <v>900</v>
      </c>
      <c r="H88" s="13">
        <v>3.0000000000000001E-3</v>
      </c>
      <c r="I88" s="18">
        <v>10950</v>
      </c>
      <c r="J88" s="20">
        <v>12</v>
      </c>
      <c r="K88" s="19">
        <f t="shared" si="23"/>
        <v>5.6571428571428578E-2</v>
      </c>
      <c r="L88" s="2">
        <f t="shared" si="21"/>
        <v>2.3571428571428573E-2</v>
      </c>
      <c r="M88" s="2">
        <f t="shared" si="24"/>
        <v>4.7142857142857146E-2</v>
      </c>
      <c r="N88" s="2">
        <f t="shared" si="25"/>
        <v>7.0714285714285716E-2</v>
      </c>
      <c r="O88" s="2">
        <f t="shared" si="26"/>
        <v>9.4285714285714292E-2</v>
      </c>
      <c r="P88" s="2">
        <f t="shared" si="27"/>
        <v>0.11785714285714285</v>
      </c>
      <c r="Q88" s="2">
        <f t="shared" si="28"/>
        <v>0.14142857142857143</v>
      </c>
      <c r="R88" s="2">
        <f t="shared" si="29"/>
        <v>18.857142857142858</v>
      </c>
      <c r="S88" s="2">
        <f t="shared" si="16"/>
        <v>7.8571428571428577</v>
      </c>
      <c r="T88" s="2">
        <f t="shared" si="30"/>
        <v>15.714285714285715</v>
      </c>
      <c r="U88" s="2">
        <f t="shared" si="17"/>
        <v>23.571428571428573</v>
      </c>
      <c r="V88" s="2">
        <f t="shared" si="18"/>
        <v>31.428571428571431</v>
      </c>
      <c r="W88" s="2">
        <f t="shared" si="19"/>
        <v>39.285714285714285</v>
      </c>
      <c r="X88" s="2">
        <f t="shared" si="20"/>
        <v>47.142857142857146</v>
      </c>
      <c r="Y88" s="5" t="str">
        <f t="shared" si="22"/>
        <v>1</v>
      </c>
      <c r="Z88" s="5" t="str">
        <f t="shared" si="22"/>
        <v>1</v>
      </c>
      <c r="AA88" s="5" t="str">
        <f t="shared" si="22"/>
        <v>1</v>
      </c>
      <c r="AB88" s="5" t="str">
        <f t="shared" si="22"/>
        <v>1</v>
      </c>
      <c r="AC88" s="5" t="str">
        <f t="shared" si="22"/>
        <v>1</v>
      </c>
      <c r="AD88" s="5" t="str">
        <f t="shared" si="22"/>
        <v>1</v>
      </c>
      <c r="AE88" s="5" t="str">
        <f t="shared" si="22"/>
        <v>1</v>
      </c>
    </row>
    <row r="89" spans="1:31" ht="14.4" x14ac:dyDescent="0.3">
      <c r="A89" s="14">
        <v>86</v>
      </c>
      <c r="B89" s="15" t="s">
        <v>185</v>
      </c>
      <c r="C89" s="10">
        <v>12</v>
      </c>
      <c r="D89" s="10">
        <v>40</v>
      </c>
      <c r="E89" s="17">
        <v>365</v>
      </c>
      <c r="F89" s="21">
        <v>4.4000000000000003E-3</v>
      </c>
      <c r="G89" s="10">
        <v>1800</v>
      </c>
      <c r="H89" s="13">
        <v>3.0000000000000001E-3</v>
      </c>
      <c r="I89" s="18">
        <v>10950</v>
      </c>
      <c r="J89" s="20">
        <v>5</v>
      </c>
      <c r="K89" s="19">
        <f t="shared" si="23"/>
        <v>3.3000000000000002E-2</v>
      </c>
      <c r="L89" s="2">
        <f t="shared" si="21"/>
        <v>3.3000000000000002E-2</v>
      </c>
      <c r="M89" s="2">
        <f t="shared" si="24"/>
        <v>6.6000000000000003E-2</v>
      </c>
      <c r="N89" s="2">
        <f t="shared" si="25"/>
        <v>9.9000000000000005E-2</v>
      </c>
      <c r="O89" s="2">
        <f t="shared" si="26"/>
        <v>0.13200000000000001</v>
      </c>
      <c r="P89" s="2">
        <f t="shared" si="27"/>
        <v>0.16500000000000001</v>
      </c>
      <c r="Q89" s="2">
        <f t="shared" si="28"/>
        <v>0.19800000000000001</v>
      </c>
      <c r="R89" s="2">
        <f t="shared" si="29"/>
        <v>11</v>
      </c>
      <c r="S89" s="2">
        <f t="shared" si="16"/>
        <v>11</v>
      </c>
      <c r="T89" s="2">
        <f t="shared" si="30"/>
        <v>22</v>
      </c>
      <c r="U89" s="2">
        <f t="shared" si="17"/>
        <v>33</v>
      </c>
      <c r="V89" s="2">
        <f t="shared" si="18"/>
        <v>44</v>
      </c>
      <c r="W89" s="2">
        <f t="shared" si="19"/>
        <v>55</v>
      </c>
      <c r="X89" s="2">
        <f t="shared" si="20"/>
        <v>66</v>
      </c>
      <c r="Y89" s="5" t="str">
        <f t="shared" si="22"/>
        <v>1</v>
      </c>
      <c r="Z89" s="5" t="str">
        <f t="shared" si="22"/>
        <v>1</v>
      </c>
      <c r="AA89" s="5" t="str">
        <f t="shared" si="22"/>
        <v>1</v>
      </c>
      <c r="AB89" s="5" t="str">
        <f t="shared" si="22"/>
        <v>1</v>
      </c>
      <c r="AC89" s="5" t="str">
        <f t="shared" si="22"/>
        <v>1</v>
      </c>
      <c r="AD89" s="5" t="str">
        <f t="shared" si="22"/>
        <v>1</v>
      </c>
      <c r="AE89" s="5" t="str">
        <f t="shared" si="22"/>
        <v>1</v>
      </c>
    </row>
    <row r="90" spans="1:31" ht="14.4" x14ac:dyDescent="0.3">
      <c r="A90" s="14">
        <v>87</v>
      </c>
      <c r="B90" s="15" t="s">
        <v>186</v>
      </c>
      <c r="C90" s="10">
        <v>12</v>
      </c>
      <c r="D90" s="10">
        <v>23</v>
      </c>
      <c r="E90" s="17">
        <v>365</v>
      </c>
      <c r="F90" s="21">
        <v>2.0000000000000001E-4</v>
      </c>
      <c r="G90" s="10">
        <v>900</v>
      </c>
      <c r="H90" s="13">
        <v>3.0000000000000001E-3</v>
      </c>
      <c r="I90" s="18">
        <v>10950</v>
      </c>
      <c r="J90" s="20">
        <v>12</v>
      </c>
      <c r="K90" s="19">
        <f t="shared" si="23"/>
        <v>3.1304347826086958E-3</v>
      </c>
      <c r="L90" s="2">
        <f t="shared" si="21"/>
        <v>1.3043478260869566E-3</v>
      </c>
      <c r="M90" s="2">
        <f t="shared" si="24"/>
        <v>2.6086956521739132E-3</v>
      </c>
      <c r="N90" s="2">
        <f t="shared" si="25"/>
        <v>3.9130434782608699E-3</v>
      </c>
      <c r="O90" s="2">
        <f t="shared" si="26"/>
        <v>5.2173913043478265E-3</v>
      </c>
      <c r="P90" s="2">
        <f t="shared" si="27"/>
        <v>6.5217391304347823E-3</v>
      </c>
      <c r="Q90" s="2">
        <f t="shared" si="28"/>
        <v>7.8260869565217397E-3</v>
      </c>
      <c r="R90" s="2">
        <f t="shared" si="29"/>
        <v>1.0434782608695652</v>
      </c>
      <c r="S90" s="2">
        <f t="shared" si="16"/>
        <v>0.43478260869565222</v>
      </c>
      <c r="T90" s="2">
        <f t="shared" si="30"/>
        <v>0.86956521739130443</v>
      </c>
      <c r="U90" s="2">
        <f t="shared" si="17"/>
        <v>1.3043478260869565</v>
      </c>
      <c r="V90" s="2">
        <f t="shared" si="18"/>
        <v>1.7391304347826089</v>
      </c>
      <c r="W90" s="2">
        <f t="shared" si="19"/>
        <v>2.1739130434782608</v>
      </c>
      <c r="X90" s="2">
        <f t="shared" si="20"/>
        <v>2.6086956521739131</v>
      </c>
      <c r="Y90" s="5" t="str">
        <f t="shared" si="22"/>
        <v>1</v>
      </c>
      <c r="Z90" s="5" t="str">
        <f t="shared" si="22"/>
        <v>2</v>
      </c>
      <c r="AA90" s="5" t="str">
        <f t="shared" si="22"/>
        <v>2</v>
      </c>
      <c r="AB90" s="5" t="str">
        <f t="shared" ref="AB90:AE103" si="31">IF(U90&gt;1,"1","2")</f>
        <v>1</v>
      </c>
      <c r="AC90" s="5" t="str">
        <f t="shared" si="31"/>
        <v>1</v>
      </c>
      <c r="AD90" s="5" t="str">
        <f t="shared" si="31"/>
        <v>1</v>
      </c>
      <c r="AE90" s="5" t="str">
        <f t="shared" si="31"/>
        <v>1</v>
      </c>
    </row>
    <row r="91" spans="1:31" ht="14.4" x14ac:dyDescent="0.3">
      <c r="A91" s="14">
        <v>88</v>
      </c>
      <c r="B91" s="15" t="s">
        <v>186</v>
      </c>
      <c r="C91" s="10">
        <v>12</v>
      </c>
      <c r="D91" s="10">
        <v>23</v>
      </c>
      <c r="E91" s="17">
        <v>365</v>
      </c>
      <c r="F91" s="21">
        <v>2.9999999999999997E-4</v>
      </c>
      <c r="G91" s="10">
        <v>900</v>
      </c>
      <c r="H91" s="13">
        <v>3.0000000000000001E-3</v>
      </c>
      <c r="I91" s="18">
        <v>10950</v>
      </c>
      <c r="J91" s="20">
        <v>12</v>
      </c>
      <c r="K91" s="19">
        <f t="shared" si="23"/>
        <v>4.6956521739130435E-3</v>
      </c>
      <c r="L91" s="2">
        <f t="shared" si="21"/>
        <v>1.9565217391304345E-3</v>
      </c>
      <c r="M91" s="2">
        <f t="shared" si="24"/>
        <v>3.913043478260869E-3</v>
      </c>
      <c r="N91" s="2">
        <f t="shared" si="25"/>
        <v>5.8695652173913031E-3</v>
      </c>
      <c r="O91" s="2">
        <f t="shared" si="26"/>
        <v>7.826086956521738E-3</v>
      </c>
      <c r="P91" s="2">
        <f t="shared" si="27"/>
        <v>9.7826086956521729E-3</v>
      </c>
      <c r="Q91" s="2">
        <f t="shared" si="28"/>
        <v>1.1739130434782606E-2</v>
      </c>
      <c r="R91" s="2">
        <f t="shared" si="29"/>
        <v>1.5652173913043479</v>
      </c>
      <c r="S91" s="2">
        <f t="shared" si="16"/>
        <v>0.65217391304347816</v>
      </c>
      <c r="T91" s="2">
        <f t="shared" si="30"/>
        <v>1.3043478260869563</v>
      </c>
      <c r="U91" s="2">
        <f t="shared" si="17"/>
        <v>1.9565217391304344</v>
      </c>
      <c r="V91" s="2">
        <f t="shared" si="18"/>
        <v>2.6086956521739126</v>
      </c>
      <c r="W91" s="2">
        <f t="shared" si="19"/>
        <v>3.2608695652173911</v>
      </c>
      <c r="X91" s="2">
        <f t="shared" si="20"/>
        <v>3.9130434782608687</v>
      </c>
      <c r="Y91" s="5" t="str">
        <f t="shared" ref="Y91:AA103" si="32">IF(R91&gt;1,"1","2")</f>
        <v>1</v>
      </c>
      <c r="Z91" s="5" t="str">
        <f t="shared" si="32"/>
        <v>2</v>
      </c>
      <c r="AA91" s="5" t="str">
        <f t="shared" si="32"/>
        <v>1</v>
      </c>
      <c r="AB91" s="5" t="str">
        <f t="shared" si="31"/>
        <v>1</v>
      </c>
      <c r="AC91" s="5" t="str">
        <f t="shared" si="31"/>
        <v>1</v>
      </c>
      <c r="AD91" s="5" t="str">
        <f t="shared" si="31"/>
        <v>1</v>
      </c>
      <c r="AE91" s="5" t="str">
        <f t="shared" si="31"/>
        <v>1</v>
      </c>
    </row>
    <row r="92" spans="1:31" ht="14.4" x14ac:dyDescent="0.3">
      <c r="A92" s="14">
        <v>89</v>
      </c>
      <c r="B92" s="15" t="s">
        <v>187</v>
      </c>
      <c r="C92" s="10">
        <v>12</v>
      </c>
      <c r="D92" s="10">
        <v>25</v>
      </c>
      <c r="E92" s="17">
        <v>365</v>
      </c>
      <c r="F92" s="21">
        <v>2.9999999999999997E-4</v>
      </c>
      <c r="G92" s="10">
        <v>1200</v>
      </c>
      <c r="H92" s="13">
        <v>3.0000000000000001E-3</v>
      </c>
      <c r="I92" s="18">
        <v>10950</v>
      </c>
      <c r="J92" s="20">
        <v>12</v>
      </c>
      <c r="K92" s="19">
        <f t="shared" si="23"/>
        <v>5.7600000000000004E-3</v>
      </c>
      <c r="L92" s="2">
        <f t="shared" si="21"/>
        <v>2.3999999999999998E-3</v>
      </c>
      <c r="M92" s="2">
        <f t="shared" si="24"/>
        <v>4.7999999999999996E-3</v>
      </c>
      <c r="N92" s="2">
        <f t="shared" si="25"/>
        <v>7.1999999999999998E-3</v>
      </c>
      <c r="O92" s="2">
        <f t="shared" si="26"/>
        <v>9.5999999999999992E-3</v>
      </c>
      <c r="P92" s="2">
        <f t="shared" si="27"/>
        <v>1.2E-2</v>
      </c>
      <c r="Q92" s="2">
        <f t="shared" si="28"/>
        <v>1.44E-2</v>
      </c>
      <c r="R92" s="2">
        <f t="shared" si="29"/>
        <v>1.9200000000000002</v>
      </c>
      <c r="S92" s="2">
        <f t="shared" si="16"/>
        <v>0.79999999999999993</v>
      </c>
      <c r="T92" s="2">
        <f t="shared" si="30"/>
        <v>1.5999999999999999</v>
      </c>
      <c r="U92" s="2">
        <f t="shared" si="17"/>
        <v>2.4</v>
      </c>
      <c r="V92" s="2">
        <f t="shared" si="18"/>
        <v>3.1999999999999997</v>
      </c>
      <c r="W92" s="2">
        <f t="shared" si="19"/>
        <v>4</v>
      </c>
      <c r="X92" s="2">
        <f t="shared" si="20"/>
        <v>4.8</v>
      </c>
      <c r="Y92" s="5" t="str">
        <f t="shared" si="32"/>
        <v>1</v>
      </c>
      <c r="Z92" s="5" t="str">
        <f t="shared" si="32"/>
        <v>2</v>
      </c>
      <c r="AA92" s="5" t="str">
        <f t="shared" si="32"/>
        <v>1</v>
      </c>
      <c r="AB92" s="5" t="str">
        <f t="shared" si="31"/>
        <v>1</v>
      </c>
      <c r="AC92" s="5" t="str">
        <f t="shared" si="31"/>
        <v>1</v>
      </c>
      <c r="AD92" s="5" t="str">
        <f t="shared" si="31"/>
        <v>1</v>
      </c>
      <c r="AE92" s="5" t="str">
        <f t="shared" si="31"/>
        <v>1</v>
      </c>
    </row>
    <row r="93" spans="1:31" ht="14.4" x14ac:dyDescent="0.3">
      <c r="A93" s="14">
        <v>90</v>
      </c>
      <c r="B93" s="15" t="s">
        <v>188</v>
      </c>
      <c r="C93" s="10">
        <v>12</v>
      </c>
      <c r="D93" s="10">
        <v>28</v>
      </c>
      <c r="E93" s="17">
        <v>365</v>
      </c>
      <c r="F93" s="21">
        <v>9.7999999999999997E-3</v>
      </c>
      <c r="G93" s="10">
        <v>1800</v>
      </c>
      <c r="H93" s="13">
        <v>3.0000000000000001E-3</v>
      </c>
      <c r="I93" s="18">
        <v>10950</v>
      </c>
      <c r="J93" s="20">
        <v>12</v>
      </c>
      <c r="K93" s="19">
        <f t="shared" si="23"/>
        <v>0.25200000000000006</v>
      </c>
      <c r="L93" s="2">
        <f t="shared" si="21"/>
        <v>0.105</v>
      </c>
      <c r="M93" s="2">
        <f t="shared" si="24"/>
        <v>0.21</v>
      </c>
      <c r="N93" s="2">
        <f t="shared" si="25"/>
        <v>0.315</v>
      </c>
      <c r="O93" s="2">
        <f t="shared" si="26"/>
        <v>0.42</v>
      </c>
      <c r="P93" s="2">
        <f t="shared" si="27"/>
        <v>0.52500000000000002</v>
      </c>
      <c r="Q93" s="2">
        <f t="shared" si="28"/>
        <v>0.63</v>
      </c>
      <c r="R93" s="2">
        <f t="shared" si="29"/>
        <v>84.000000000000014</v>
      </c>
      <c r="S93" s="2">
        <f t="shared" si="16"/>
        <v>35</v>
      </c>
      <c r="T93" s="2">
        <f t="shared" si="30"/>
        <v>70</v>
      </c>
      <c r="U93" s="2">
        <f t="shared" si="17"/>
        <v>105</v>
      </c>
      <c r="V93" s="2">
        <f t="shared" si="18"/>
        <v>140</v>
      </c>
      <c r="W93" s="2">
        <f t="shared" si="19"/>
        <v>175</v>
      </c>
      <c r="X93" s="2">
        <f t="shared" si="20"/>
        <v>210</v>
      </c>
      <c r="Y93" s="5" t="str">
        <f t="shared" si="32"/>
        <v>1</v>
      </c>
      <c r="Z93" s="5" t="str">
        <f t="shared" si="32"/>
        <v>1</v>
      </c>
      <c r="AA93" s="5" t="str">
        <f t="shared" si="32"/>
        <v>1</v>
      </c>
      <c r="AB93" s="5" t="str">
        <f t="shared" si="31"/>
        <v>1</v>
      </c>
      <c r="AC93" s="5" t="str">
        <f t="shared" si="31"/>
        <v>1</v>
      </c>
      <c r="AD93" s="5" t="str">
        <f t="shared" si="31"/>
        <v>1</v>
      </c>
      <c r="AE93" s="5" t="str">
        <f t="shared" si="31"/>
        <v>1</v>
      </c>
    </row>
    <row r="94" spans="1:31" ht="14.4" x14ac:dyDescent="0.3">
      <c r="A94" s="14">
        <v>91</v>
      </c>
      <c r="B94" s="15" t="s">
        <v>147</v>
      </c>
      <c r="C94" s="10">
        <v>12</v>
      </c>
      <c r="D94" s="10">
        <v>28</v>
      </c>
      <c r="E94" s="17">
        <v>365</v>
      </c>
      <c r="F94" s="21">
        <v>2.2000000000000001E-3</v>
      </c>
      <c r="G94" s="10">
        <v>900</v>
      </c>
      <c r="H94" s="13">
        <v>3.0000000000000001E-3</v>
      </c>
      <c r="I94" s="18">
        <v>10950</v>
      </c>
      <c r="J94" s="20">
        <v>12</v>
      </c>
      <c r="K94" s="19">
        <f t="shared" si="23"/>
        <v>2.8285714285714289E-2</v>
      </c>
      <c r="L94" s="2">
        <f t="shared" si="21"/>
        <v>1.1785714285714287E-2</v>
      </c>
      <c r="M94" s="2">
        <f t="shared" si="24"/>
        <v>2.3571428571428573E-2</v>
      </c>
      <c r="N94" s="2">
        <f t="shared" si="25"/>
        <v>3.5357142857142858E-2</v>
      </c>
      <c r="O94" s="2">
        <f t="shared" si="26"/>
        <v>4.7142857142857146E-2</v>
      </c>
      <c r="P94" s="2">
        <f t="shared" si="27"/>
        <v>5.8928571428571427E-2</v>
      </c>
      <c r="Q94" s="2">
        <f t="shared" si="28"/>
        <v>7.0714285714285716E-2</v>
      </c>
      <c r="R94" s="2">
        <f t="shared" si="29"/>
        <v>9.4285714285714288</v>
      </c>
      <c r="S94" s="2">
        <f t="shared" si="16"/>
        <v>3.9285714285714288</v>
      </c>
      <c r="T94" s="2">
        <f t="shared" si="30"/>
        <v>7.8571428571428577</v>
      </c>
      <c r="U94" s="2">
        <f t="shared" si="17"/>
        <v>11.785714285714286</v>
      </c>
      <c r="V94" s="2">
        <f t="shared" si="18"/>
        <v>15.714285714285715</v>
      </c>
      <c r="W94" s="2">
        <f t="shared" si="19"/>
        <v>19.642857142857142</v>
      </c>
      <c r="X94" s="2">
        <f t="shared" si="20"/>
        <v>23.571428571428573</v>
      </c>
      <c r="Y94" s="5" t="str">
        <f t="shared" si="32"/>
        <v>1</v>
      </c>
      <c r="Z94" s="5" t="str">
        <f t="shared" si="32"/>
        <v>1</v>
      </c>
      <c r="AA94" s="5" t="str">
        <f t="shared" si="32"/>
        <v>1</v>
      </c>
      <c r="AB94" s="5" t="str">
        <f t="shared" si="31"/>
        <v>1</v>
      </c>
      <c r="AC94" s="5" t="str">
        <f t="shared" si="31"/>
        <v>1</v>
      </c>
      <c r="AD94" s="5" t="str">
        <f t="shared" si="31"/>
        <v>1</v>
      </c>
      <c r="AE94" s="5" t="str">
        <f t="shared" si="31"/>
        <v>1</v>
      </c>
    </row>
    <row r="95" spans="1:31" ht="14.4" x14ac:dyDescent="0.3">
      <c r="A95" s="14">
        <v>92</v>
      </c>
      <c r="B95" s="15" t="s">
        <v>189</v>
      </c>
      <c r="C95" s="10">
        <v>12</v>
      </c>
      <c r="D95" s="10">
        <v>40</v>
      </c>
      <c r="E95" s="17">
        <v>365</v>
      </c>
      <c r="F95" s="21">
        <v>2.2000000000000001E-3</v>
      </c>
      <c r="G95" s="10">
        <v>1800</v>
      </c>
      <c r="H95" s="13">
        <v>3.0000000000000001E-3</v>
      </c>
      <c r="I95" s="18">
        <v>10950</v>
      </c>
      <c r="J95" s="20">
        <v>5</v>
      </c>
      <c r="K95" s="19">
        <f t="shared" si="23"/>
        <v>1.6500000000000001E-2</v>
      </c>
      <c r="L95" s="2">
        <f t="shared" si="21"/>
        <v>1.6500000000000001E-2</v>
      </c>
      <c r="M95" s="2">
        <f t="shared" si="24"/>
        <v>3.3000000000000002E-2</v>
      </c>
      <c r="N95" s="2">
        <f t="shared" si="25"/>
        <v>4.9500000000000002E-2</v>
      </c>
      <c r="O95" s="2">
        <f t="shared" si="26"/>
        <v>6.6000000000000003E-2</v>
      </c>
      <c r="P95" s="2">
        <f t="shared" si="27"/>
        <v>8.2500000000000004E-2</v>
      </c>
      <c r="Q95" s="2">
        <f t="shared" si="28"/>
        <v>9.9000000000000005E-2</v>
      </c>
      <c r="R95" s="2">
        <f t="shared" si="29"/>
        <v>5.5</v>
      </c>
      <c r="S95" s="2">
        <f t="shared" si="16"/>
        <v>5.5</v>
      </c>
      <c r="T95" s="2">
        <f t="shared" si="30"/>
        <v>11</v>
      </c>
      <c r="U95" s="2">
        <f t="shared" si="17"/>
        <v>16.5</v>
      </c>
      <c r="V95" s="2">
        <f t="shared" si="18"/>
        <v>22</v>
      </c>
      <c r="W95" s="2">
        <f t="shared" si="19"/>
        <v>27.5</v>
      </c>
      <c r="X95" s="2">
        <f t="shared" si="20"/>
        <v>33</v>
      </c>
      <c r="Y95" s="5" t="str">
        <f t="shared" si="32"/>
        <v>1</v>
      </c>
      <c r="Z95" s="5" t="str">
        <f t="shared" si="32"/>
        <v>1</v>
      </c>
      <c r="AA95" s="5" t="str">
        <f t="shared" si="32"/>
        <v>1</v>
      </c>
      <c r="AB95" s="5" t="str">
        <f t="shared" si="31"/>
        <v>1</v>
      </c>
      <c r="AC95" s="5" t="str">
        <f t="shared" si="31"/>
        <v>1</v>
      </c>
      <c r="AD95" s="5" t="str">
        <f t="shared" si="31"/>
        <v>1</v>
      </c>
      <c r="AE95" s="5" t="str">
        <f t="shared" si="31"/>
        <v>1</v>
      </c>
    </row>
    <row r="96" spans="1:31" ht="14.4" x14ac:dyDescent="0.3">
      <c r="A96" s="14">
        <v>93</v>
      </c>
      <c r="B96" s="15" t="s">
        <v>190</v>
      </c>
      <c r="C96" s="10">
        <v>12</v>
      </c>
      <c r="D96" s="10">
        <v>23</v>
      </c>
      <c r="E96" s="17">
        <v>365</v>
      </c>
      <c r="F96" s="21">
        <v>6.9999999999999999E-4</v>
      </c>
      <c r="G96" s="10">
        <v>900</v>
      </c>
      <c r="H96" s="13">
        <v>3.0000000000000001E-3</v>
      </c>
      <c r="I96" s="18">
        <v>10950</v>
      </c>
      <c r="J96" s="20">
        <v>12</v>
      </c>
      <c r="K96" s="19">
        <f t="shared" si="23"/>
        <v>1.0956521739130433E-2</v>
      </c>
      <c r="L96" s="2">
        <f t="shared" si="21"/>
        <v>4.5652173913043482E-3</v>
      </c>
      <c r="M96" s="2">
        <f t="shared" si="24"/>
        <v>9.1304347826086964E-3</v>
      </c>
      <c r="N96" s="2">
        <f t="shared" si="25"/>
        <v>1.3695652173913043E-2</v>
      </c>
      <c r="O96" s="2">
        <f t="shared" si="26"/>
        <v>1.8260869565217393E-2</v>
      </c>
      <c r="P96" s="2">
        <f t="shared" si="27"/>
        <v>2.2826086956521739E-2</v>
      </c>
      <c r="Q96" s="2">
        <f t="shared" si="28"/>
        <v>2.7391304347826086E-2</v>
      </c>
      <c r="R96" s="2">
        <f t="shared" si="29"/>
        <v>3.6521739130434776</v>
      </c>
      <c r="S96" s="2">
        <f t="shared" si="16"/>
        <v>1.5217391304347827</v>
      </c>
      <c r="T96" s="2">
        <f t="shared" si="30"/>
        <v>3.0434782608695654</v>
      </c>
      <c r="U96" s="2">
        <f t="shared" si="17"/>
        <v>4.5652173913043477</v>
      </c>
      <c r="V96" s="2">
        <f t="shared" si="18"/>
        <v>6.0869565217391308</v>
      </c>
      <c r="W96" s="2">
        <f t="shared" si="19"/>
        <v>7.6086956521739131</v>
      </c>
      <c r="X96" s="2">
        <f t="shared" si="20"/>
        <v>9.1304347826086953</v>
      </c>
      <c r="Y96" s="5" t="str">
        <f t="shared" si="32"/>
        <v>1</v>
      </c>
      <c r="Z96" s="5" t="str">
        <f t="shared" si="32"/>
        <v>1</v>
      </c>
      <c r="AA96" s="5" t="str">
        <f t="shared" si="32"/>
        <v>1</v>
      </c>
      <c r="AB96" s="5" t="str">
        <f t="shared" si="31"/>
        <v>1</v>
      </c>
      <c r="AC96" s="5" t="str">
        <f t="shared" si="31"/>
        <v>1</v>
      </c>
      <c r="AD96" s="5" t="str">
        <f t="shared" si="31"/>
        <v>1</v>
      </c>
      <c r="AE96" s="5" t="str">
        <f t="shared" si="31"/>
        <v>1</v>
      </c>
    </row>
    <row r="97" spans="1:31" ht="14.4" x14ac:dyDescent="0.3">
      <c r="A97" s="14">
        <v>94</v>
      </c>
      <c r="B97" s="15" t="s">
        <v>191</v>
      </c>
      <c r="C97" s="10">
        <v>12</v>
      </c>
      <c r="D97" s="10">
        <v>25</v>
      </c>
      <c r="E97" s="17">
        <v>365</v>
      </c>
      <c r="F97" s="21">
        <v>5.9999999999999995E-4</v>
      </c>
      <c r="G97" s="10">
        <v>900</v>
      </c>
      <c r="H97" s="13">
        <v>3.0000000000000001E-3</v>
      </c>
      <c r="I97" s="18">
        <v>10950</v>
      </c>
      <c r="J97" s="20">
        <v>12</v>
      </c>
      <c r="K97" s="19">
        <f t="shared" si="23"/>
        <v>8.6400000000000001E-3</v>
      </c>
      <c r="L97" s="2">
        <f t="shared" si="21"/>
        <v>3.599999999999999E-3</v>
      </c>
      <c r="M97" s="2">
        <f t="shared" si="24"/>
        <v>7.1999999999999981E-3</v>
      </c>
      <c r="N97" s="2">
        <f t="shared" si="25"/>
        <v>1.0799999999999999E-2</v>
      </c>
      <c r="O97" s="2">
        <f t="shared" si="26"/>
        <v>1.4399999999999996E-2</v>
      </c>
      <c r="P97" s="2">
        <f t="shared" si="27"/>
        <v>1.7999999999999995E-2</v>
      </c>
      <c r="Q97" s="2">
        <f t="shared" si="28"/>
        <v>2.1599999999999998E-2</v>
      </c>
      <c r="R97" s="2">
        <f t="shared" si="29"/>
        <v>2.88</v>
      </c>
      <c r="S97" s="2">
        <f t="shared" si="16"/>
        <v>1.1999999999999997</v>
      </c>
      <c r="T97" s="2">
        <f t="shared" si="30"/>
        <v>2.3999999999999995</v>
      </c>
      <c r="U97" s="2">
        <f t="shared" si="17"/>
        <v>3.5999999999999996</v>
      </c>
      <c r="V97" s="2">
        <f t="shared" si="18"/>
        <v>4.7999999999999989</v>
      </c>
      <c r="W97" s="2">
        <f t="shared" si="19"/>
        <v>5.9999999999999982</v>
      </c>
      <c r="X97" s="2">
        <f t="shared" si="20"/>
        <v>7.1999999999999993</v>
      </c>
      <c r="Y97" s="5" t="str">
        <f t="shared" si="32"/>
        <v>1</v>
      </c>
      <c r="Z97" s="5" t="str">
        <f t="shared" si="32"/>
        <v>1</v>
      </c>
      <c r="AA97" s="5" t="str">
        <f t="shared" si="32"/>
        <v>1</v>
      </c>
      <c r="AB97" s="5" t="str">
        <f t="shared" si="31"/>
        <v>1</v>
      </c>
      <c r="AC97" s="5" t="str">
        <f t="shared" si="31"/>
        <v>1</v>
      </c>
      <c r="AD97" s="5" t="str">
        <f t="shared" si="31"/>
        <v>1</v>
      </c>
      <c r="AE97" s="5" t="str">
        <f t="shared" si="31"/>
        <v>1</v>
      </c>
    </row>
    <row r="98" spans="1:31" ht="14.4" x14ac:dyDescent="0.3">
      <c r="A98" s="14">
        <v>95</v>
      </c>
      <c r="B98" s="15" t="s">
        <v>192</v>
      </c>
      <c r="C98" s="10">
        <v>12</v>
      </c>
      <c r="D98" s="10">
        <v>28</v>
      </c>
      <c r="E98" s="17">
        <v>365</v>
      </c>
      <c r="F98" s="21">
        <v>1.1000000000000001E-3</v>
      </c>
      <c r="G98" s="10">
        <v>900</v>
      </c>
      <c r="H98" s="13">
        <v>3.0000000000000001E-3</v>
      </c>
      <c r="I98" s="18">
        <v>10950</v>
      </c>
      <c r="J98" s="20">
        <v>12</v>
      </c>
      <c r="K98" s="19">
        <f t="shared" si="23"/>
        <v>1.4142857142857145E-2</v>
      </c>
      <c r="L98" s="2">
        <f t="shared" si="21"/>
        <v>5.8928571428571433E-3</v>
      </c>
      <c r="M98" s="2">
        <f t="shared" si="24"/>
        <v>1.1785714285714287E-2</v>
      </c>
      <c r="N98" s="2">
        <f t="shared" si="25"/>
        <v>1.7678571428571429E-2</v>
      </c>
      <c r="O98" s="2">
        <f t="shared" si="26"/>
        <v>2.3571428571428573E-2</v>
      </c>
      <c r="P98" s="2">
        <f t="shared" si="27"/>
        <v>2.9464285714285714E-2</v>
      </c>
      <c r="Q98" s="2">
        <f t="shared" si="28"/>
        <v>3.5357142857142858E-2</v>
      </c>
      <c r="R98" s="2">
        <f t="shared" si="29"/>
        <v>4.7142857142857144</v>
      </c>
      <c r="S98" s="2">
        <f t="shared" si="16"/>
        <v>1.9642857142857144</v>
      </c>
      <c r="T98" s="2">
        <f t="shared" si="30"/>
        <v>3.9285714285714288</v>
      </c>
      <c r="U98" s="2">
        <f t="shared" si="17"/>
        <v>5.8928571428571432</v>
      </c>
      <c r="V98" s="2">
        <f t="shared" si="18"/>
        <v>7.8571428571428577</v>
      </c>
      <c r="W98" s="2">
        <f t="shared" si="19"/>
        <v>9.8214285714285712</v>
      </c>
      <c r="X98" s="2">
        <f t="shared" si="20"/>
        <v>11.785714285714286</v>
      </c>
      <c r="Y98" s="5" t="str">
        <f t="shared" si="32"/>
        <v>1</v>
      </c>
      <c r="Z98" s="5" t="str">
        <f t="shared" si="32"/>
        <v>1</v>
      </c>
      <c r="AA98" s="5" t="str">
        <f t="shared" si="32"/>
        <v>1</v>
      </c>
      <c r="AB98" s="5" t="str">
        <f t="shared" si="31"/>
        <v>1</v>
      </c>
      <c r="AC98" s="5" t="str">
        <f t="shared" si="31"/>
        <v>1</v>
      </c>
      <c r="AD98" s="5" t="str">
        <f t="shared" si="31"/>
        <v>1</v>
      </c>
      <c r="AE98" s="5" t="str">
        <f t="shared" si="31"/>
        <v>1</v>
      </c>
    </row>
    <row r="99" spans="1:31" ht="14.4" x14ac:dyDescent="0.3">
      <c r="A99" s="14">
        <v>96</v>
      </c>
      <c r="B99" s="15" t="s">
        <v>193</v>
      </c>
      <c r="C99" s="10">
        <v>12</v>
      </c>
      <c r="D99" s="10">
        <v>40</v>
      </c>
      <c r="E99" s="17">
        <v>365</v>
      </c>
      <c r="F99" s="21">
        <v>1.1000000000000001E-3</v>
      </c>
      <c r="G99" s="10">
        <v>1800</v>
      </c>
      <c r="H99" s="13">
        <v>3.0000000000000001E-3</v>
      </c>
      <c r="I99" s="18">
        <v>10950</v>
      </c>
      <c r="J99" s="20">
        <v>5</v>
      </c>
      <c r="K99" s="19">
        <f t="shared" si="23"/>
        <v>8.2500000000000004E-3</v>
      </c>
      <c r="L99" s="2">
        <f t="shared" si="21"/>
        <v>8.2500000000000004E-3</v>
      </c>
      <c r="M99" s="2">
        <f t="shared" si="24"/>
        <v>1.6500000000000001E-2</v>
      </c>
      <c r="N99" s="2">
        <f t="shared" si="25"/>
        <v>2.4750000000000001E-2</v>
      </c>
      <c r="O99" s="2">
        <f t="shared" si="26"/>
        <v>3.3000000000000002E-2</v>
      </c>
      <c r="P99" s="2">
        <f t="shared" si="27"/>
        <v>4.1250000000000002E-2</v>
      </c>
      <c r="Q99" s="2">
        <f t="shared" si="28"/>
        <v>4.9500000000000002E-2</v>
      </c>
      <c r="R99" s="2">
        <f t="shared" si="29"/>
        <v>2.75</v>
      </c>
      <c r="S99" s="2">
        <f t="shared" si="16"/>
        <v>2.75</v>
      </c>
      <c r="T99" s="2">
        <f t="shared" si="30"/>
        <v>5.5</v>
      </c>
      <c r="U99" s="2">
        <f t="shared" si="17"/>
        <v>8.25</v>
      </c>
      <c r="V99" s="2">
        <f t="shared" si="18"/>
        <v>11</v>
      </c>
      <c r="W99" s="2">
        <f t="shared" si="19"/>
        <v>13.75</v>
      </c>
      <c r="X99" s="2">
        <f t="shared" si="20"/>
        <v>16.5</v>
      </c>
      <c r="Y99" s="5" t="str">
        <f t="shared" si="32"/>
        <v>1</v>
      </c>
      <c r="Z99" s="5" t="str">
        <f t="shared" si="32"/>
        <v>1</v>
      </c>
      <c r="AA99" s="5" t="str">
        <f t="shared" si="32"/>
        <v>1</v>
      </c>
      <c r="AB99" s="5" t="str">
        <f t="shared" si="31"/>
        <v>1</v>
      </c>
      <c r="AC99" s="5" t="str">
        <f t="shared" si="31"/>
        <v>1</v>
      </c>
      <c r="AD99" s="5" t="str">
        <f t="shared" si="31"/>
        <v>1</v>
      </c>
      <c r="AE99" s="5" t="str">
        <f t="shared" si="31"/>
        <v>1</v>
      </c>
    </row>
    <row r="100" spans="1:31" ht="14.4" x14ac:dyDescent="0.3">
      <c r="A100" s="14">
        <v>97</v>
      </c>
      <c r="B100" s="15" t="s">
        <v>194</v>
      </c>
      <c r="C100" s="10">
        <v>12</v>
      </c>
      <c r="D100" s="10">
        <v>28</v>
      </c>
      <c r="E100" s="17">
        <v>365</v>
      </c>
      <c r="F100" s="21">
        <v>1.1000000000000001E-3</v>
      </c>
      <c r="G100" s="10">
        <v>900</v>
      </c>
      <c r="H100" s="13">
        <v>3.0000000000000001E-3</v>
      </c>
      <c r="I100" s="18">
        <v>10950</v>
      </c>
      <c r="J100" s="20">
        <v>12</v>
      </c>
      <c r="K100" s="19">
        <f t="shared" si="23"/>
        <v>1.4142857142857145E-2</v>
      </c>
      <c r="L100" s="2">
        <f t="shared" si="21"/>
        <v>5.8928571428571433E-3</v>
      </c>
      <c r="M100" s="2">
        <f t="shared" si="24"/>
        <v>1.1785714285714287E-2</v>
      </c>
      <c r="N100" s="2">
        <f t="shared" si="25"/>
        <v>1.7678571428571429E-2</v>
      </c>
      <c r="O100" s="2">
        <f t="shared" si="26"/>
        <v>2.3571428571428573E-2</v>
      </c>
      <c r="P100" s="2">
        <f t="shared" si="27"/>
        <v>2.9464285714285714E-2</v>
      </c>
      <c r="Q100" s="2">
        <f t="shared" si="28"/>
        <v>3.5357142857142858E-2</v>
      </c>
      <c r="R100" s="2">
        <f t="shared" si="29"/>
        <v>4.7142857142857144</v>
      </c>
      <c r="S100" s="2">
        <f t="shared" si="16"/>
        <v>1.9642857142857144</v>
      </c>
      <c r="T100" s="2">
        <f t="shared" si="30"/>
        <v>3.9285714285714288</v>
      </c>
      <c r="U100" s="2">
        <f t="shared" si="17"/>
        <v>5.8928571428571432</v>
      </c>
      <c r="V100" s="2">
        <f t="shared" si="18"/>
        <v>7.8571428571428577</v>
      </c>
      <c r="W100" s="2">
        <f t="shared" si="19"/>
        <v>9.8214285714285712</v>
      </c>
      <c r="X100" s="2">
        <f t="shared" si="20"/>
        <v>11.785714285714286</v>
      </c>
      <c r="Y100" s="5" t="str">
        <f t="shared" si="32"/>
        <v>1</v>
      </c>
      <c r="Z100" s="5" t="str">
        <f t="shared" si="32"/>
        <v>1</v>
      </c>
      <c r="AA100" s="5" t="str">
        <f t="shared" si="32"/>
        <v>1</v>
      </c>
      <c r="AB100" s="5" t="str">
        <f t="shared" si="31"/>
        <v>1</v>
      </c>
      <c r="AC100" s="5" t="str">
        <f t="shared" si="31"/>
        <v>1</v>
      </c>
      <c r="AD100" s="5" t="str">
        <f t="shared" si="31"/>
        <v>1</v>
      </c>
      <c r="AE100" s="5" t="str">
        <f t="shared" si="31"/>
        <v>1</v>
      </c>
    </row>
    <row r="101" spans="1:31" ht="14.4" x14ac:dyDescent="0.3">
      <c r="A101" s="14">
        <v>98</v>
      </c>
      <c r="B101" s="15" t="s">
        <v>193</v>
      </c>
      <c r="C101" s="10">
        <v>12</v>
      </c>
      <c r="D101" s="10">
        <v>40</v>
      </c>
      <c r="E101" s="17">
        <v>365</v>
      </c>
      <c r="F101" s="21">
        <v>1.6000000000000001E-3</v>
      </c>
      <c r="G101" s="10">
        <v>1800</v>
      </c>
      <c r="H101" s="13">
        <v>3.0000000000000001E-3</v>
      </c>
      <c r="I101" s="18">
        <v>10950</v>
      </c>
      <c r="J101" s="20">
        <v>5</v>
      </c>
      <c r="K101" s="19">
        <f t="shared" si="23"/>
        <v>1.2E-2</v>
      </c>
      <c r="L101" s="2">
        <f t="shared" si="21"/>
        <v>1.2E-2</v>
      </c>
      <c r="M101" s="2">
        <f t="shared" si="24"/>
        <v>2.4E-2</v>
      </c>
      <c r="N101" s="2">
        <f t="shared" si="25"/>
        <v>3.5999999999999997E-2</v>
      </c>
      <c r="O101" s="2">
        <f t="shared" si="26"/>
        <v>4.8000000000000001E-2</v>
      </c>
      <c r="P101" s="2">
        <f t="shared" si="27"/>
        <v>0.06</v>
      </c>
      <c r="Q101" s="2">
        <f t="shared" si="28"/>
        <v>7.1999999999999995E-2</v>
      </c>
      <c r="R101" s="2">
        <f t="shared" si="29"/>
        <v>4</v>
      </c>
      <c r="S101" s="2">
        <f t="shared" si="16"/>
        <v>4</v>
      </c>
      <c r="T101" s="2">
        <f t="shared" si="30"/>
        <v>8</v>
      </c>
      <c r="U101" s="2">
        <f t="shared" si="17"/>
        <v>11.999999999999998</v>
      </c>
      <c r="V101" s="2">
        <f t="shared" si="18"/>
        <v>16</v>
      </c>
      <c r="W101" s="2">
        <f t="shared" si="19"/>
        <v>20</v>
      </c>
      <c r="X101" s="2">
        <f t="shared" si="20"/>
        <v>23.999999999999996</v>
      </c>
      <c r="Y101" s="5" t="str">
        <f t="shared" si="32"/>
        <v>1</v>
      </c>
      <c r="Z101" s="5" t="str">
        <f t="shared" si="32"/>
        <v>1</v>
      </c>
      <c r="AA101" s="5" t="str">
        <f t="shared" si="32"/>
        <v>1</v>
      </c>
      <c r="AB101" s="5" t="str">
        <f t="shared" si="31"/>
        <v>1</v>
      </c>
      <c r="AC101" s="5" t="str">
        <f t="shared" si="31"/>
        <v>1</v>
      </c>
      <c r="AD101" s="5" t="str">
        <f t="shared" si="31"/>
        <v>1</v>
      </c>
      <c r="AE101" s="5" t="str">
        <f t="shared" si="31"/>
        <v>1</v>
      </c>
    </row>
    <row r="102" spans="1:31" ht="14.4" x14ac:dyDescent="0.3">
      <c r="A102" s="14">
        <v>99</v>
      </c>
      <c r="B102" s="15" t="s">
        <v>195</v>
      </c>
      <c r="C102" s="10">
        <v>12</v>
      </c>
      <c r="D102" s="10">
        <v>28</v>
      </c>
      <c r="E102" s="17">
        <v>365</v>
      </c>
      <c r="F102" s="21">
        <v>2.9999999999999997E-4</v>
      </c>
      <c r="G102" s="10">
        <v>1800</v>
      </c>
      <c r="H102" s="13">
        <v>3.0000000000000001E-3</v>
      </c>
      <c r="I102" s="18">
        <v>10950</v>
      </c>
      <c r="J102" s="20">
        <v>12</v>
      </c>
      <c r="K102" s="19">
        <f t="shared" si="23"/>
        <v>7.7142857142857135E-3</v>
      </c>
      <c r="L102" s="2">
        <f t="shared" si="21"/>
        <v>3.2142857142857134E-3</v>
      </c>
      <c r="M102" s="2">
        <f t="shared" si="24"/>
        <v>6.4285714285714267E-3</v>
      </c>
      <c r="N102" s="2">
        <f t="shared" si="25"/>
        <v>9.6428571428571405E-3</v>
      </c>
      <c r="O102" s="2">
        <f t="shared" si="26"/>
        <v>1.2857142857142853E-2</v>
      </c>
      <c r="P102" s="2">
        <f t="shared" si="27"/>
        <v>1.607142857142857E-2</v>
      </c>
      <c r="Q102" s="2">
        <f t="shared" si="28"/>
        <v>1.9285714285714281E-2</v>
      </c>
      <c r="R102" s="2">
        <f t="shared" si="29"/>
        <v>2.5714285714285712</v>
      </c>
      <c r="S102" s="2">
        <f t="shared" si="16"/>
        <v>1.0714285714285712</v>
      </c>
      <c r="T102" s="2">
        <f t="shared" si="30"/>
        <v>2.1428571428571423</v>
      </c>
      <c r="U102" s="2">
        <f t="shared" si="17"/>
        <v>3.2142857142857135</v>
      </c>
      <c r="V102" s="2">
        <f t="shared" si="18"/>
        <v>4.2857142857142847</v>
      </c>
      <c r="W102" s="2">
        <f t="shared" si="19"/>
        <v>5.3571428571428568</v>
      </c>
      <c r="X102" s="2">
        <f t="shared" si="20"/>
        <v>6.428571428571427</v>
      </c>
      <c r="Y102" s="5" t="str">
        <f t="shared" si="32"/>
        <v>1</v>
      </c>
      <c r="Z102" s="5" t="str">
        <f t="shared" si="32"/>
        <v>1</v>
      </c>
      <c r="AA102" s="5" t="str">
        <f t="shared" si="32"/>
        <v>1</v>
      </c>
      <c r="AB102" s="5" t="str">
        <f t="shared" si="31"/>
        <v>1</v>
      </c>
      <c r="AC102" s="5" t="str">
        <f t="shared" si="31"/>
        <v>1</v>
      </c>
      <c r="AD102" s="5" t="str">
        <f t="shared" si="31"/>
        <v>1</v>
      </c>
      <c r="AE102" s="5" t="str">
        <f t="shared" si="31"/>
        <v>1</v>
      </c>
    </row>
    <row r="103" spans="1:31" ht="14.4" x14ac:dyDescent="0.3">
      <c r="A103" s="14">
        <v>100</v>
      </c>
      <c r="B103" s="15" t="s">
        <v>196</v>
      </c>
      <c r="C103" s="10">
        <v>12</v>
      </c>
      <c r="D103" s="10">
        <v>28</v>
      </c>
      <c r="E103" s="17">
        <v>365</v>
      </c>
      <c r="F103" s="21">
        <v>1.2999999999999999E-3</v>
      </c>
      <c r="G103" s="10">
        <v>900</v>
      </c>
      <c r="H103" s="13">
        <v>3.0000000000000001E-3</v>
      </c>
      <c r="I103" s="18">
        <v>10950</v>
      </c>
      <c r="J103" s="20">
        <v>12</v>
      </c>
      <c r="K103" s="19">
        <f t="shared" si="23"/>
        <v>1.6714285714285713E-2</v>
      </c>
      <c r="L103" s="2">
        <f t="shared" si="21"/>
        <v>6.9642857142857145E-3</v>
      </c>
      <c r="M103" s="2">
        <f t="shared" si="24"/>
        <v>1.3928571428571429E-2</v>
      </c>
      <c r="N103" s="2">
        <f t="shared" si="25"/>
        <v>2.089285714285714E-2</v>
      </c>
      <c r="O103" s="2">
        <f t="shared" si="26"/>
        <v>2.7857142857142858E-2</v>
      </c>
      <c r="P103" s="2">
        <f t="shared" si="27"/>
        <v>3.4821428571428566E-2</v>
      </c>
      <c r="Q103" s="2">
        <f t="shared" si="28"/>
        <v>4.178571428571428E-2</v>
      </c>
      <c r="R103" s="2">
        <f t="shared" si="29"/>
        <v>5.5714285714285712</v>
      </c>
      <c r="S103" s="2">
        <f t="shared" si="16"/>
        <v>2.3214285714285716</v>
      </c>
      <c r="T103" s="2">
        <f t="shared" si="30"/>
        <v>4.6428571428571432</v>
      </c>
      <c r="U103" s="2">
        <f t="shared" si="17"/>
        <v>6.9642857142857135</v>
      </c>
      <c r="V103" s="2">
        <f t="shared" si="18"/>
        <v>9.2857142857142865</v>
      </c>
      <c r="W103" s="2">
        <f t="shared" si="19"/>
        <v>11.607142857142854</v>
      </c>
      <c r="X103" s="2">
        <f t="shared" si="20"/>
        <v>13.928571428571427</v>
      </c>
      <c r="Y103" s="5" t="str">
        <f t="shared" si="32"/>
        <v>1</v>
      </c>
      <c r="Z103" s="5" t="str">
        <f t="shared" si="32"/>
        <v>1</v>
      </c>
      <c r="AA103" s="5" t="str">
        <f t="shared" si="32"/>
        <v>1</v>
      </c>
      <c r="AB103" s="5" t="str">
        <f t="shared" si="31"/>
        <v>1</v>
      </c>
      <c r="AC103" s="5" t="str">
        <f t="shared" si="31"/>
        <v>1</v>
      </c>
      <c r="AD103" s="5" t="str">
        <f t="shared" si="31"/>
        <v>1</v>
      </c>
      <c r="AE103" s="5" t="str">
        <f t="shared" si="31"/>
        <v>1</v>
      </c>
    </row>
    <row r="105" spans="1:31" x14ac:dyDescent="0.25">
      <c r="A105" s="3" t="s">
        <v>76</v>
      </c>
    </row>
    <row r="106" spans="1:31" x14ac:dyDescent="0.25">
      <c r="A106" s="3" t="s">
        <v>6</v>
      </c>
    </row>
    <row r="107" spans="1:31" x14ac:dyDescent="0.25">
      <c r="A107" s="3" t="s">
        <v>7</v>
      </c>
    </row>
  </sheetData>
  <mergeCells count="31">
    <mergeCell ref="AE1:AE2"/>
    <mergeCell ref="Y1:Y2"/>
    <mergeCell ref="Z1:Z2"/>
    <mergeCell ref="AA1:AA2"/>
    <mergeCell ref="AB1:AB2"/>
    <mergeCell ref="AC1:AC2"/>
    <mergeCell ref="AD1:AD2"/>
    <mergeCell ref="X1:X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ZF107"/>
  <sheetViews>
    <sheetView workbookViewId="0">
      <selection activeCell="F4" sqref="F4"/>
    </sheetView>
  </sheetViews>
  <sheetFormatPr defaultColWidth="9.109375" defaultRowHeight="13.8" x14ac:dyDescent="0.25"/>
  <cols>
    <col min="1" max="1" width="5.33203125" style="3" customWidth="1"/>
    <col min="2" max="2" width="15.6640625" style="3" customWidth="1"/>
    <col min="3" max="4" width="8.33203125" style="3" customWidth="1"/>
    <col min="5" max="5" width="5" style="6" customWidth="1"/>
    <col min="6" max="6" width="10.6640625" style="3" customWidth="1"/>
    <col min="7" max="10" width="9.109375" style="3"/>
    <col min="11" max="11" width="10" style="3" bestFit="1" customWidth="1"/>
    <col min="12" max="25" width="10.88671875" style="3" customWidth="1"/>
    <col min="26" max="26" width="9.5546875" style="3" bestFit="1" customWidth="1"/>
    <col min="27" max="16384" width="9.109375" style="3"/>
  </cols>
  <sheetData>
    <row r="1" spans="1:1358" ht="15" customHeight="1" x14ac:dyDescent="0.25">
      <c r="A1" s="24" t="s">
        <v>104</v>
      </c>
      <c r="B1" s="26" t="s">
        <v>4</v>
      </c>
      <c r="C1" s="27" t="s">
        <v>197</v>
      </c>
      <c r="D1" s="26" t="s">
        <v>0</v>
      </c>
      <c r="E1" s="26" t="s">
        <v>3</v>
      </c>
      <c r="F1" s="23" t="s">
        <v>52</v>
      </c>
      <c r="G1" s="23" t="s">
        <v>1</v>
      </c>
      <c r="H1" s="23" t="s">
        <v>53</v>
      </c>
      <c r="I1" s="26" t="s">
        <v>2</v>
      </c>
      <c r="J1" s="23" t="s">
        <v>96</v>
      </c>
      <c r="K1" s="23" t="s">
        <v>97</v>
      </c>
      <c r="L1" s="23" t="s">
        <v>59</v>
      </c>
      <c r="M1" s="23" t="s">
        <v>60</v>
      </c>
      <c r="N1" s="23" t="s">
        <v>61</v>
      </c>
      <c r="O1" s="23" t="s">
        <v>62</v>
      </c>
      <c r="P1" s="23" t="s">
        <v>63</v>
      </c>
      <c r="Q1" s="23" t="s">
        <v>64</v>
      </c>
      <c r="R1" s="23" t="s">
        <v>95</v>
      </c>
      <c r="S1" s="23" t="s">
        <v>65</v>
      </c>
      <c r="T1" s="23" t="s">
        <v>66</v>
      </c>
      <c r="U1" s="23" t="s">
        <v>67</v>
      </c>
      <c r="V1" s="23" t="s">
        <v>68</v>
      </c>
      <c r="W1" s="23" t="s">
        <v>69</v>
      </c>
      <c r="X1" s="23" t="s">
        <v>70</v>
      </c>
      <c r="Y1" s="23" t="s">
        <v>98</v>
      </c>
      <c r="Z1" s="23" t="s">
        <v>75</v>
      </c>
      <c r="AA1" s="23" t="s">
        <v>71</v>
      </c>
      <c r="AB1" s="23" t="s">
        <v>72</v>
      </c>
      <c r="AC1" s="23" t="s">
        <v>73</v>
      </c>
      <c r="AD1" s="23" t="s">
        <v>74</v>
      </c>
      <c r="AE1" s="23" t="s">
        <v>54</v>
      </c>
    </row>
    <row r="2" spans="1:1358" ht="30.75" customHeight="1" x14ac:dyDescent="0.25">
      <c r="A2" s="25"/>
      <c r="B2" s="26"/>
      <c r="C2" s="28"/>
      <c r="D2" s="26"/>
      <c r="E2" s="26"/>
      <c r="F2" s="23"/>
      <c r="G2" s="23"/>
      <c r="H2" s="23"/>
      <c r="I2" s="26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spans="1:1358" s="9" customFormat="1" ht="13.2" x14ac:dyDescent="0.25">
      <c r="A3" s="7">
        <v>1</v>
      </c>
      <c r="B3" s="8">
        <v>2</v>
      </c>
      <c r="C3" s="7">
        <v>3</v>
      </c>
      <c r="D3" s="8">
        <v>4</v>
      </c>
      <c r="E3" s="7">
        <v>5</v>
      </c>
      <c r="F3" s="8">
        <v>6</v>
      </c>
      <c r="G3" s="7">
        <v>7</v>
      </c>
      <c r="H3" s="8">
        <v>8</v>
      </c>
      <c r="I3" s="7">
        <v>9</v>
      </c>
      <c r="J3" s="8">
        <v>10</v>
      </c>
      <c r="K3" s="7">
        <v>11</v>
      </c>
      <c r="L3" s="8">
        <v>12</v>
      </c>
      <c r="M3" s="7">
        <v>13</v>
      </c>
      <c r="N3" s="8">
        <v>14</v>
      </c>
      <c r="O3" s="7">
        <v>15</v>
      </c>
      <c r="P3" s="8">
        <v>16</v>
      </c>
      <c r="Q3" s="7">
        <v>17</v>
      </c>
      <c r="R3" s="8">
        <v>18</v>
      </c>
      <c r="S3" s="7">
        <v>19</v>
      </c>
      <c r="T3" s="8">
        <v>20</v>
      </c>
      <c r="U3" s="7">
        <v>21</v>
      </c>
      <c r="V3" s="8">
        <v>22</v>
      </c>
      <c r="W3" s="7">
        <v>23</v>
      </c>
      <c r="X3" s="8">
        <v>24</v>
      </c>
      <c r="Y3" s="7">
        <v>25</v>
      </c>
      <c r="Z3" s="8">
        <v>26</v>
      </c>
      <c r="AA3" s="7">
        <v>27</v>
      </c>
      <c r="AB3" s="8">
        <v>28</v>
      </c>
      <c r="AC3" s="7">
        <v>29</v>
      </c>
      <c r="AD3" s="8">
        <v>30</v>
      </c>
      <c r="AE3" s="7">
        <v>31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  <c r="AMK3" s="11"/>
      <c r="AML3" s="11"/>
      <c r="AMM3" s="11"/>
      <c r="AMN3" s="11"/>
      <c r="AMO3" s="11"/>
      <c r="AMP3" s="11"/>
      <c r="AMQ3" s="11"/>
      <c r="AMR3" s="11"/>
      <c r="AMS3" s="11"/>
      <c r="AMT3" s="11"/>
      <c r="AMU3" s="11"/>
      <c r="AMV3" s="11"/>
      <c r="AMW3" s="11"/>
      <c r="AMX3" s="11"/>
      <c r="AMY3" s="11"/>
      <c r="AMZ3" s="11"/>
      <c r="ANA3" s="11"/>
      <c r="ANB3" s="11"/>
      <c r="ANC3" s="11"/>
      <c r="AND3" s="11"/>
      <c r="ANE3" s="11"/>
      <c r="ANF3" s="11"/>
      <c r="ANG3" s="11"/>
      <c r="ANH3" s="11"/>
      <c r="ANI3" s="11"/>
      <c r="ANJ3" s="11"/>
      <c r="ANK3" s="11"/>
      <c r="ANL3" s="11"/>
      <c r="ANM3" s="11"/>
      <c r="ANN3" s="11"/>
      <c r="ANO3" s="11"/>
      <c r="ANP3" s="11"/>
      <c r="ANQ3" s="11"/>
      <c r="ANR3" s="11"/>
      <c r="ANS3" s="11"/>
      <c r="ANT3" s="11"/>
      <c r="ANU3" s="11"/>
      <c r="ANV3" s="11"/>
      <c r="ANW3" s="11"/>
      <c r="ANX3" s="11"/>
      <c r="ANY3" s="11"/>
      <c r="ANZ3" s="11"/>
      <c r="AOA3" s="11"/>
      <c r="AOB3" s="11"/>
      <c r="AOC3" s="11"/>
      <c r="AOD3" s="11"/>
      <c r="AOE3" s="11"/>
      <c r="AOF3" s="11"/>
      <c r="AOG3" s="11"/>
      <c r="AOH3" s="11"/>
      <c r="AOI3" s="11"/>
      <c r="AOJ3" s="11"/>
      <c r="AOK3" s="11"/>
      <c r="AOL3" s="11"/>
      <c r="AOM3" s="11"/>
      <c r="AON3" s="11"/>
      <c r="AOO3" s="11"/>
      <c r="AOP3" s="11"/>
      <c r="AOQ3" s="11"/>
      <c r="AOR3" s="11"/>
      <c r="AOS3" s="11"/>
      <c r="AOT3" s="11"/>
      <c r="AOU3" s="11"/>
      <c r="AOV3" s="11"/>
      <c r="AOW3" s="11"/>
      <c r="AOX3" s="11"/>
      <c r="AOY3" s="11"/>
      <c r="AOZ3" s="11"/>
      <c r="APA3" s="11"/>
      <c r="APB3" s="11"/>
      <c r="APC3" s="11"/>
      <c r="APD3" s="11"/>
      <c r="APE3" s="11"/>
      <c r="APF3" s="11"/>
      <c r="APG3" s="11"/>
      <c r="APH3" s="11"/>
      <c r="API3" s="11"/>
      <c r="APJ3" s="11"/>
      <c r="APK3" s="11"/>
      <c r="APL3" s="11"/>
      <c r="APM3" s="11"/>
      <c r="APN3" s="11"/>
      <c r="APO3" s="11"/>
      <c r="APP3" s="11"/>
      <c r="APQ3" s="11"/>
      <c r="APR3" s="11"/>
      <c r="APS3" s="11"/>
      <c r="APT3" s="11"/>
      <c r="APU3" s="11"/>
      <c r="APV3" s="11"/>
      <c r="APW3" s="11"/>
      <c r="APX3" s="11"/>
      <c r="APY3" s="11"/>
      <c r="APZ3" s="11"/>
      <c r="AQA3" s="11"/>
      <c r="AQB3" s="11"/>
      <c r="AQC3" s="11"/>
      <c r="AQD3" s="11"/>
      <c r="AQE3" s="11"/>
      <c r="AQF3" s="11"/>
      <c r="AQG3" s="11"/>
      <c r="AQH3" s="11"/>
      <c r="AQI3" s="11"/>
      <c r="AQJ3" s="11"/>
      <c r="AQK3" s="11"/>
      <c r="AQL3" s="11"/>
      <c r="AQM3" s="11"/>
      <c r="AQN3" s="11"/>
      <c r="AQO3" s="11"/>
      <c r="AQP3" s="11"/>
      <c r="AQQ3" s="11"/>
      <c r="AQR3" s="11"/>
      <c r="AQS3" s="11"/>
      <c r="AQT3" s="11"/>
      <c r="AQU3" s="11"/>
      <c r="AQV3" s="11"/>
      <c r="AQW3" s="11"/>
      <c r="AQX3" s="11"/>
      <c r="AQY3" s="11"/>
      <c r="AQZ3" s="11"/>
      <c r="ARA3" s="11"/>
      <c r="ARB3" s="11"/>
      <c r="ARC3" s="11"/>
      <c r="ARD3" s="11"/>
      <c r="ARE3" s="11"/>
      <c r="ARF3" s="11"/>
      <c r="ARG3" s="11"/>
      <c r="ARH3" s="11"/>
      <c r="ARI3" s="11"/>
      <c r="ARJ3" s="11"/>
      <c r="ARK3" s="11"/>
      <c r="ARL3" s="11"/>
      <c r="ARM3" s="11"/>
      <c r="ARN3" s="11"/>
      <c r="ARO3" s="11"/>
      <c r="ARP3" s="11"/>
      <c r="ARQ3" s="11"/>
      <c r="ARR3" s="11"/>
      <c r="ARS3" s="11"/>
      <c r="ART3" s="11"/>
      <c r="ARU3" s="11"/>
      <c r="ARV3" s="11"/>
      <c r="ARW3" s="11"/>
      <c r="ARX3" s="11"/>
      <c r="ARY3" s="11"/>
      <c r="ARZ3" s="11"/>
      <c r="ASA3" s="11"/>
      <c r="ASB3" s="11"/>
      <c r="ASC3" s="11"/>
      <c r="ASD3" s="11"/>
      <c r="ASE3" s="11"/>
      <c r="ASF3" s="11"/>
      <c r="ASG3" s="11"/>
      <c r="ASH3" s="11"/>
      <c r="ASI3" s="11"/>
      <c r="ASJ3" s="11"/>
      <c r="ASK3" s="11"/>
      <c r="ASL3" s="11"/>
      <c r="ASM3" s="11"/>
      <c r="ASN3" s="11"/>
      <c r="ASO3" s="11"/>
      <c r="ASP3" s="11"/>
      <c r="ASQ3" s="11"/>
      <c r="ASR3" s="11"/>
      <c r="ASS3" s="11"/>
      <c r="AST3" s="11"/>
      <c r="ASU3" s="11"/>
      <c r="ASV3" s="11"/>
      <c r="ASW3" s="11"/>
      <c r="ASX3" s="11"/>
      <c r="ASY3" s="11"/>
      <c r="ASZ3" s="11"/>
      <c r="ATA3" s="11"/>
      <c r="ATB3" s="11"/>
      <c r="ATC3" s="11"/>
      <c r="ATD3" s="11"/>
      <c r="ATE3" s="11"/>
      <c r="ATF3" s="11"/>
      <c r="ATG3" s="11"/>
      <c r="ATH3" s="11"/>
      <c r="ATI3" s="11"/>
      <c r="ATJ3" s="11"/>
      <c r="ATK3" s="11"/>
      <c r="ATL3" s="11"/>
      <c r="ATM3" s="11"/>
      <c r="ATN3" s="11"/>
      <c r="ATO3" s="11"/>
      <c r="ATP3" s="11"/>
      <c r="ATQ3" s="11"/>
      <c r="ATR3" s="11"/>
      <c r="ATS3" s="11"/>
      <c r="ATT3" s="11"/>
      <c r="ATU3" s="11"/>
      <c r="ATV3" s="11"/>
      <c r="ATW3" s="11"/>
      <c r="ATX3" s="11"/>
      <c r="ATY3" s="11"/>
      <c r="ATZ3" s="11"/>
      <c r="AUA3" s="11"/>
      <c r="AUB3" s="11"/>
      <c r="AUC3" s="11"/>
      <c r="AUD3" s="11"/>
      <c r="AUE3" s="11"/>
      <c r="AUF3" s="11"/>
      <c r="AUG3" s="11"/>
      <c r="AUH3" s="11"/>
      <c r="AUI3" s="11"/>
      <c r="AUJ3" s="11"/>
      <c r="AUK3" s="11"/>
      <c r="AUL3" s="11"/>
      <c r="AUM3" s="11"/>
      <c r="AUN3" s="11"/>
      <c r="AUO3" s="11"/>
      <c r="AUP3" s="11"/>
      <c r="AUQ3" s="11"/>
      <c r="AUR3" s="11"/>
      <c r="AUS3" s="11"/>
      <c r="AUT3" s="11"/>
      <c r="AUU3" s="11"/>
      <c r="AUV3" s="11"/>
      <c r="AUW3" s="11"/>
      <c r="AUX3" s="11"/>
      <c r="AUY3" s="11"/>
      <c r="AUZ3" s="11"/>
      <c r="AVA3" s="11"/>
      <c r="AVB3" s="11"/>
      <c r="AVC3" s="11"/>
      <c r="AVD3" s="11"/>
      <c r="AVE3" s="11"/>
      <c r="AVF3" s="11"/>
      <c r="AVG3" s="11"/>
      <c r="AVH3" s="11"/>
      <c r="AVI3" s="11"/>
      <c r="AVJ3" s="11"/>
      <c r="AVK3" s="11"/>
      <c r="AVL3" s="11"/>
      <c r="AVM3" s="11"/>
      <c r="AVN3" s="11"/>
      <c r="AVO3" s="11"/>
      <c r="AVP3" s="11"/>
      <c r="AVQ3" s="11"/>
      <c r="AVR3" s="11"/>
      <c r="AVS3" s="11"/>
      <c r="AVT3" s="11"/>
      <c r="AVU3" s="11"/>
      <c r="AVV3" s="11"/>
      <c r="AVW3" s="11"/>
      <c r="AVX3" s="11"/>
      <c r="AVY3" s="11"/>
      <c r="AVZ3" s="11"/>
      <c r="AWA3" s="11"/>
      <c r="AWB3" s="11"/>
      <c r="AWC3" s="11"/>
      <c r="AWD3" s="11"/>
      <c r="AWE3" s="11"/>
      <c r="AWF3" s="11"/>
      <c r="AWG3" s="11"/>
      <c r="AWH3" s="11"/>
      <c r="AWI3" s="11"/>
      <c r="AWJ3" s="11"/>
      <c r="AWK3" s="11"/>
      <c r="AWL3" s="11"/>
      <c r="AWM3" s="11"/>
      <c r="AWN3" s="11"/>
      <c r="AWO3" s="11"/>
      <c r="AWP3" s="11"/>
      <c r="AWQ3" s="11"/>
      <c r="AWR3" s="11"/>
      <c r="AWS3" s="11"/>
      <c r="AWT3" s="11"/>
      <c r="AWU3" s="11"/>
      <c r="AWV3" s="11"/>
      <c r="AWW3" s="11"/>
      <c r="AWX3" s="11"/>
      <c r="AWY3" s="11"/>
      <c r="AWZ3" s="11"/>
      <c r="AXA3" s="11"/>
      <c r="AXB3" s="11"/>
      <c r="AXC3" s="11"/>
      <c r="AXD3" s="11"/>
      <c r="AXE3" s="11"/>
      <c r="AXF3" s="11"/>
      <c r="AXG3" s="11"/>
      <c r="AXH3" s="11"/>
      <c r="AXI3" s="11"/>
      <c r="AXJ3" s="11"/>
      <c r="AXK3" s="11"/>
      <c r="AXL3" s="11"/>
      <c r="AXM3" s="11"/>
      <c r="AXN3" s="11"/>
      <c r="AXO3" s="11"/>
      <c r="AXP3" s="11"/>
      <c r="AXQ3" s="11"/>
      <c r="AXR3" s="11"/>
      <c r="AXS3" s="11"/>
      <c r="AXT3" s="11"/>
      <c r="AXU3" s="11"/>
      <c r="AXV3" s="11"/>
      <c r="AXW3" s="11"/>
      <c r="AXX3" s="11"/>
      <c r="AXY3" s="11"/>
      <c r="AXZ3" s="11"/>
      <c r="AYA3" s="11"/>
      <c r="AYB3" s="11"/>
      <c r="AYC3" s="11"/>
      <c r="AYD3" s="11"/>
      <c r="AYE3" s="11"/>
      <c r="AYF3" s="11"/>
      <c r="AYG3" s="11"/>
      <c r="AYH3" s="11"/>
      <c r="AYI3" s="11"/>
      <c r="AYJ3" s="11"/>
      <c r="AYK3" s="11"/>
      <c r="AYL3" s="11"/>
      <c r="AYM3" s="11"/>
      <c r="AYN3" s="11"/>
      <c r="AYO3" s="11"/>
      <c r="AYP3" s="11"/>
      <c r="AYQ3" s="11"/>
      <c r="AYR3" s="11"/>
      <c r="AYS3" s="11"/>
      <c r="AYT3" s="11"/>
      <c r="AYU3" s="11"/>
      <c r="AYV3" s="11"/>
      <c r="AYW3" s="11"/>
      <c r="AYX3" s="11"/>
      <c r="AYY3" s="11"/>
      <c r="AYZ3" s="11"/>
      <c r="AZA3" s="11"/>
      <c r="AZB3" s="11"/>
      <c r="AZC3" s="11"/>
      <c r="AZD3" s="11"/>
      <c r="AZE3" s="11"/>
      <c r="AZF3" s="11"/>
    </row>
    <row r="4" spans="1:1358" ht="14.4" x14ac:dyDescent="0.3">
      <c r="A4" s="14">
        <v>1</v>
      </c>
      <c r="B4" s="15" t="s">
        <v>109</v>
      </c>
      <c r="C4" s="10">
        <v>9</v>
      </c>
      <c r="D4" s="10">
        <v>25</v>
      </c>
      <c r="E4" s="16">
        <v>365</v>
      </c>
      <c r="F4" s="22">
        <v>1E-4</v>
      </c>
      <c r="G4" s="10">
        <v>1500</v>
      </c>
      <c r="H4" s="13">
        <v>1.4E-3</v>
      </c>
      <c r="I4" s="18">
        <v>10950</v>
      </c>
      <c r="J4" s="20">
        <v>9</v>
      </c>
      <c r="K4" s="19">
        <f t="shared" ref="K4:K67" si="0">(F4*G4*E4*J4)/(D4*I4)</f>
        <v>1.8E-3</v>
      </c>
      <c r="L4" s="2">
        <f t="shared" ref="L4:L45" si="1">(F4*G4*E4*5)/(D4*I4)</f>
        <v>1E-3</v>
      </c>
      <c r="M4" s="2">
        <f t="shared" ref="M4:M67" si="2">(F4*G4*E4*10)/(D4*I4)</f>
        <v>2E-3</v>
      </c>
      <c r="N4" s="2">
        <f t="shared" ref="N4:N67" si="3">(F4*G4*E4*15)/(D4*I4)</f>
        <v>3.0000000000000001E-3</v>
      </c>
      <c r="O4" s="2">
        <f t="shared" ref="O4:O67" si="4">(F4*G4*E4*20)/(D4*I4)</f>
        <v>4.0000000000000001E-3</v>
      </c>
      <c r="P4" s="2">
        <f t="shared" ref="P4:P67" si="5">(F4*G4*E4*25)/(D4*I4)</f>
        <v>5.0000000000000001E-3</v>
      </c>
      <c r="Q4" s="2">
        <f t="shared" ref="Q4:Q67" si="6">(F4*G4*E4*30)/(D4*I4)</f>
        <v>6.0000000000000001E-3</v>
      </c>
      <c r="R4" s="2">
        <f t="shared" ref="R4:R67" si="7">K4/H4</f>
        <v>1.2857142857142856</v>
      </c>
      <c r="S4" s="2">
        <f t="shared" ref="S4:S42" si="8">L4/H4</f>
        <v>0.7142857142857143</v>
      </c>
      <c r="T4" s="2">
        <f t="shared" ref="T4:T67" si="9">M4/H4</f>
        <v>1.4285714285714286</v>
      </c>
      <c r="U4" s="2">
        <f t="shared" ref="U4:U43" si="10">N4/H4</f>
        <v>2.1428571428571428</v>
      </c>
      <c r="V4" s="2">
        <f t="shared" ref="V4:V43" si="11">O4/H4</f>
        <v>2.8571428571428572</v>
      </c>
      <c r="W4" s="2">
        <f t="shared" ref="W4:W43" si="12">P4/H4</f>
        <v>3.5714285714285716</v>
      </c>
      <c r="X4" s="2">
        <f t="shared" ref="X4:X43" si="13">Q4/H4</f>
        <v>4.2857142857142856</v>
      </c>
      <c r="Y4" s="5" t="str">
        <f t="shared" ref="Y4:AE28" si="14">IF(R4&gt;1,"1","2")</f>
        <v>1</v>
      </c>
      <c r="Z4" s="5" t="str">
        <f t="shared" si="14"/>
        <v>2</v>
      </c>
      <c r="AA4" s="5" t="str">
        <f t="shared" si="14"/>
        <v>1</v>
      </c>
      <c r="AB4" s="5" t="str">
        <f t="shared" si="14"/>
        <v>1</v>
      </c>
      <c r="AC4" s="5" t="str">
        <f t="shared" si="14"/>
        <v>1</v>
      </c>
      <c r="AD4" s="5" t="str">
        <f t="shared" si="14"/>
        <v>1</v>
      </c>
      <c r="AE4" s="5" t="str">
        <f t="shared" si="14"/>
        <v>1</v>
      </c>
    </row>
    <row r="5" spans="1:1358" ht="14.4" x14ac:dyDescent="0.3">
      <c r="A5" s="14">
        <v>2</v>
      </c>
      <c r="B5" s="15" t="s">
        <v>110</v>
      </c>
      <c r="C5" s="10">
        <v>9</v>
      </c>
      <c r="D5" s="10">
        <v>25</v>
      </c>
      <c r="E5" s="16">
        <v>365</v>
      </c>
      <c r="F5" s="22">
        <v>1E-4</v>
      </c>
      <c r="G5" s="10">
        <v>900</v>
      </c>
      <c r="H5" s="13">
        <v>1.4E-3</v>
      </c>
      <c r="I5" s="18">
        <v>10950</v>
      </c>
      <c r="J5" s="20">
        <v>9</v>
      </c>
      <c r="K5" s="19">
        <f t="shared" si="0"/>
        <v>1.0800000000000002E-3</v>
      </c>
      <c r="L5" s="2">
        <f t="shared" si="1"/>
        <v>5.9999999999999995E-4</v>
      </c>
      <c r="M5" s="2">
        <f t="shared" si="2"/>
        <v>1.1999999999999999E-3</v>
      </c>
      <c r="N5" s="2">
        <f t="shared" si="3"/>
        <v>1.8E-3</v>
      </c>
      <c r="O5" s="2">
        <f t="shared" si="4"/>
        <v>2.3999999999999998E-3</v>
      </c>
      <c r="P5" s="2">
        <f t="shared" si="5"/>
        <v>3.0000000000000001E-3</v>
      </c>
      <c r="Q5" s="2">
        <f t="shared" si="6"/>
        <v>3.5999999999999999E-3</v>
      </c>
      <c r="R5" s="2">
        <f t="shared" si="7"/>
        <v>0.77142857142857157</v>
      </c>
      <c r="S5" s="2">
        <f t="shared" si="8"/>
        <v>0.42857142857142855</v>
      </c>
      <c r="T5" s="2">
        <f t="shared" si="9"/>
        <v>0.8571428571428571</v>
      </c>
      <c r="U5" s="2">
        <f t="shared" si="10"/>
        <v>1.2857142857142856</v>
      </c>
      <c r="V5" s="2">
        <f t="shared" si="11"/>
        <v>1.7142857142857142</v>
      </c>
      <c r="W5" s="2">
        <f t="shared" si="12"/>
        <v>2.1428571428571428</v>
      </c>
      <c r="X5" s="2">
        <f t="shared" si="13"/>
        <v>2.5714285714285712</v>
      </c>
      <c r="Y5" s="5" t="str">
        <f t="shared" si="14"/>
        <v>2</v>
      </c>
      <c r="Z5" s="5" t="str">
        <f t="shared" si="14"/>
        <v>2</v>
      </c>
      <c r="AA5" s="5" t="str">
        <f t="shared" si="14"/>
        <v>2</v>
      </c>
      <c r="AB5" s="5" t="str">
        <f t="shared" si="14"/>
        <v>1</v>
      </c>
      <c r="AC5" s="5" t="str">
        <f t="shared" si="14"/>
        <v>1</v>
      </c>
      <c r="AD5" s="5" t="str">
        <f t="shared" si="14"/>
        <v>1</v>
      </c>
      <c r="AE5" s="5" t="str">
        <f t="shared" si="14"/>
        <v>1</v>
      </c>
    </row>
    <row r="6" spans="1:1358" ht="14.4" x14ac:dyDescent="0.3">
      <c r="A6" s="14">
        <v>3</v>
      </c>
      <c r="B6" s="15" t="s">
        <v>111</v>
      </c>
      <c r="C6" s="10">
        <v>9</v>
      </c>
      <c r="D6" s="10">
        <v>25</v>
      </c>
      <c r="E6" s="16">
        <v>365</v>
      </c>
      <c r="F6" s="22">
        <v>1E-4</v>
      </c>
      <c r="G6" s="10">
        <v>900</v>
      </c>
      <c r="H6" s="13">
        <v>1.4E-3</v>
      </c>
      <c r="I6" s="18">
        <v>10950</v>
      </c>
      <c r="J6" s="20">
        <v>9</v>
      </c>
      <c r="K6" s="19">
        <f t="shared" si="0"/>
        <v>1.0800000000000002E-3</v>
      </c>
      <c r="L6" s="2">
        <f t="shared" si="1"/>
        <v>5.9999999999999995E-4</v>
      </c>
      <c r="M6" s="2">
        <f t="shared" si="2"/>
        <v>1.1999999999999999E-3</v>
      </c>
      <c r="N6" s="2">
        <f t="shared" si="3"/>
        <v>1.8E-3</v>
      </c>
      <c r="O6" s="2">
        <f t="shared" si="4"/>
        <v>2.3999999999999998E-3</v>
      </c>
      <c r="P6" s="2">
        <f t="shared" si="5"/>
        <v>3.0000000000000001E-3</v>
      </c>
      <c r="Q6" s="2">
        <f t="shared" si="6"/>
        <v>3.5999999999999999E-3</v>
      </c>
      <c r="R6" s="2">
        <f t="shared" si="7"/>
        <v>0.77142857142857157</v>
      </c>
      <c r="S6" s="2">
        <f t="shared" si="8"/>
        <v>0.42857142857142855</v>
      </c>
      <c r="T6" s="2">
        <f t="shared" si="9"/>
        <v>0.8571428571428571</v>
      </c>
      <c r="U6" s="2">
        <f t="shared" si="10"/>
        <v>1.2857142857142856</v>
      </c>
      <c r="V6" s="2">
        <f t="shared" si="11"/>
        <v>1.7142857142857142</v>
      </c>
      <c r="W6" s="2">
        <f t="shared" si="12"/>
        <v>2.1428571428571428</v>
      </c>
      <c r="X6" s="2">
        <f t="shared" si="13"/>
        <v>2.5714285714285712</v>
      </c>
      <c r="Y6" s="5" t="str">
        <f t="shared" si="14"/>
        <v>2</v>
      </c>
      <c r="Z6" s="5" t="str">
        <f t="shared" si="14"/>
        <v>2</v>
      </c>
      <c r="AA6" s="5" t="str">
        <f t="shared" si="14"/>
        <v>2</v>
      </c>
      <c r="AB6" s="5" t="str">
        <f t="shared" si="14"/>
        <v>1</v>
      </c>
      <c r="AC6" s="5" t="str">
        <f t="shared" si="14"/>
        <v>1</v>
      </c>
      <c r="AD6" s="5" t="str">
        <f t="shared" si="14"/>
        <v>1</v>
      </c>
      <c r="AE6" s="5" t="str">
        <f t="shared" si="14"/>
        <v>1</v>
      </c>
    </row>
    <row r="7" spans="1:1358" ht="14.4" x14ac:dyDescent="0.3">
      <c r="A7" s="14">
        <v>4</v>
      </c>
      <c r="B7" s="15" t="s">
        <v>112</v>
      </c>
      <c r="C7" s="10">
        <v>9</v>
      </c>
      <c r="D7" s="10">
        <v>23</v>
      </c>
      <c r="E7" s="16">
        <v>365</v>
      </c>
      <c r="F7" s="22">
        <v>1E-4</v>
      </c>
      <c r="G7" s="10">
        <v>1500</v>
      </c>
      <c r="H7" s="13">
        <v>1.4E-3</v>
      </c>
      <c r="I7" s="18">
        <v>10950</v>
      </c>
      <c r="J7" s="20">
        <v>9</v>
      </c>
      <c r="K7" s="19">
        <f t="shared" si="0"/>
        <v>1.9565217391304349E-3</v>
      </c>
      <c r="L7" s="2">
        <f t="shared" si="1"/>
        <v>1.0869565217391304E-3</v>
      </c>
      <c r="M7" s="2">
        <f t="shared" si="2"/>
        <v>2.1739130434782609E-3</v>
      </c>
      <c r="N7" s="2">
        <f t="shared" si="3"/>
        <v>3.2608695652173911E-3</v>
      </c>
      <c r="O7" s="2">
        <f t="shared" si="4"/>
        <v>4.3478260869565218E-3</v>
      </c>
      <c r="P7" s="2">
        <f t="shared" si="5"/>
        <v>5.434782608695652E-3</v>
      </c>
      <c r="Q7" s="2">
        <f t="shared" si="6"/>
        <v>6.5217391304347823E-3</v>
      </c>
      <c r="R7" s="2">
        <f t="shared" si="7"/>
        <v>1.3975155279503106</v>
      </c>
      <c r="S7" s="2">
        <f t="shared" si="8"/>
        <v>0.77639751552795033</v>
      </c>
      <c r="T7" s="2">
        <f t="shared" si="9"/>
        <v>1.5527950310559007</v>
      </c>
      <c r="U7" s="2">
        <f t="shared" si="10"/>
        <v>2.329192546583851</v>
      </c>
      <c r="V7" s="2">
        <f t="shared" si="11"/>
        <v>3.1055900621118013</v>
      </c>
      <c r="W7" s="2">
        <f t="shared" si="12"/>
        <v>3.8819875776397517</v>
      </c>
      <c r="X7" s="2">
        <f t="shared" si="13"/>
        <v>4.658385093167702</v>
      </c>
      <c r="Y7" s="5" t="str">
        <f t="shared" si="14"/>
        <v>1</v>
      </c>
      <c r="Z7" s="5" t="str">
        <f t="shared" si="14"/>
        <v>2</v>
      </c>
      <c r="AA7" s="5" t="str">
        <f t="shared" si="14"/>
        <v>1</v>
      </c>
      <c r="AB7" s="5" t="str">
        <f t="shared" si="14"/>
        <v>1</v>
      </c>
      <c r="AC7" s="5" t="str">
        <f t="shared" si="14"/>
        <v>1</v>
      </c>
      <c r="AD7" s="5" t="str">
        <f t="shared" si="14"/>
        <v>1</v>
      </c>
      <c r="AE7" s="5" t="str">
        <f t="shared" si="14"/>
        <v>1</v>
      </c>
    </row>
    <row r="8" spans="1:1358" ht="14.4" x14ac:dyDescent="0.3">
      <c r="A8" s="14">
        <v>5</v>
      </c>
      <c r="B8" s="15" t="s">
        <v>113</v>
      </c>
      <c r="C8" s="10">
        <v>9</v>
      </c>
      <c r="D8" s="10">
        <v>20</v>
      </c>
      <c r="E8" s="16">
        <v>365</v>
      </c>
      <c r="F8" s="22">
        <v>1E-4</v>
      </c>
      <c r="G8" s="10">
        <v>2100</v>
      </c>
      <c r="H8" s="13">
        <v>1.4E-3</v>
      </c>
      <c r="I8" s="18">
        <v>10950</v>
      </c>
      <c r="J8" s="20">
        <v>9</v>
      </c>
      <c r="K8" s="19">
        <f t="shared" si="0"/>
        <v>3.15E-3</v>
      </c>
      <c r="L8" s="2">
        <f t="shared" si="1"/>
        <v>1.75E-3</v>
      </c>
      <c r="M8" s="2">
        <f t="shared" si="2"/>
        <v>3.5000000000000001E-3</v>
      </c>
      <c r="N8" s="2">
        <f t="shared" si="3"/>
        <v>5.2500000000000003E-3</v>
      </c>
      <c r="O8" s="2">
        <f t="shared" si="4"/>
        <v>7.0000000000000001E-3</v>
      </c>
      <c r="P8" s="2">
        <f t="shared" si="5"/>
        <v>8.7500000000000008E-3</v>
      </c>
      <c r="Q8" s="2">
        <f t="shared" si="6"/>
        <v>1.0500000000000001E-2</v>
      </c>
      <c r="R8" s="2">
        <f t="shared" si="7"/>
        <v>2.25</v>
      </c>
      <c r="S8" s="2">
        <f t="shared" si="8"/>
        <v>1.25</v>
      </c>
      <c r="T8" s="2">
        <f t="shared" si="9"/>
        <v>2.5</v>
      </c>
      <c r="U8" s="2">
        <f t="shared" si="10"/>
        <v>3.7500000000000004</v>
      </c>
      <c r="V8" s="2">
        <f t="shared" si="11"/>
        <v>5</v>
      </c>
      <c r="W8" s="2">
        <f t="shared" si="12"/>
        <v>6.2500000000000009</v>
      </c>
      <c r="X8" s="2">
        <f t="shared" si="13"/>
        <v>7.5000000000000009</v>
      </c>
      <c r="Y8" s="5" t="str">
        <f t="shared" si="14"/>
        <v>1</v>
      </c>
      <c r="Z8" s="5" t="str">
        <f t="shared" si="14"/>
        <v>1</v>
      </c>
      <c r="AA8" s="5" t="str">
        <f t="shared" si="14"/>
        <v>1</v>
      </c>
      <c r="AB8" s="5" t="str">
        <f t="shared" si="14"/>
        <v>1</v>
      </c>
      <c r="AC8" s="5" t="str">
        <f t="shared" si="14"/>
        <v>1</v>
      </c>
      <c r="AD8" s="5" t="str">
        <f t="shared" si="14"/>
        <v>1</v>
      </c>
      <c r="AE8" s="5" t="str">
        <f t="shared" si="14"/>
        <v>1</v>
      </c>
    </row>
    <row r="9" spans="1:1358" ht="14.4" x14ac:dyDescent="0.3">
      <c r="A9" s="14">
        <v>6</v>
      </c>
      <c r="B9" s="15" t="s">
        <v>114</v>
      </c>
      <c r="C9" s="10">
        <v>9</v>
      </c>
      <c r="D9" s="10">
        <v>40</v>
      </c>
      <c r="E9" s="16">
        <v>365</v>
      </c>
      <c r="F9" s="22">
        <v>1E-4</v>
      </c>
      <c r="G9" s="10">
        <v>900</v>
      </c>
      <c r="H9" s="13">
        <v>1.4E-3</v>
      </c>
      <c r="I9" s="18">
        <v>10950</v>
      </c>
      <c r="J9" s="20">
        <v>5</v>
      </c>
      <c r="K9" s="19">
        <f t="shared" si="0"/>
        <v>3.7500000000000001E-4</v>
      </c>
      <c r="L9" s="2">
        <f t="shared" si="1"/>
        <v>3.7500000000000001E-4</v>
      </c>
      <c r="M9" s="2">
        <f t="shared" si="2"/>
        <v>7.5000000000000002E-4</v>
      </c>
      <c r="N9" s="2">
        <f t="shared" si="3"/>
        <v>1.1249999999999999E-3</v>
      </c>
      <c r="O9" s="2">
        <f t="shared" si="4"/>
        <v>1.5E-3</v>
      </c>
      <c r="P9" s="2">
        <f t="shared" si="5"/>
        <v>1.8749999999999999E-3</v>
      </c>
      <c r="Q9" s="2">
        <f t="shared" si="6"/>
        <v>2.2499999999999998E-3</v>
      </c>
      <c r="R9" s="2">
        <f t="shared" si="7"/>
        <v>0.26785714285714285</v>
      </c>
      <c r="S9" s="2">
        <f t="shared" si="8"/>
        <v>0.26785714285714285</v>
      </c>
      <c r="T9" s="2">
        <f t="shared" si="9"/>
        <v>0.5357142857142857</v>
      </c>
      <c r="U9" s="2">
        <f t="shared" si="10"/>
        <v>0.80357142857142849</v>
      </c>
      <c r="V9" s="2">
        <f t="shared" si="11"/>
        <v>1.0714285714285714</v>
      </c>
      <c r="W9" s="2">
        <f t="shared" si="12"/>
        <v>1.3392857142857142</v>
      </c>
      <c r="X9" s="2">
        <f t="shared" si="13"/>
        <v>1.607142857142857</v>
      </c>
      <c r="Y9" s="5" t="str">
        <f t="shared" si="14"/>
        <v>2</v>
      </c>
      <c r="Z9" s="5" t="str">
        <f t="shared" si="14"/>
        <v>2</v>
      </c>
      <c r="AA9" s="5" t="str">
        <f t="shared" si="14"/>
        <v>2</v>
      </c>
      <c r="AB9" s="5" t="str">
        <f t="shared" si="14"/>
        <v>2</v>
      </c>
      <c r="AC9" s="5" t="str">
        <f t="shared" si="14"/>
        <v>1</v>
      </c>
      <c r="AD9" s="5" t="str">
        <f t="shared" si="14"/>
        <v>1</v>
      </c>
      <c r="AE9" s="5" t="str">
        <f t="shared" si="14"/>
        <v>1</v>
      </c>
    </row>
    <row r="10" spans="1:1358" ht="14.4" x14ac:dyDescent="0.3">
      <c r="A10" s="14">
        <v>7</v>
      </c>
      <c r="B10" s="15" t="s">
        <v>115</v>
      </c>
      <c r="C10" s="10">
        <v>9</v>
      </c>
      <c r="D10" s="10">
        <v>22</v>
      </c>
      <c r="E10" s="16">
        <v>365</v>
      </c>
      <c r="F10" s="22">
        <v>1E-4</v>
      </c>
      <c r="G10" s="10">
        <v>900</v>
      </c>
      <c r="H10" s="13">
        <v>1.4E-3</v>
      </c>
      <c r="I10" s="18">
        <v>10950</v>
      </c>
      <c r="J10" s="20">
        <v>9</v>
      </c>
      <c r="K10" s="19">
        <f t="shared" si="0"/>
        <v>1.2272727272727275E-3</v>
      </c>
      <c r="L10" s="2">
        <f t="shared" si="1"/>
        <v>6.8181818181818187E-4</v>
      </c>
      <c r="M10" s="2">
        <f t="shared" si="2"/>
        <v>1.3636363636363637E-3</v>
      </c>
      <c r="N10" s="2">
        <f t="shared" si="3"/>
        <v>2.0454545454545456E-3</v>
      </c>
      <c r="O10" s="2">
        <f t="shared" si="4"/>
        <v>2.7272727272727275E-3</v>
      </c>
      <c r="P10" s="2">
        <f t="shared" si="5"/>
        <v>3.4090909090909089E-3</v>
      </c>
      <c r="Q10" s="2">
        <f t="shared" si="6"/>
        <v>4.0909090909090912E-3</v>
      </c>
      <c r="R10" s="2">
        <f t="shared" si="7"/>
        <v>0.87662337662337675</v>
      </c>
      <c r="S10" s="2">
        <f t="shared" si="8"/>
        <v>0.48701298701298706</v>
      </c>
      <c r="T10" s="2">
        <f t="shared" si="9"/>
        <v>0.97402597402597413</v>
      </c>
      <c r="U10" s="2">
        <f t="shared" si="10"/>
        <v>1.4610389610389611</v>
      </c>
      <c r="V10" s="2">
        <f t="shared" si="11"/>
        <v>1.9480519480519483</v>
      </c>
      <c r="W10" s="2">
        <f t="shared" si="12"/>
        <v>2.4350649350649349</v>
      </c>
      <c r="X10" s="2">
        <f t="shared" si="13"/>
        <v>2.9220779220779223</v>
      </c>
      <c r="Y10" s="5" t="str">
        <f t="shared" si="14"/>
        <v>2</v>
      </c>
      <c r="Z10" s="5" t="str">
        <f t="shared" si="14"/>
        <v>2</v>
      </c>
      <c r="AA10" s="5" t="str">
        <f t="shared" si="14"/>
        <v>2</v>
      </c>
      <c r="AB10" s="5" t="str">
        <f t="shared" si="14"/>
        <v>1</v>
      </c>
      <c r="AC10" s="5" t="str">
        <f t="shared" si="14"/>
        <v>1</v>
      </c>
      <c r="AD10" s="5" t="str">
        <f t="shared" si="14"/>
        <v>1</v>
      </c>
      <c r="AE10" s="5" t="str">
        <f t="shared" si="14"/>
        <v>1</v>
      </c>
    </row>
    <row r="11" spans="1:1358" ht="14.4" x14ac:dyDescent="0.3">
      <c r="A11" s="14">
        <v>8</v>
      </c>
      <c r="B11" s="15" t="s">
        <v>116</v>
      </c>
      <c r="C11" s="10">
        <v>9</v>
      </c>
      <c r="D11" s="10">
        <v>20</v>
      </c>
      <c r="E11" s="16">
        <v>365</v>
      </c>
      <c r="F11" s="22">
        <v>1E-4</v>
      </c>
      <c r="G11" s="10">
        <v>900</v>
      </c>
      <c r="H11" s="13">
        <v>1.4E-3</v>
      </c>
      <c r="I11" s="18">
        <v>10950</v>
      </c>
      <c r="J11" s="20">
        <v>6</v>
      </c>
      <c r="K11" s="19">
        <f t="shared" si="0"/>
        <v>9.0000000000000008E-4</v>
      </c>
      <c r="L11" s="2">
        <f t="shared" si="1"/>
        <v>7.5000000000000002E-4</v>
      </c>
      <c r="M11" s="2">
        <f t="shared" si="2"/>
        <v>1.5E-3</v>
      </c>
      <c r="N11" s="2">
        <f t="shared" si="3"/>
        <v>2.2499999999999998E-3</v>
      </c>
      <c r="O11" s="2">
        <f t="shared" si="4"/>
        <v>3.0000000000000001E-3</v>
      </c>
      <c r="P11" s="2">
        <f t="shared" si="5"/>
        <v>3.7499999999999999E-3</v>
      </c>
      <c r="Q11" s="2">
        <f t="shared" si="6"/>
        <v>4.4999999999999997E-3</v>
      </c>
      <c r="R11" s="2">
        <f t="shared" si="7"/>
        <v>0.6428571428571429</v>
      </c>
      <c r="S11" s="2">
        <f t="shared" si="8"/>
        <v>0.5357142857142857</v>
      </c>
      <c r="T11" s="2">
        <f t="shared" si="9"/>
        <v>1.0714285714285714</v>
      </c>
      <c r="U11" s="2">
        <f t="shared" si="10"/>
        <v>1.607142857142857</v>
      </c>
      <c r="V11" s="2">
        <f t="shared" si="11"/>
        <v>2.1428571428571428</v>
      </c>
      <c r="W11" s="2">
        <f t="shared" si="12"/>
        <v>2.6785714285714284</v>
      </c>
      <c r="X11" s="2">
        <f t="shared" si="13"/>
        <v>3.214285714285714</v>
      </c>
      <c r="Y11" s="5" t="str">
        <f t="shared" si="14"/>
        <v>2</v>
      </c>
      <c r="Z11" s="5" t="str">
        <f t="shared" si="14"/>
        <v>2</v>
      </c>
      <c r="AA11" s="5" t="str">
        <f t="shared" si="14"/>
        <v>1</v>
      </c>
      <c r="AB11" s="5" t="str">
        <f t="shared" si="14"/>
        <v>1</v>
      </c>
      <c r="AC11" s="5" t="str">
        <f t="shared" si="14"/>
        <v>1</v>
      </c>
      <c r="AD11" s="5" t="str">
        <f t="shared" si="14"/>
        <v>1</v>
      </c>
      <c r="AE11" s="5" t="str">
        <f t="shared" si="14"/>
        <v>1</v>
      </c>
    </row>
    <row r="12" spans="1:1358" ht="14.4" x14ac:dyDescent="0.3">
      <c r="A12" s="14">
        <v>9</v>
      </c>
      <c r="B12" s="15" t="s">
        <v>117</v>
      </c>
      <c r="C12" s="10">
        <v>9</v>
      </c>
      <c r="D12" s="10">
        <v>39</v>
      </c>
      <c r="E12" s="16">
        <v>365</v>
      </c>
      <c r="F12" s="22">
        <v>1E-4</v>
      </c>
      <c r="G12" s="10">
        <v>900</v>
      </c>
      <c r="H12" s="13">
        <v>1.4E-3</v>
      </c>
      <c r="I12" s="18">
        <v>10950</v>
      </c>
      <c r="J12" s="20">
        <v>1</v>
      </c>
      <c r="K12" s="19">
        <f t="shared" si="0"/>
        <v>7.6923076923076926E-5</v>
      </c>
      <c r="L12" s="2">
        <f t="shared" si="1"/>
        <v>3.8461538461538462E-4</v>
      </c>
      <c r="M12" s="2">
        <f t="shared" si="2"/>
        <v>7.6923076923076923E-4</v>
      </c>
      <c r="N12" s="2">
        <f t="shared" si="3"/>
        <v>1.153846153846154E-3</v>
      </c>
      <c r="O12" s="2">
        <f t="shared" si="4"/>
        <v>1.5384615384615385E-3</v>
      </c>
      <c r="P12" s="2">
        <f t="shared" si="5"/>
        <v>1.9230769230769232E-3</v>
      </c>
      <c r="Q12" s="2">
        <f t="shared" si="6"/>
        <v>2.3076923076923079E-3</v>
      </c>
      <c r="R12" s="2">
        <f t="shared" si="7"/>
        <v>5.4945054945054944E-2</v>
      </c>
      <c r="S12" s="2">
        <f t="shared" si="8"/>
        <v>0.27472527472527475</v>
      </c>
      <c r="T12" s="2">
        <f t="shared" si="9"/>
        <v>0.5494505494505495</v>
      </c>
      <c r="U12" s="2">
        <f t="shared" si="10"/>
        <v>0.82417582417582425</v>
      </c>
      <c r="V12" s="2">
        <f t="shared" si="11"/>
        <v>1.098901098901099</v>
      </c>
      <c r="W12" s="2">
        <f t="shared" si="12"/>
        <v>1.3736263736263736</v>
      </c>
      <c r="X12" s="2">
        <f t="shared" si="13"/>
        <v>1.6483516483516485</v>
      </c>
      <c r="Y12" s="5" t="str">
        <f t="shared" si="14"/>
        <v>2</v>
      </c>
      <c r="Z12" s="5" t="str">
        <f t="shared" si="14"/>
        <v>2</v>
      </c>
      <c r="AA12" s="5" t="str">
        <f t="shared" si="14"/>
        <v>2</v>
      </c>
      <c r="AB12" s="5" t="str">
        <f t="shared" si="14"/>
        <v>2</v>
      </c>
      <c r="AC12" s="5" t="str">
        <f t="shared" si="14"/>
        <v>1</v>
      </c>
      <c r="AD12" s="5" t="str">
        <f t="shared" si="14"/>
        <v>1</v>
      </c>
      <c r="AE12" s="5" t="str">
        <f t="shared" si="14"/>
        <v>1</v>
      </c>
    </row>
    <row r="13" spans="1:1358" ht="14.4" x14ac:dyDescent="0.3">
      <c r="A13" s="14">
        <v>10</v>
      </c>
      <c r="B13" s="15" t="s">
        <v>118</v>
      </c>
      <c r="C13" s="10">
        <v>9</v>
      </c>
      <c r="D13" s="10">
        <v>26</v>
      </c>
      <c r="E13" s="16">
        <v>365</v>
      </c>
      <c r="F13" s="22">
        <v>1E-4</v>
      </c>
      <c r="G13" s="10">
        <v>900</v>
      </c>
      <c r="H13" s="13">
        <v>1.4E-3</v>
      </c>
      <c r="I13" s="18">
        <v>10950</v>
      </c>
      <c r="J13" s="20">
        <v>9</v>
      </c>
      <c r="K13" s="19">
        <f t="shared" si="0"/>
        <v>1.0384615384615387E-3</v>
      </c>
      <c r="L13" s="2">
        <f t="shared" si="1"/>
        <v>5.7692307692307698E-4</v>
      </c>
      <c r="M13" s="2">
        <f t="shared" si="2"/>
        <v>1.153846153846154E-3</v>
      </c>
      <c r="N13" s="2">
        <f t="shared" si="3"/>
        <v>1.7307692307692308E-3</v>
      </c>
      <c r="O13" s="2">
        <f t="shared" si="4"/>
        <v>2.3076923076923079E-3</v>
      </c>
      <c r="P13" s="2">
        <f t="shared" si="5"/>
        <v>2.8846153846153848E-3</v>
      </c>
      <c r="Q13" s="2">
        <f t="shared" si="6"/>
        <v>3.4615384615384616E-3</v>
      </c>
      <c r="R13" s="2">
        <f t="shared" si="7"/>
        <v>0.7417582417582419</v>
      </c>
      <c r="S13" s="2">
        <f t="shared" si="8"/>
        <v>0.41208791208791212</v>
      </c>
      <c r="T13" s="2">
        <f t="shared" si="9"/>
        <v>0.82417582417582425</v>
      </c>
      <c r="U13" s="2">
        <f t="shared" si="10"/>
        <v>1.2362637362637363</v>
      </c>
      <c r="V13" s="2">
        <f t="shared" si="11"/>
        <v>1.6483516483516485</v>
      </c>
      <c r="W13" s="2">
        <f t="shared" si="12"/>
        <v>2.0604395604395607</v>
      </c>
      <c r="X13" s="2">
        <f t="shared" si="13"/>
        <v>2.4725274725274726</v>
      </c>
      <c r="Y13" s="5" t="str">
        <f t="shared" si="14"/>
        <v>2</v>
      </c>
      <c r="Z13" s="5" t="str">
        <f t="shared" si="14"/>
        <v>2</v>
      </c>
      <c r="AA13" s="5" t="str">
        <f t="shared" si="14"/>
        <v>2</v>
      </c>
      <c r="AB13" s="5" t="str">
        <f t="shared" si="14"/>
        <v>1</v>
      </c>
      <c r="AC13" s="5" t="str">
        <f t="shared" si="14"/>
        <v>1</v>
      </c>
      <c r="AD13" s="5" t="str">
        <f t="shared" si="14"/>
        <v>1</v>
      </c>
      <c r="AE13" s="5" t="str">
        <f t="shared" si="14"/>
        <v>1</v>
      </c>
    </row>
    <row r="14" spans="1:1358" ht="14.4" x14ac:dyDescent="0.3">
      <c r="A14" s="14">
        <v>11</v>
      </c>
      <c r="B14" s="15" t="s">
        <v>119</v>
      </c>
      <c r="C14" s="10">
        <v>9</v>
      </c>
      <c r="D14" s="10">
        <v>25</v>
      </c>
      <c r="E14" s="16">
        <v>365</v>
      </c>
      <c r="F14" s="22">
        <v>1E-4</v>
      </c>
      <c r="G14" s="10">
        <v>900</v>
      </c>
      <c r="H14" s="13">
        <v>1.4E-3</v>
      </c>
      <c r="I14" s="18">
        <v>10950</v>
      </c>
      <c r="J14" s="20">
        <v>1</v>
      </c>
      <c r="K14" s="19">
        <f t="shared" si="0"/>
        <v>1.2E-4</v>
      </c>
      <c r="L14" s="2">
        <f t="shared" si="1"/>
        <v>5.9999999999999995E-4</v>
      </c>
      <c r="M14" s="2">
        <f t="shared" si="2"/>
        <v>1.1999999999999999E-3</v>
      </c>
      <c r="N14" s="2">
        <f t="shared" si="3"/>
        <v>1.8E-3</v>
      </c>
      <c r="O14" s="2">
        <f t="shared" si="4"/>
        <v>2.3999999999999998E-3</v>
      </c>
      <c r="P14" s="2">
        <f t="shared" si="5"/>
        <v>3.0000000000000001E-3</v>
      </c>
      <c r="Q14" s="2">
        <f t="shared" si="6"/>
        <v>3.5999999999999999E-3</v>
      </c>
      <c r="R14" s="2">
        <f t="shared" si="7"/>
        <v>8.5714285714285715E-2</v>
      </c>
      <c r="S14" s="2">
        <f t="shared" si="8"/>
        <v>0.42857142857142855</v>
      </c>
      <c r="T14" s="2">
        <f t="shared" si="9"/>
        <v>0.8571428571428571</v>
      </c>
      <c r="U14" s="2">
        <f t="shared" si="10"/>
        <v>1.2857142857142856</v>
      </c>
      <c r="V14" s="2">
        <f t="shared" si="11"/>
        <v>1.7142857142857142</v>
      </c>
      <c r="W14" s="2">
        <f t="shared" si="12"/>
        <v>2.1428571428571428</v>
      </c>
      <c r="X14" s="2">
        <f t="shared" si="13"/>
        <v>2.5714285714285712</v>
      </c>
      <c r="Y14" s="5" t="str">
        <f t="shared" si="14"/>
        <v>2</v>
      </c>
      <c r="Z14" s="5" t="str">
        <f t="shared" si="14"/>
        <v>2</v>
      </c>
      <c r="AA14" s="5" t="str">
        <f t="shared" si="14"/>
        <v>2</v>
      </c>
      <c r="AB14" s="5" t="str">
        <f t="shared" si="14"/>
        <v>1</v>
      </c>
      <c r="AC14" s="5" t="str">
        <f t="shared" si="14"/>
        <v>1</v>
      </c>
      <c r="AD14" s="5" t="str">
        <f t="shared" si="14"/>
        <v>1</v>
      </c>
      <c r="AE14" s="5" t="str">
        <f t="shared" si="14"/>
        <v>1</v>
      </c>
    </row>
    <row r="15" spans="1:1358" ht="14.4" x14ac:dyDescent="0.3">
      <c r="A15" s="14">
        <v>12</v>
      </c>
      <c r="B15" s="15" t="s">
        <v>120</v>
      </c>
      <c r="C15" s="10">
        <v>9</v>
      </c>
      <c r="D15" s="10">
        <v>32</v>
      </c>
      <c r="E15" s="16">
        <v>365</v>
      </c>
      <c r="F15" s="22">
        <v>1E-4</v>
      </c>
      <c r="G15" s="10">
        <v>900</v>
      </c>
      <c r="H15" s="13">
        <v>1.4E-3</v>
      </c>
      <c r="I15" s="18">
        <v>10950</v>
      </c>
      <c r="J15" s="20">
        <v>9</v>
      </c>
      <c r="K15" s="19">
        <f t="shared" si="0"/>
        <v>8.437500000000001E-4</v>
      </c>
      <c r="L15" s="2">
        <f t="shared" si="1"/>
        <v>4.6874999999999998E-4</v>
      </c>
      <c r="M15" s="2">
        <f t="shared" si="2"/>
        <v>9.3749999999999997E-4</v>
      </c>
      <c r="N15" s="2">
        <f t="shared" si="3"/>
        <v>1.4062499999999999E-3</v>
      </c>
      <c r="O15" s="2">
        <f t="shared" si="4"/>
        <v>1.8749999999999999E-3</v>
      </c>
      <c r="P15" s="2">
        <f t="shared" si="5"/>
        <v>2.3437499999999999E-3</v>
      </c>
      <c r="Q15" s="2">
        <f t="shared" si="6"/>
        <v>2.8124999999999999E-3</v>
      </c>
      <c r="R15" s="2">
        <f t="shared" si="7"/>
        <v>0.60267857142857151</v>
      </c>
      <c r="S15" s="2">
        <f t="shared" si="8"/>
        <v>0.33482142857142855</v>
      </c>
      <c r="T15" s="2">
        <f t="shared" si="9"/>
        <v>0.6696428571428571</v>
      </c>
      <c r="U15" s="2">
        <f t="shared" si="10"/>
        <v>1.0044642857142856</v>
      </c>
      <c r="V15" s="2">
        <f t="shared" si="11"/>
        <v>1.3392857142857142</v>
      </c>
      <c r="W15" s="2">
        <f t="shared" si="12"/>
        <v>1.6741071428571428</v>
      </c>
      <c r="X15" s="2">
        <f t="shared" si="13"/>
        <v>2.0089285714285712</v>
      </c>
      <c r="Y15" s="5" t="str">
        <f t="shared" si="14"/>
        <v>2</v>
      </c>
      <c r="Z15" s="5" t="str">
        <f t="shared" si="14"/>
        <v>2</v>
      </c>
      <c r="AA15" s="5" t="str">
        <f t="shared" si="14"/>
        <v>2</v>
      </c>
      <c r="AB15" s="5" t="str">
        <f t="shared" si="14"/>
        <v>1</v>
      </c>
      <c r="AC15" s="5" t="str">
        <f t="shared" si="14"/>
        <v>1</v>
      </c>
      <c r="AD15" s="5" t="str">
        <f t="shared" si="14"/>
        <v>1</v>
      </c>
      <c r="AE15" s="5" t="str">
        <f t="shared" si="14"/>
        <v>1</v>
      </c>
    </row>
    <row r="16" spans="1:1358" ht="14.4" x14ac:dyDescent="0.3">
      <c r="A16" s="14">
        <v>13</v>
      </c>
      <c r="B16" s="15" t="s">
        <v>121</v>
      </c>
      <c r="C16" s="10">
        <v>9</v>
      </c>
      <c r="D16" s="10">
        <v>24</v>
      </c>
      <c r="E16" s="16">
        <v>365</v>
      </c>
      <c r="F16" s="22">
        <v>1E-4</v>
      </c>
      <c r="G16" s="10">
        <v>900</v>
      </c>
      <c r="H16" s="13">
        <v>1.4E-3</v>
      </c>
      <c r="I16" s="18">
        <v>10950</v>
      </c>
      <c r="J16" s="20">
        <v>9</v>
      </c>
      <c r="K16" s="19">
        <f t="shared" si="0"/>
        <v>1.1250000000000001E-3</v>
      </c>
      <c r="L16" s="2">
        <f t="shared" si="1"/>
        <v>6.2500000000000001E-4</v>
      </c>
      <c r="M16" s="2">
        <f t="shared" si="2"/>
        <v>1.25E-3</v>
      </c>
      <c r="N16" s="2">
        <f t="shared" si="3"/>
        <v>1.8749999999999999E-3</v>
      </c>
      <c r="O16" s="2">
        <f t="shared" si="4"/>
        <v>2.5000000000000001E-3</v>
      </c>
      <c r="P16" s="2">
        <f t="shared" si="5"/>
        <v>3.1250000000000002E-3</v>
      </c>
      <c r="Q16" s="2">
        <f t="shared" si="6"/>
        <v>3.7499999999999999E-3</v>
      </c>
      <c r="R16" s="2">
        <f t="shared" si="7"/>
        <v>0.80357142857142871</v>
      </c>
      <c r="S16" s="2">
        <f t="shared" si="8"/>
        <v>0.44642857142857145</v>
      </c>
      <c r="T16" s="2">
        <f t="shared" si="9"/>
        <v>0.8928571428571429</v>
      </c>
      <c r="U16" s="2">
        <f t="shared" si="10"/>
        <v>1.3392857142857142</v>
      </c>
      <c r="V16" s="2">
        <f t="shared" si="11"/>
        <v>1.7857142857142858</v>
      </c>
      <c r="W16" s="2">
        <f t="shared" si="12"/>
        <v>2.2321428571428572</v>
      </c>
      <c r="X16" s="2">
        <f t="shared" si="13"/>
        <v>2.6785714285714284</v>
      </c>
      <c r="Y16" s="5" t="str">
        <f t="shared" si="14"/>
        <v>2</v>
      </c>
      <c r="Z16" s="5" t="str">
        <f t="shared" si="14"/>
        <v>2</v>
      </c>
      <c r="AA16" s="5" t="str">
        <f t="shared" si="14"/>
        <v>2</v>
      </c>
      <c r="AB16" s="5" t="str">
        <f t="shared" si="14"/>
        <v>1</v>
      </c>
      <c r="AC16" s="5" t="str">
        <f t="shared" si="14"/>
        <v>1</v>
      </c>
      <c r="AD16" s="5" t="str">
        <f t="shared" si="14"/>
        <v>1</v>
      </c>
      <c r="AE16" s="5" t="str">
        <f t="shared" si="14"/>
        <v>1</v>
      </c>
    </row>
    <row r="17" spans="1:31" ht="14.4" x14ac:dyDescent="0.3">
      <c r="A17" s="14">
        <v>14</v>
      </c>
      <c r="B17" s="15" t="s">
        <v>107</v>
      </c>
      <c r="C17" s="10">
        <v>9</v>
      </c>
      <c r="D17" s="10">
        <v>28</v>
      </c>
      <c r="E17" s="16">
        <v>365</v>
      </c>
      <c r="F17" s="22">
        <v>1E-4</v>
      </c>
      <c r="G17" s="10">
        <v>900</v>
      </c>
      <c r="H17" s="13">
        <v>1.4E-3</v>
      </c>
      <c r="I17" s="18">
        <v>10950</v>
      </c>
      <c r="J17" s="20">
        <v>4</v>
      </c>
      <c r="K17" s="19">
        <f t="shared" si="0"/>
        <v>4.285714285714286E-4</v>
      </c>
      <c r="L17" s="2">
        <f t="shared" si="1"/>
        <v>5.3571428571428574E-4</v>
      </c>
      <c r="M17" s="2">
        <f t="shared" si="2"/>
        <v>1.0714285714285715E-3</v>
      </c>
      <c r="N17" s="2">
        <f t="shared" si="3"/>
        <v>1.6071428571428571E-3</v>
      </c>
      <c r="O17" s="2">
        <f t="shared" si="4"/>
        <v>2.142857142857143E-3</v>
      </c>
      <c r="P17" s="2">
        <f t="shared" si="5"/>
        <v>2.6785714285714286E-3</v>
      </c>
      <c r="Q17" s="2">
        <f t="shared" si="6"/>
        <v>3.2142857142857142E-3</v>
      </c>
      <c r="R17" s="2">
        <f t="shared" si="7"/>
        <v>0.30612244897959184</v>
      </c>
      <c r="S17" s="2">
        <f t="shared" si="8"/>
        <v>0.38265306122448983</v>
      </c>
      <c r="T17" s="2">
        <f t="shared" si="9"/>
        <v>0.76530612244897966</v>
      </c>
      <c r="U17" s="2">
        <f t="shared" si="10"/>
        <v>1.1479591836734693</v>
      </c>
      <c r="V17" s="2">
        <f t="shared" si="11"/>
        <v>1.5306122448979593</v>
      </c>
      <c r="W17" s="2">
        <f t="shared" si="12"/>
        <v>1.9132653061224489</v>
      </c>
      <c r="X17" s="2">
        <f t="shared" si="13"/>
        <v>2.2959183673469385</v>
      </c>
      <c r="Y17" s="5" t="str">
        <f t="shared" si="14"/>
        <v>2</v>
      </c>
      <c r="Z17" s="5" t="str">
        <f t="shared" si="14"/>
        <v>2</v>
      </c>
      <c r="AA17" s="5" t="str">
        <f t="shared" si="14"/>
        <v>2</v>
      </c>
      <c r="AB17" s="5" t="str">
        <f t="shared" si="14"/>
        <v>1</v>
      </c>
      <c r="AC17" s="5" t="str">
        <f t="shared" si="14"/>
        <v>1</v>
      </c>
      <c r="AD17" s="5" t="str">
        <f t="shared" si="14"/>
        <v>1</v>
      </c>
      <c r="AE17" s="5" t="str">
        <f t="shared" si="14"/>
        <v>1</v>
      </c>
    </row>
    <row r="18" spans="1:31" ht="14.4" x14ac:dyDescent="0.3">
      <c r="A18" s="14">
        <v>15</v>
      </c>
      <c r="B18" s="15" t="s">
        <v>122</v>
      </c>
      <c r="C18" s="10">
        <v>9</v>
      </c>
      <c r="D18" s="10">
        <v>29</v>
      </c>
      <c r="E18" s="16">
        <v>365</v>
      </c>
      <c r="F18" s="22">
        <v>1E-4</v>
      </c>
      <c r="G18" s="10">
        <v>900</v>
      </c>
      <c r="H18" s="13">
        <v>1.4E-3</v>
      </c>
      <c r="I18" s="18">
        <v>10950</v>
      </c>
      <c r="J18" s="20">
        <v>9</v>
      </c>
      <c r="K18" s="19">
        <f t="shared" si="0"/>
        <v>9.310344827586208E-4</v>
      </c>
      <c r="L18" s="2">
        <f t="shared" si="1"/>
        <v>5.1724137931034484E-4</v>
      </c>
      <c r="M18" s="2">
        <f t="shared" si="2"/>
        <v>1.0344827586206897E-3</v>
      </c>
      <c r="N18" s="2">
        <f t="shared" si="3"/>
        <v>1.5517241379310344E-3</v>
      </c>
      <c r="O18" s="2">
        <f t="shared" si="4"/>
        <v>2.0689655172413794E-3</v>
      </c>
      <c r="P18" s="2">
        <f t="shared" si="5"/>
        <v>2.5862068965517241E-3</v>
      </c>
      <c r="Q18" s="2">
        <f t="shared" si="6"/>
        <v>3.1034482758620688E-3</v>
      </c>
      <c r="R18" s="2">
        <f t="shared" si="7"/>
        <v>0.665024630541872</v>
      </c>
      <c r="S18" s="2">
        <f t="shared" si="8"/>
        <v>0.36945812807881773</v>
      </c>
      <c r="T18" s="2">
        <f t="shared" si="9"/>
        <v>0.73891625615763545</v>
      </c>
      <c r="U18" s="2">
        <f t="shared" si="10"/>
        <v>1.1083743842364531</v>
      </c>
      <c r="V18" s="2">
        <f t="shared" si="11"/>
        <v>1.4778325123152709</v>
      </c>
      <c r="W18" s="2">
        <f t="shared" si="12"/>
        <v>1.8472906403940887</v>
      </c>
      <c r="X18" s="2">
        <f t="shared" si="13"/>
        <v>2.2167487684729061</v>
      </c>
      <c r="Y18" s="5" t="str">
        <f t="shared" si="14"/>
        <v>2</v>
      </c>
      <c r="Z18" s="5" t="str">
        <f t="shared" si="14"/>
        <v>2</v>
      </c>
      <c r="AA18" s="5" t="str">
        <f t="shared" si="14"/>
        <v>2</v>
      </c>
      <c r="AB18" s="5" t="str">
        <f t="shared" si="14"/>
        <v>1</v>
      </c>
      <c r="AC18" s="5" t="str">
        <f t="shared" si="14"/>
        <v>1</v>
      </c>
      <c r="AD18" s="5" t="str">
        <f t="shared" si="14"/>
        <v>1</v>
      </c>
      <c r="AE18" s="5" t="str">
        <f t="shared" si="14"/>
        <v>1</v>
      </c>
    </row>
    <row r="19" spans="1:31" ht="14.4" x14ac:dyDescent="0.3">
      <c r="A19" s="14">
        <v>16</v>
      </c>
      <c r="B19" s="15" t="s">
        <v>111</v>
      </c>
      <c r="C19" s="10">
        <v>9</v>
      </c>
      <c r="D19" s="10">
        <v>25</v>
      </c>
      <c r="E19" s="16">
        <v>365</v>
      </c>
      <c r="F19" s="22">
        <v>1E-4</v>
      </c>
      <c r="G19" s="10">
        <v>900</v>
      </c>
      <c r="H19" s="13">
        <v>1.4E-3</v>
      </c>
      <c r="I19" s="18">
        <v>10950</v>
      </c>
      <c r="J19" s="20">
        <v>9</v>
      </c>
      <c r="K19" s="19">
        <f t="shared" si="0"/>
        <v>1.0800000000000002E-3</v>
      </c>
      <c r="L19" s="2">
        <f t="shared" si="1"/>
        <v>5.9999999999999995E-4</v>
      </c>
      <c r="M19" s="2">
        <f t="shared" si="2"/>
        <v>1.1999999999999999E-3</v>
      </c>
      <c r="N19" s="2">
        <f t="shared" si="3"/>
        <v>1.8E-3</v>
      </c>
      <c r="O19" s="2">
        <f t="shared" si="4"/>
        <v>2.3999999999999998E-3</v>
      </c>
      <c r="P19" s="2">
        <f t="shared" si="5"/>
        <v>3.0000000000000001E-3</v>
      </c>
      <c r="Q19" s="2">
        <f t="shared" si="6"/>
        <v>3.5999999999999999E-3</v>
      </c>
      <c r="R19" s="2">
        <f t="shared" si="7"/>
        <v>0.77142857142857157</v>
      </c>
      <c r="S19" s="2">
        <f t="shared" si="8"/>
        <v>0.42857142857142855</v>
      </c>
      <c r="T19" s="2">
        <f t="shared" si="9"/>
        <v>0.8571428571428571</v>
      </c>
      <c r="U19" s="2">
        <f t="shared" si="10"/>
        <v>1.2857142857142856</v>
      </c>
      <c r="V19" s="2">
        <f t="shared" si="11"/>
        <v>1.7142857142857142</v>
      </c>
      <c r="W19" s="2">
        <f t="shared" si="12"/>
        <v>2.1428571428571428</v>
      </c>
      <c r="X19" s="2">
        <f t="shared" si="13"/>
        <v>2.5714285714285712</v>
      </c>
      <c r="Y19" s="5" t="str">
        <f t="shared" si="14"/>
        <v>2</v>
      </c>
      <c r="Z19" s="5" t="str">
        <f t="shared" si="14"/>
        <v>2</v>
      </c>
      <c r="AA19" s="5" t="str">
        <f t="shared" si="14"/>
        <v>2</v>
      </c>
      <c r="AB19" s="5" t="str">
        <f t="shared" si="14"/>
        <v>1</v>
      </c>
      <c r="AC19" s="5" t="str">
        <f t="shared" si="14"/>
        <v>1</v>
      </c>
      <c r="AD19" s="5" t="str">
        <f t="shared" si="14"/>
        <v>1</v>
      </c>
      <c r="AE19" s="5" t="str">
        <f t="shared" si="14"/>
        <v>1</v>
      </c>
    </row>
    <row r="20" spans="1:31" ht="14.4" x14ac:dyDescent="0.3">
      <c r="A20" s="14">
        <v>17</v>
      </c>
      <c r="B20" s="15" t="s">
        <v>123</v>
      </c>
      <c r="C20" s="10">
        <v>9</v>
      </c>
      <c r="D20" s="10">
        <v>25</v>
      </c>
      <c r="E20" s="16">
        <v>365</v>
      </c>
      <c r="F20" s="22">
        <v>1E-4</v>
      </c>
      <c r="G20" s="10">
        <v>1500</v>
      </c>
      <c r="H20" s="13">
        <v>1.4E-3</v>
      </c>
      <c r="I20" s="18">
        <v>10950</v>
      </c>
      <c r="J20" s="20">
        <v>9</v>
      </c>
      <c r="K20" s="19">
        <f t="shared" si="0"/>
        <v>1.8E-3</v>
      </c>
      <c r="L20" s="2">
        <f t="shared" si="1"/>
        <v>1E-3</v>
      </c>
      <c r="M20" s="2">
        <f t="shared" si="2"/>
        <v>2E-3</v>
      </c>
      <c r="N20" s="2">
        <f t="shared" si="3"/>
        <v>3.0000000000000001E-3</v>
      </c>
      <c r="O20" s="2">
        <f t="shared" si="4"/>
        <v>4.0000000000000001E-3</v>
      </c>
      <c r="P20" s="2">
        <f t="shared" si="5"/>
        <v>5.0000000000000001E-3</v>
      </c>
      <c r="Q20" s="2">
        <f t="shared" si="6"/>
        <v>6.0000000000000001E-3</v>
      </c>
      <c r="R20" s="2">
        <f t="shared" si="7"/>
        <v>1.2857142857142856</v>
      </c>
      <c r="S20" s="2">
        <f t="shared" si="8"/>
        <v>0.7142857142857143</v>
      </c>
      <c r="T20" s="2">
        <f t="shared" si="9"/>
        <v>1.4285714285714286</v>
      </c>
      <c r="U20" s="2">
        <f t="shared" si="10"/>
        <v>2.1428571428571428</v>
      </c>
      <c r="V20" s="2">
        <f t="shared" si="11"/>
        <v>2.8571428571428572</v>
      </c>
      <c r="W20" s="2">
        <f t="shared" si="12"/>
        <v>3.5714285714285716</v>
      </c>
      <c r="X20" s="2">
        <f t="shared" si="13"/>
        <v>4.2857142857142856</v>
      </c>
      <c r="Y20" s="5" t="str">
        <f t="shared" si="14"/>
        <v>1</v>
      </c>
      <c r="Z20" s="5" t="str">
        <f t="shared" si="14"/>
        <v>2</v>
      </c>
      <c r="AA20" s="5" t="str">
        <f t="shared" si="14"/>
        <v>1</v>
      </c>
      <c r="AB20" s="5" t="str">
        <f t="shared" si="14"/>
        <v>1</v>
      </c>
      <c r="AC20" s="5" t="str">
        <f t="shared" si="14"/>
        <v>1</v>
      </c>
      <c r="AD20" s="5" t="str">
        <f t="shared" si="14"/>
        <v>1</v>
      </c>
      <c r="AE20" s="5" t="str">
        <f t="shared" si="14"/>
        <v>1</v>
      </c>
    </row>
    <row r="21" spans="1:31" ht="14.4" x14ac:dyDescent="0.3">
      <c r="A21" s="14">
        <v>18</v>
      </c>
      <c r="B21" s="15" t="s">
        <v>124</v>
      </c>
      <c r="C21" s="10">
        <v>9</v>
      </c>
      <c r="D21" s="10">
        <v>25</v>
      </c>
      <c r="E21" s="16">
        <v>365</v>
      </c>
      <c r="F21" s="22">
        <v>1E-4</v>
      </c>
      <c r="G21" s="10">
        <v>900</v>
      </c>
      <c r="H21" s="13">
        <v>1.4E-3</v>
      </c>
      <c r="I21" s="18">
        <v>10950</v>
      </c>
      <c r="J21" s="20">
        <v>9</v>
      </c>
      <c r="K21" s="19">
        <f t="shared" si="0"/>
        <v>1.0800000000000002E-3</v>
      </c>
      <c r="L21" s="2">
        <f t="shared" si="1"/>
        <v>5.9999999999999995E-4</v>
      </c>
      <c r="M21" s="2">
        <f t="shared" si="2"/>
        <v>1.1999999999999999E-3</v>
      </c>
      <c r="N21" s="2">
        <f t="shared" si="3"/>
        <v>1.8E-3</v>
      </c>
      <c r="O21" s="2">
        <f t="shared" si="4"/>
        <v>2.3999999999999998E-3</v>
      </c>
      <c r="P21" s="2">
        <f t="shared" si="5"/>
        <v>3.0000000000000001E-3</v>
      </c>
      <c r="Q21" s="2">
        <f t="shared" si="6"/>
        <v>3.5999999999999999E-3</v>
      </c>
      <c r="R21" s="2">
        <f t="shared" si="7"/>
        <v>0.77142857142857157</v>
      </c>
      <c r="S21" s="2">
        <f t="shared" si="8"/>
        <v>0.42857142857142855</v>
      </c>
      <c r="T21" s="2">
        <f t="shared" si="9"/>
        <v>0.8571428571428571</v>
      </c>
      <c r="U21" s="2">
        <f t="shared" si="10"/>
        <v>1.2857142857142856</v>
      </c>
      <c r="V21" s="2">
        <f t="shared" si="11"/>
        <v>1.7142857142857142</v>
      </c>
      <c r="W21" s="2">
        <f t="shared" si="12"/>
        <v>2.1428571428571428</v>
      </c>
      <c r="X21" s="2">
        <f t="shared" si="13"/>
        <v>2.5714285714285712</v>
      </c>
      <c r="Y21" s="5" t="str">
        <f t="shared" si="14"/>
        <v>2</v>
      </c>
      <c r="Z21" s="5" t="str">
        <f t="shared" si="14"/>
        <v>2</v>
      </c>
      <c r="AA21" s="5" t="str">
        <f t="shared" si="14"/>
        <v>2</v>
      </c>
      <c r="AB21" s="5" t="str">
        <f t="shared" si="14"/>
        <v>1</v>
      </c>
      <c r="AC21" s="5" t="str">
        <f t="shared" si="14"/>
        <v>1</v>
      </c>
      <c r="AD21" s="5" t="str">
        <f t="shared" si="14"/>
        <v>1</v>
      </c>
      <c r="AE21" s="5" t="str">
        <f t="shared" si="14"/>
        <v>1</v>
      </c>
    </row>
    <row r="22" spans="1:31" ht="14.4" x14ac:dyDescent="0.3">
      <c r="A22" s="14">
        <v>19</v>
      </c>
      <c r="B22" s="15" t="s">
        <v>125</v>
      </c>
      <c r="C22" s="10">
        <v>9</v>
      </c>
      <c r="D22" s="10">
        <v>25</v>
      </c>
      <c r="E22" s="16">
        <v>365</v>
      </c>
      <c r="F22" s="22">
        <v>1E-4</v>
      </c>
      <c r="G22" s="10">
        <v>900</v>
      </c>
      <c r="H22" s="13">
        <v>1.4E-3</v>
      </c>
      <c r="I22" s="18">
        <v>10950</v>
      </c>
      <c r="J22" s="20">
        <v>9</v>
      </c>
      <c r="K22" s="19">
        <f t="shared" si="0"/>
        <v>1.0800000000000002E-3</v>
      </c>
      <c r="L22" s="2">
        <f t="shared" si="1"/>
        <v>5.9999999999999995E-4</v>
      </c>
      <c r="M22" s="2">
        <f t="shared" si="2"/>
        <v>1.1999999999999999E-3</v>
      </c>
      <c r="N22" s="2">
        <f t="shared" si="3"/>
        <v>1.8E-3</v>
      </c>
      <c r="O22" s="2">
        <f t="shared" si="4"/>
        <v>2.3999999999999998E-3</v>
      </c>
      <c r="P22" s="2">
        <f t="shared" si="5"/>
        <v>3.0000000000000001E-3</v>
      </c>
      <c r="Q22" s="2">
        <f t="shared" si="6"/>
        <v>3.5999999999999999E-3</v>
      </c>
      <c r="R22" s="2">
        <f t="shared" si="7"/>
        <v>0.77142857142857157</v>
      </c>
      <c r="S22" s="2">
        <f t="shared" si="8"/>
        <v>0.42857142857142855</v>
      </c>
      <c r="T22" s="2">
        <f t="shared" si="9"/>
        <v>0.8571428571428571</v>
      </c>
      <c r="U22" s="2">
        <f t="shared" si="10"/>
        <v>1.2857142857142856</v>
      </c>
      <c r="V22" s="2">
        <f t="shared" si="11"/>
        <v>1.7142857142857142</v>
      </c>
      <c r="W22" s="2">
        <f t="shared" si="12"/>
        <v>2.1428571428571428</v>
      </c>
      <c r="X22" s="2">
        <f t="shared" si="13"/>
        <v>2.5714285714285712</v>
      </c>
      <c r="Y22" s="5" t="str">
        <f t="shared" si="14"/>
        <v>2</v>
      </c>
      <c r="Z22" s="5" t="str">
        <f t="shared" si="14"/>
        <v>2</v>
      </c>
      <c r="AA22" s="5" t="str">
        <f t="shared" si="14"/>
        <v>2</v>
      </c>
      <c r="AB22" s="5" t="str">
        <f t="shared" si="14"/>
        <v>1</v>
      </c>
      <c r="AC22" s="5" t="str">
        <f t="shared" si="14"/>
        <v>1</v>
      </c>
      <c r="AD22" s="5" t="str">
        <f t="shared" si="14"/>
        <v>1</v>
      </c>
      <c r="AE22" s="5" t="str">
        <f t="shared" si="14"/>
        <v>1</v>
      </c>
    </row>
    <row r="23" spans="1:31" ht="14.4" x14ac:dyDescent="0.3">
      <c r="A23" s="14">
        <v>20</v>
      </c>
      <c r="B23" s="15" t="s">
        <v>126</v>
      </c>
      <c r="C23" s="10">
        <v>9</v>
      </c>
      <c r="D23" s="10">
        <v>29</v>
      </c>
      <c r="E23" s="16">
        <v>365</v>
      </c>
      <c r="F23" s="22">
        <v>1E-4</v>
      </c>
      <c r="G23" s="10">
        <v>900</v>
      </c>
      <c r="H23" s="13">
        <v>1.4E-3</v>
      </c>
      <c r="I23" s="18">
        <v>10950</v>
      </c>
      <c r="J23" s="20">
        <v>9</v>
      </c>
      <c r="K23" s="19">
        <f t="shared" si="0"/>
        <v>9.310344827586208E-4</v>
      </c>
      <c r="L23" s="2">
        <f t="shared" si="1"/>
        <v>5.1724137931034484E-4</v>
      </c>
      <c r="M23" s="2">
        <f t="shared" si="2"/>
        <v>1.0344827586206897E-3</v>
      </c>
      <c r="N23" s="2">
        <f t="shared" si="3"/>
        <v>1.5517241379310344E-3</v>
      </c>
      <c r="O23" s="2">
        <f t="shared" si="4"/>
        <v>2.0689655172413794E-3</v>
      </c>
      <c r="P23" s="2">
        <f t="shared" si="5"/>
        <v>2.5862068965517241E-3</v>
      </c>
      <c r="Q23" s="2">
        <f t="shared" si="6"/>
        <v>3.1034482758620688E-3</v>
      </c>
      <c r="R23" s="2">
        <f t="shared" si="7"/>
        <v>0.665024630541872</v>
      </c>
      <c r="S23" s="2">
        <f t="shared" si="8"/>
        <v>0.36945812807881773</v>
      </c>
      <c r="T23" s="2">
        <f t="shared" si="9"/>
        <v>0.73891625615763545</v>
      </c>
      <c r="U23" s="2">
        <f t="shared" si="10"/>
        <v>1.1083743842364531</v>
      </c>
      <c r="V23" s="2">
        <f t="shared" si="11"/>
        <v>1.4778325123152709</v>
      </c>
      <c r="W23" s="2">
        <f t="shared" si="12"/>
        <v>1.8472906403940887</v>
      </c>
      <c r="X23" s="2">
        <f t="shared" si="13"/>
        <v>2.2167487684729061</v>
      </c>
      <c r="Y23" s="5" t="str">
        <f t="shared" si="14"/>
        <v>2</v>
      </c>
      <c r="Z23" s="5" t="str">
        <f t="shared" si="14"/>
        <v>2</v>
      </c>
      <c r="AA23" s="5" t="str">
        <f t="shared" si="14"/>
        <v>2</v>
      </c>
      <c r="AB23" s="5" t="str">
        <f t="shared" si="14"/>
        <v>1</v>
      </c>
      <c r="AC23" s="5" t="str">
        <f t="shared" si="14"/>
        <v>1</v>
      </c>
      <c r="AD23" s="5" t="str">
        <f t="shared" si="14"/>
        <v>1</v>
      </c>
      <c r="AE23" s="5" t="str">
        <f t="shared" si="14"/>
        <v>1</v>
      </c>
    </row>
    <row r="24" spans="1:31" ht="14.4" x14ac:dyDescent="0.3">
      <c r="A24" s="14">
        <v>21</v>
      </c>
      <c r="B24" s="15" t="s">
        <v>127</v>
      </c>
      <c r="C24" s="10">
        <v>9</v>
      </c>
      <c r="D24" s="10">
        <v>25</v>
      </c>
      <c r="E24" s="16">
        <v>365</v>
      </c>
      <c r="F24" s="22">
        <v>1E-4</v>
      </c>
      <c r="G24" s="10">
        <v>1500</v>
      </c>
      <c r="H24" s="13">
        <v>1.4E-3</v>
      </c>
      <c r="I24" s="18">
        <v>10950</v>
      </c>
      <c r="J24" s="20">
        <v>9</v>
      </c>
      <c r="K24" s="19">
        <f t="shared" si="0"/>
        <v>1.8E-3</v>
      </c>
      <c r="L24" s="2">
        <f t="shared" si="1"/>
        <v>1E-3</v>
      </c>
      <c r="M24" s="2">
        <f t="shared" si="2"/>
        <v>2E-3</v>
      </c>
      <c r="N24" s="2">
        <f t="shared" si="3"/>
        <v>3.0000000000000001E-3</v>
      </c>
      <c r="O24" s="2">
        <f t="shared" si="4"/>
        <v>4.0000000000000001E-3</v>
      </c>
      <c r="P24" s="2">
        <f t="shared" si="5"/>
        <v>5.0000000000000001E-3</v>
      </c>
      <c r="Q24" s="2">
        <f t="shared" si="6"/>
        <v>6.0000000000000001E-3</v>
      </c>
      <c r="R24" s="2">
        <f t="shared" si="7"/>
        <v>1.2857142857142856</v>
      </c>
      <c r="S24" s="2">
        <f t="shared" si="8"/>
        <v>0.7142857142857143</v>
      </c>
      <c r="T24" s="2">
        <f t="shared" si="9"/>
        <v>1.4285714285714286</v>
      </c>
      <c r="U24" s="2">
        <f t="shared" si="10"/>
        <v>2.1428571428571428</v>
      </c>
      <c r="V24" s="2">
        <f t="shared" si="11"/>
        <v>2.8571428571428572</v>
      </c>
      <c r="W24" s="2">
        <f t="shared" si="12"/>
        <v>3.5714285714285716</v>
      </c>
      <c r="X24" s="2">
        <f t="shared" si="13"/>
        <v>4.2857142857142856</v>
      </c>
      <c r="Y24" s="5" t="str">
        <f t="shared" si="14"/>
        <v>1</v>
      </c>
      <c r="Z24" s="5" t="str">
        <f t="shared" si="14"/>
        <v>2</v>
      </c>
      <c r="AA24" s="5" t="str">
        <f t="shared" si="14"/>
        <v>1</v>
      </c>
      <c r="AB24" s="5" t="str">
        <f t="shared" si="14"/>
        <v>1</v>
      </c>
      <c r="AC24" s="5" t="str">
        <f t="shared" si="14"/>
        <v>1</v>
      </c>
      <c r="AD24" s="5" t="str">
        <f t="shared" si="14"/>
        <v>1</v>
      </c>
      <c r="AE24" s="5" t="str">
        <f t="shared" si="14"/>
        <v>1</v>
      </c>
    </row>
    <row r="25" spans="1:31" ht="14.4" x14ac:dyDescent="0.3">
      <c r="A25" s="14">
        <v>22</v>
      </c>
      <c r="B25" s="15" t="s">
        <v>128</v>
      </c>
      <c r="C25" s="10">
        <v>9</v>
      </c>
      <c r="D25" s="10">
        <v>25</v>
      </c>
      <c r="E25" s="16">
        <v>365</v>
      </c>
      <c r="F25" s="22">
        <v>1E-4</v>
      </c>
      <c r="G25" s="10">
        <v>900</v>
      </c>
      <c r="H25" s="13">
        <v>1.4E-3</v>
      </c>
      <c r="I25" s="18">
        <v>10950</v>
      </c>
      <c r="J25" s="20">
        <v>9</v>
      </c>
      <c r="K25" s="19">
        <f t="shared" si="0"/>
        <v>1.0800000000000002E-3</v>
      </c>
      <c r="L25" s="2">
        <f t="shared" si="1"/>
        <v>5.9999999999999995E-4</v>
      </c>
      <c r="M25" s="2">
        <f t="shared" si="2"/>
        <v>1.1999999999999999E-3</v>
      </c>
      <c r="N25" s="2">
        <f t="shared" si="3"/>
        <v>1.8E-3</v>
      </c>
      <c r="O25" s="2">
        <f t="shared" si="4"/>
        <v>2.3999999999999998E-3</v>
      </c>
      <c r="P25" s="2">
        <f t="shared" si="5"/>
        <v>3.0000000000000001E-3</v>
      </c>
      <c r="Q25" s="2">
        <f t="shared" si="6"/>
        <v>3.5999999999999999E-3</v>
      </c>
      <c r="R25" s="2">
        <f t="shared" si="7"/>
        <v>0.77142857142857157</v>
      </c>
      <c r="S25" s="2">
        <f t="shared" si="8"/>
        <v>0.42857142857142855</v>
      </c>
      <c r="T25" s="2">
        <f t="shared" si="9"/>
        <v>0.8571428571428571</v>
      </c>
      <c r="U25" s="2">
        <f t="shared" si="10"/>
        <v>1.2857142857142856</v>
      </c>
      <c r="V25" s="2">
        <f t="shared" si="11"/>
        <v>1.7142857142857142</v>
      </c>
      <c r="W25" s="2">
        <f t="shared" si="12"/>
        <v>2.1428571428571428</v>
      </c>
      <c r="X25" s="2">
        <f t="shared" si="13"/>
        <v>2.5714285714285712</v>
      </c>
      <c r="Y25" s="5" t="str">
        <f t="shared" si="14"/>
        <v>2</v>
      </c>
      <c r="Z25" s="5" t="str">
        <f t="shared" si="14"/>
        <v>2</v>
      </c>
      <c r="AA25" s="5" t="str">
        <f t="shared" si="14"/>
        <v>2</v>
      </c>
      <c r="AB25" s="5" t="str">
        <f t="shared" si="14"/>
        <v>1</v>
      </c>
      <c r="AC25" s="5" t="str">
        <f t="shared" si="14"/>
        <v>1</v>
      </c>
      <c r="AD25" s="5" t="str">
        <f t="shared" si="14"/>
        <v>1</v>
      </c>
      <c r="AE25" s="5" t="str">
        <f t="shared" si="14"/>
        <v>1</v>
      </c>
    </row>
    <row r="26" spans="1:31" ht="14.4" x14ac:dyDescent="0.3">
      <c r="A26" s="14">
        <v>23</v>
      </c>
      <c r="B26" s="15" t="s">
        <v>129</v>
      </c>
      <c r="C26" s="10">
        <v>9</v>
      </c>
      <c r="D26" s="10">
        <v>39</v>
      </c>
      <c r="E26" s="16">
        <v>365</v>
      </c>
      <c r="F26" s="22">
        <v>1E-4</v>
      </c>
      <c r="G26" s="10">
        <v>900</v>
      </c>
      <c r="H26" s="13">
        <v>1.4E-3</v>
      </c>
      <c r="I26" s="18">
        <v>10950</v>
      </c>
      <c r="J26" s="20">
        <v>1</v>
      </c>
      <c r="K26" s="19">
        <f t="shared" si="0"/>
        <v>7.6923076923076926E-5</v>
      </c>
      <c r="L26" s="2">
        <f t="shared" si="1"/>
        <v>3.8461538461538462E-4</v>
      </c>
      <c r="M26" s="2">
        <f t="shared" si="2"/>
        <v>7.6923076923076923E-4</v>
      </c>
      <c r="N26" s="2">
        <f t="shared" si="3"/>
        <v>1.153846153846154E-3</v>
      </c>
      <c r="O26" s="2">
        <f t="shared" si="4"/>
        <v>1.5384615384615385E-3</v>
      </c>
      <c r="P26" s="2">
        <f t="shared" si="5"/>
        <v>1.9230769230769232E-3</v>
      </c>
      <c r="Q26" s="2">
        <f t="shared" si="6"/>
        <v>2.3076923076923079E-3</v>
      </c>
      <c r="R26" s="2">
        <f t="shared" si="7"/>
        <v>5.4945054945054944E-2</v>
      </c>
      <c r="S26" s="2">
        <f t="shared" si="8"/>
        <v>0.27472527472527475</v>
      </c>
      <c r="T26" s="2">
        <f t="shared" si="9"/>
        <v>0.5494505494505495</v>
      </c>
      <c r="U26" s="2">
        <f t="shared" si="10"/>
        <v>0.82417582417582425</v>
      </c>
      <c r="V26" s="2">
        <f t="shared" si="11"/>
        <v>1.098901098901099</v>
      </c>
      <c r="W26" s="2">
        <f t="shared" si="12"/>
        <v>1.3736263736263736</v>
      </c>
      <c r="X26" s="2">
        <f t="shared" si="13"/>
        <v>1.6483516483516485</v>
      </c>
      <c r="Y26" s="5" t="str">
        <f t="shared" si="14"/>
        <v>2</v>
      </c>
      <c r="Z26" s="5" t="str">
        <f t="shared" si="14"/>
        <v>2</v>
      </c>
      <c r="AA26" s="5" t="str">
        <f t="shared" si="14"/>
        <v>2</v>
      </c>
      <c r="AB26" s="5" t="str">
        <f t="shared" si="14"/>
        <v>2</v>
      </c>
      <c r="AC26" s="5" t="str">
        <f t="shared" si="14"/>
        <v>1</v>
      </c>
      <c r="AD26" s="5" t="str">
        <f t="shared" si="14"/>
        <v>1</v>
      </c>
      <c r="AE26" s="5" t="str">
        <f t="shared" si="14"/>
        <v>1</v>
      </c>
    </row>
    <row r="27" spans="1:31" ht="14.4" x14ac:dyDescent="0.3">
      <c r="A27" s="14">
        <v>24</v>
      </c>
      <c r="B27" s="15" t="s">
        <v>130</v>
      </c>
      <c r="C27" s="10">
        <v>9</v>
      </c>
      <c r="D27" s="10">
        <v>26</v>
      </c>
      <c r="E27" s="16">
        <v>365</v>
      </c>
      <c r="F27" s="22">
        <v>1E-4</v>
      </c>
      <c r="G27" s="10">
        <v>900</v>
      </c>
      <c r="H27" s="13">
        <v>1.4E-3</v>
      </c>
      <c r="I27" s="18">
        <v>10950</v>
      </c>
      <c r="J27" s="20">
        <v>9</v>
      </c>
      <c r="K27" s="19">
        <f t="shared" si="0"/>
        <v>1.0384615384615387E-3</v>
      </c>
      <c r="L27" s="2">
        <f t="shared" si="1"/>
        <v>5.7692307692307698E-4</v>
      </c>
      <c r="M27" s="2">
        <f t="shared" si="2"/>
        <v>1.153846153846154E-3</v>
      </c>
      <c r="N27" s="2">
        <f t="shared" si="3"/>
        <v>1.7307692307692308E-3</v>
      </c>
      <c r="O27" s="2">
        <f t="shared" si="4"/>
        <v>2.3076923076923079E-3</v>
      </c>
      <c r="P27" s="2">
        <f t="shared" si="5"/>
        <v>2.8846153846153848E-3</v>
      </c>
      <c r="Q27" s="2">
        <f t="shared" si="6"/>
        <v>3.4615384615384616E-3</v>
      </c>
      <c r="R27" s="2">
        <f t="shared" si="7"/>
        <v>0.7417582417582419</v>
      </c>
      <c r="S27" s="2">
        <f t="shared" si="8"/>
        <v>0.41208791208791212</v>
      </c>
      <c r="T27" s="2">
        <f t="shared" si="9"/>
        <v>0.82417582417582425</v>
      </c>
      <c r="U27" s="2">
        <f t="shared" si="10"/>
        <v>1.2362637362637363</v>
      </c>
      <c r="V27" s="2">
        <f t="shared" si="11"/>
        <v>1.6483516483516485</v>
      </c>
      <c r="W27" s="2">
        <f t="shared" si="12"/>
        <v>2.0604395604395607</v>
      </c>
      <c r="X27" s="2">
        <f t="shared" si="13"/>
        <v>2.4725274725274726</v>
      </c>
      <c r="Y27" s="5" t="str">
        <f t="shared" si="14"/>
        <v>2</v>
      </c>
      <c r="Z27" s="5" t="str">
        <f t="shared" si="14"/>
        <v>2</v>
      </c>
      <c r="AA27" s="5" t="str">
        <f t="shared" si="14"/>
        <v>2</v>
      </c>
      <c r="AB27" s="5" t="str">
        <f t="shared" si="14"/>
        <v>1</v>
      </c>
      <c r="AC27" s="5" t="str">
        <f t="shared" si="14"/>
        <v>1</v>
      </c>
      <c r="AD27" s="5" t="str">
        <f t="shared" si="14"/>
        <v>1</v>
      </c>
      <c r="AE27" s="5" t="str">
        <f t="shared" si="14"/>
        <v>1</v>
      </c>
    </row>
    <row r="28" spans="1:31" ht="14.4" x14ac:dyDescent="0.3">
      <c r="A28" s="14">
        <v>25</v>
      </c>
      <c r="B28" s="15" t="s">
        <v>131</v>
      </c>
      <c r="C28" s="10">
        <v>9</v>
      </c>
      <c r="D28" s="10">
        <v>20</v>
      </c>
      <c r="E28" s="16">
        <v>365</v>
      </c>
      <c r="F28" s="22">
        <v>1E-4</v>
      </c>
      <c r="G28" s="10">
        <v>2100</v>
      </c>
      <c r="H28" s="13">
        <v>1.4E-3</v>
      </c>
      <c r="I28" s="18">
        <v>10950</v>
      </c>
      <c r="J28" s="20">
        <v>9</v>
      </c>
      <c r="K28" s="19">
        <f t="shared" si="0"/>
        <v>3.15E-3</v>
      </c>
      <c r="L28" s="2">
        <f t="shared" si="1"/>
        <v>1.75E-3</v>
      </c>
      <c r="M28" s="2">
        <f t="shared" si="2"/>
        <v>3.5000000000000001E-3</v>
      </c>
      <c r="N28" s="2">
        <f t="shared" si="3"/>
        <v>5.2500000000000003E-3</v>
      </c>
      <c r="O28" s="2">
        <f t="shared" si="4"/>
        <v>7.0000000000000001E-3</v>
      </c>
      <c r="P28" s="2">
        <f t="shared" si="5"/>
        <v>8.7500000000000008E-3</v>
      </c>
      <c r="Q28" s="2">
        <f t="shared" si="6"/>
        <v>1.0500000000000001E-2</v>
      </c>
      <c r="R28" s="2">
        <f t="shared" si="7"/>
        <v>2.25</v>
      </c>
      <c r="S28" s="2">
        <f t="shared" si="8"/>
        <v>1.25</v>
      </c>
      <c r="T28" s="2">
        <f t="shared" si="9"/>
        <v>2.5</v>
      </c>
      <c r="U28" s="2">
        <f t="shared" si="10"/>
        <v>3.7500000000000004</v>
      </c>
      <c r="V28" s="2">
        <f t="shared" si="11"/>
        <v>5</v>
      </c>
      <c r="W28" s="2">
        <f t="shared" si="12"/>
        <v>6.2500000000000009</v>
      </c>
      <c r="X28" s="2">
        <f t="shared" si="13"/>
        <v>7.5000000000000009</v>
      </c>
      <c r="Y28" s="5" t="str">
        <f t="shared" si="14"/>
        <v>1</v>
      </c>
      <c r="Z28" s="5" t="str">
        <f t="shared" si="14"/>
        <v>1</v>
      </c>
      <c r="AA28" s="5" t="str">
        <f t="shared" si="14"/>
        <v>1</v>
      </c>
      <c r="AB28" s="5" t="str">
        <f t="shared" si="14"/>
        <v>1</v>
      </c>
      <c r="AC28" s="5" t="str">
        <f t="shared" si="14"/>
        <v>1</v>
      </c>
      <c r="AD28" s="5" t="str">
        <f t="shared" si="14"/>
        <v>1</v>
      </c>
      <c r="AE28" s="5" t="str">
        <f t="shared" si="14"/>
        <v>1</v>
      </c>
    </row>
    <row r="29" spans="1:31" ht="14.4" x14ac:dyDescent="0.3">
      <c r="A29" s="14">
        <v>26</v>
      </c>
      <c r="B29" s="15" t="s">
        <v>132</v>
      </c>
      <c r="C29" s="10">
        <v>9</v>
      </c>
      <c r="D29" s="10">
        <v>40</v>
      </c>
      <c r="E29" s="16">
        <v>365</v>
      </c>
      <c r="F29" s="22">
        <v>1E-4</v>
      </c>
      <c r="G29" s="10">
        <v>900</v>
      </c>
      <c r="H29" s="13">
        <v>1.4E-3</v>
      </c>
      <c r="I29" s="18">
        <v>10950</v>
      </c>
      <c r="J29" s="20">
        <v>5</v>
      </c>
      <c r="K29" s="19">
        <f t="shared" si="0"/>
        <v>3.7500000000000001E-4</v>
      </c>
      <c r="L29" s="2">
        <f t="shared" si="1"/>
        <v>3.7500000000000001E-4</v>
      </c>
      <c r="M29" s="2">
        <f t="shared" si="2"/>
        <v>7.5000000000000002E-4</v>
      </c>
      <c r="N29" s="2">
        <f t="shared" si="3"/>
        <v>1.1249999999999999E-3</v>
      </c>
      <c r="O29" s="2">
        <f t="shared" si="4"/>
        <v>1.5E-3</v>
      </c>
      <c r="P29" s="2">
        <f t="shared" si="5"/>
        <v>1.8749999999999999E-3</v>
      </c>
      <c r="Q29" s="2">
        <f t="shared" si="6"/>
        <v>2.2499999999999998E-3</v>
      </c>
      <c r="R29" s="2">
        <f t="shared" si="7"/>
        <v>0.26785714285714285</v>
      </c>
      <c r="S29" s="2">
        <f t="shared" si="8"/>
        <v>0.26785714285714285</v>
      </c>
      <c r="T29" s="2">
        <f t="shared" si="9"/>
        <v>0.5357142857142857</v>
      </c>
      <c r="U29" s="2">
        <f t="shared" si="10"/>
        <v>0.80357142857142849</v>
      </c>
      <c r="V29" s="2">
        <f t="shared" si="11"/>
        <v>1.0714285714285714</v>
      </c>
      <c r="W29" s="2">
        <f t="shared" si="12"/>
        <v>1.3392857142857142</v>
      </c>
      <c r="X29" s="2">
        <f t="shared" si="13"/>
        <v>1.607142857142857</v>
      </c>
      <c r="Y29" s="5" t="str">
        <f t="shared" ref="Y29:AE53" si="15">IF(R29&gt;1,"1","2")</f>
        <v>2</v>
      </c>
      <c r="Z29" s="5" t="str">
        <f t="shared" si="15"/>
        <v>2</v>
      </c>
      <c r="AA29" s="5" t="str">
        <f t="shared" si="15"/>
        <v>2</v>
      </c>
      <c r="AB29" s="5" t="str">
        <f t="shared" si="15"/>
        <v>2</v>
      </c>
      <c r="AC29" s="5" t="str">
        <f t="shared" si="15"/>
        <v>1</v>
      </c>
      <c r="AD29" s="5" t="str">
        <f t="shared" si="15"/>
        <v>1</v>
      </c>
      <c r="AE29" s="5" t="str">
        <f t="shared" si="15"/>
        <v>1</v>
      </c>
    </row>
    <row r="30" spans="1:31" ht="14.4" x14ac:dyDescent="0.3">
      <c r="A30" s="14">
        <v>27</v>
      </c>
      <c r="B30" s="15" t="s">
        <v>105</v>
      </c>
      <c r="C30" s="10">
        <v>9</v>
      </c>
      <c r="D30" s="10">
        <v>39</v>
      </c>
      <c r="E30" s="16">
        <v>365</v>
      </c>
      <c r="F30" s="22">
        <v>1E-4</v>
      </c>
      <c r="G30" s="10">
        <v>900</v>
      </c>
      <c r="H30" s="13">
        <v>1.4E-3</v>
      </c>
      <c r="I30" s="18">
        <v>10950</v>
      </c>
      <c r="J30" s="20">
        <v>1</v>
      </c>
      <c r="K30" s="19">
        <f t="shared" si="0"/>
        <v>7.6923076923076926E-5</v>
      </c>
      <c r="L30" s="2">
        <f t="shared" si="1"/>
        <v>3.8461538461538462E-4</v>
      </c>
      <c r="M30" s="2">
        <f t="shared" si="2"/>
        <v>7.6923076923076923E-4</v>
      </c>
      <c r="N30" s="2">
        <f t="shared" si="3"/>
        <v>1.153846153846154E-3</v>
      </c>
      <c r="O30" s="2">
        <f t="shared" si="4"/>
        <v>1.5384615384615385E-3</v>
      </c>
      <c r="P30" s="2">
        <f t="shared" si="5"/>
        <v>1.9230769230769232E-3</v>
      </c>
      <c r="Q30" s="2">
        <f t="shared" si="6"/>
        <v>2.3076923076923079E-3</v>
      </c>
      <c r="R30" s="2">
        <f t="shared" si="7"/>
        <v>5.4945054945054944E-2</v>
      </c>
      <c r="S30" s="2">
        <f t="shared" si="8"/>
        <v>0.27472527472527475</v>
      </c>
      <c r="T30" s="2">
        <f t="shared" si="9"/>
        <v>0.5494505494505495</v>
      </c>
      <c r="U30" s="2">
        <f t="shared" si="10"/>
        <v>0.82417582417582425</v>
      </c>
      <c r="V30" s="2">
        <f t="shared" si="11"/>
        <v>1.098901098901099</v>
      </c>
      <c r="W30" s="2">
        <f t="shared" si="12"/>
        <v>1.3736263736263736</v>
      </c>
      <c r="X30" s="2">
        <f t="shared" si="13"/>
        <v>1.6483516483516485</v>
      </c>
      <c r="Y30" s="5" t="str">
        <f t="shared" si="15"/>
        <v>2</v>
      </c>
      <c r="Z30" s="5" t="str">
        <f t="shared" si="15"/>
        <v>2</v>
      </c>
      <c r="AA30" s="5" t="str">
        <f t="shared" si="15"/>
        <v>2</v>
      </c>
      <c r="AB30" s="5" t="str">
        <f t="shared" si="15"/>
        <v>2</v>
      </c>
      <c r="AC30" s="5" t="str">
        <f t="shared" si="15"/>
        <v>1</v>
      </c>
      <c r="AD30" s="5" t="str">
        <f t="shared" si="15"/>
        <v>1</v>
      </c>
      <c r="AE30" s="5" t="str">
        <f t="shared" si="15"/>
        <v>1</v>
      </c>
    </row>
    <row r="31" spans="1:31" ht="14.4" x14ac:dyDescent="0.3">
      <c r="A31" s="14">
        <v>28</v>
      </c>
      <c r="B31" s="15" t="s">
        <v>133</v>
      </c>
      <c r="C31" s="10">
        <v>9</v>
      </c>
      <c r="D31" s="10">
        <v>26</v>
      </c>
      <c r="E31" s="16">
        <v>365</v>
      </c>
      <c r="F31" s="22">
        <v>1E-4</v>
      </c>
      <c r="G31" s="10">
        <v>900</v>
      </c>
      <c r="H31" s="13">
        <v>1.4E-3</v>
      </c>
      <c r="I31" s="18">
        <v>10950</v>
      </c>
      <c r="J31" s="20">
        <v>9</v>
      </c>
      <c r="K31" s="19">
        <f t="shared" si="0"/>
        <v>1.0384615384615387E-3</v>
      </c>
      <c r="L31" s="2">
        <f t="shared" si="1"/>
        <v>5.7692307692307698E-4</v>
      </c>
      <c r="M31" s="2">
        <f t="shared" si="2"/>
        <v>1.153846153846154E-3</v>
      </c>
      <c r="N31" s="2">
        <f t="shared" si="3"/>
        <v>1.7307692307692308E-3</v>
      </c>
      <c r="O31" s="2">
        <f t="shared" si="4"/>
        <v>2.3076923076923079E-3</v>
      </c>
      <c r="P31" s="2">
        <f t="shared" si="5"/>
        <v>2.8846153846153848E-3</v>
      </c>
      <c r="Q31" s="2">
        <f t="shared" si="6"/>
        <v>3.4615384615384616E-3</v>
      </c>
      <c r="R31" s="2">
        <f t="shared" si="7"/>
        <v>0.7417582417582419</v>
      </c>
      <c r="S31" s="2">
        <f t="shared" si="8"/>
        <v>0.41208791208791212</v>
      </c>
      <c r="T31" s="2">
        <f t="shared" si="9"/>
        <v>0.82417582417582425</v>
      </c>
      <c r="U31" s="2">
        <f t="shared" si="10"/>
        <v>1.2362637362637363</v>
      </c>
      <c r="V31" s="2">
        <f t="shared" si="11"/>
        <v>1.6483516483516485</v>
      </c>
      <c r="W31" s="2">
        <f t="shared" si="12"/>
        <v>2.0604395604395607</v>
      </c>
      <c r="X31" s="2">
        <f t="shared" si="13"/>
        <v>2.4725274725274726</v>
      </c>
      <c r="Y31" s="5" t="str">
        <f t="shared" si="15"/>
        <v>2</v>
      </c>
      <c r="Z31" s="5" t="str">
        <f t="shared" si="15"/>
        <v>2</v>
      </c>
      <c r="AA31" s="5" t="str">
        <f t="shared" si="15"/>
        <v>2</v>
      </c>
      <c r="AB31" s="5" t="str">
        <f t="shared" si="15"/>
        <v>1</v>
      </c>
      <c r="AC31" s="5" t="str">
        <f t="shared" si="15"/>
        <v>1</v>
      </c>
      <c r="AD31" s="5" t="str">
        <f t="shared" si="15"/>
        <v>1</v>
      </c>
      <c r="AE31" s="5" t="str">
        <f t="shared" si="15"/>
        <v>1</v>
      </c>
    </row>
    <row r="32" spans="1:31" ht="14.4" x14ac:dyDescent="0.3">
      <c r="A32" s="14">
        <v>29</v>
      </c>
      <c r="B32" s="15" t="s">
        <v>134</v>
      </c>
      <c r="C32" s="10">
        <v>9</v>
      </c>
      <c r="D32" s="10">
        <v>25</v>
      </c>
      <c r="E32" s="16">
        <v>365</v>
      </c>
      <c r="F32" s="22">
        <v>1E-4</v>
      </c>
      <c r="G32" s="10">
        <v>900</v>
      </c>
      <c r="H32" s="13">
        <v>1.4E-3</v>
      </c>
      <c r="I32" s="18">
        <v>10950</v>
      </c>
      <c r="J32" s="20">
        <v>9</v>
      </c>
      <c r="K32" s="19">
        <f t="shared" si="0"/>
        <v>1.0800000000000002E-3</v>
      </c>
      <c r="L32" s="2">
        <f t="shared" si="1"/>
        <v>5.9999999999999995E-4</v>
      </c>
      <c r="M32" s="2">
        <f t="shared" si="2"/>
        <v>1.1999999999999999E-3</v>
      </c>
      <c r="N32" s="2">
        <f t="shared" si="3"/>
        <v>1.8E-3</v>
      </c>
      <c r="O32" s="2">
        <f t="shared" si="4"/>
        <v>2.3999999999999998E-3</v>
      </c>
      <c r="P32" s="2">
        <f t="shared" si="5"/>
        <v>3.0000000000000001E-3</v>
      </c>
      <c r="Q32" s="2">
        <f t="shared" si="6"/>
        <v>3.5999999999999999E-3</v>
      </c>
      <c r="R32" s="2">
        <f t="shared" si="7"/>
        <v>0.77142857142857157</v>
      </c>
      <c r="S32" s="2">
        <f t="shared" si="8"/>
        <v>0.42857142857142855</v>
      </c>
      <c r="T32" s="2">
        <f t="shared" si="9"/>
        <v>0.8571428571428571</v>
      </c>
      <c r="U32" s="2">
        <f t="shared" si="10"/>
        <v>1.2857142857142856</v>
      </c>
      <c r="V32" s="2">
        <f t="shared" si="11"/>
        <v>1.7142857142857142</v>
      </c>
      <c r="W32" s="2">
        <f t="shared" si="12"/>
        <v>2.1428571428571428</v>
      </c>
      <c r="X32" s="2">
        <f t="shared" si="13"/>
        <v>2.5714285714285712</v>
      </c>
      <c r="Y32" s="5" t="str">
        <f t="shared" si="15"/>
        <v>2</v>
      </c>
      <c r="Z32" s="5" t="str">
        <f t="shared" si="15"/>
        <v>2</v>
      </c>
      <c r="AA32" s="5" t="str">
        <f t="shared" si="15"/>
        <v>2</v>
      </c>
      <c r="AB32" s="5" t="str">
        <f t="shared" si="15"/>
        <v>1</v>
      </c>
      <c r="AC32" s="5" t="str">
        <f t="shared" si="15"/>
        <v>1</v>
      </c>
      <c r="AD32" s="5" t="str">
        <f t="shared" si="15"/>
        <v>1</v>
      </c>
      <c r="AE32" s="5" t="str">
        <f t="shared" si="15"/>
        <v>1</v>
      </c>
    </row>
    <row r="33" spans="1:31" ht="14.4" x14ac:dyDescent="0.3">
      <c r="A33" s="14">
        <v>30</v>
      </c>
      <c r="B33" s="15" t="s">
        <v>135</v>
      </c>
      <c r="C33" s="10">
        <v>10</v>
      </c>
      <c r="D33" s="10">
        <v>25</v>
      </c>
      <c r="E33" s="16">
        <v>365</v>
      </c>
      <c r="F33" s="22">
        <v>1E-4</v>
      </c>
      <c r="G33" s="10">
        <v>900</v>
      </c>
      <c r="H33" s="13">
        <v>1.4E-3</v>
      </c>
      <c r="I33" s="18">
        <v>10950</v>
      </c>
      <c r="J33" s="20">
        <v>10</v>
      </c>
      <c r="K33" s="19">
        <f t="shared" si="0"/>
        <v>1.1999999999999999E-3</v>
      </c>
      <c r="L33" s="2">
        <f t="shared" si="1"/>
        <v>5.9999999999999995E-4</v>
      </c>
      <c r="M33" s="2">
        <f t="shared" si="2"/>
        <v>1.1999999999999999E-3</v>
      </c>
      <c r="N33" s="2">
        <f t="shared" si="3"/>
        <v>1.8E-3</v>
      </c>
      <c r="O33" s="2">
        <f t="shared" si="4"/>
        <v>2.3999999999999998E-3</v>
      </c>
      <c r="P33" s="2">
        <f t="shared" si="5"/>
        <v>3.0000000000000001E-3</v>
      </c>
      <c r="Q33" s="2">
        <f t="shared" si="6"/>
        <v>3.5999999999999999E-3</v>
      </c>
      <c r="R33" s="2">
        <f t="shared" si="7"/>
        <v>0.8571428571428571</v>
      </c>
      <c r="S33" s="2">
        <f t="shared" si="8"/>
        <v>0.42857142857142855</v>
      </c>
      <c r="T33" s="2">
        <f t="shared" si="9"/>
        <v>0.8571428571428571</v>
      </c>
      <c r="U33" s="2">
        <f t="shared" si="10"/>
        <v>1.2857142857142856</v>
      </c>
      <c r="V33" s="2">
        <f t="shared" si="11"/>
        <v>1.7142857142857142</v>
      </c>
      <c r="W33" s="2">
        <f t="shared" si="12"/>
        <v>2.1428571428571428</v>
      </c>
      <c r="X33" s="2">
        <f t="shared" si="13"/>
        <v>2.5714285714285712</v>
      </c>
      <c r="Y33" s="5" t="str">
        <f t="shared" si="15"/>
        <v>2</v>
      </c>
      <c r="Z33" s="5" t="str">
        <f t="shared" si="15"/>
        <v>2</v>
      </c>
      <c r="AA33" s="5" t="str">
        <f t="shared" si="15"/>
        <v>2</v>
      </c>
      <c r="AB33" s="5" t="str">
        <f t="shared" si="15"/>
        <v>1</v>
      </c>
      <c r="AC33" s="5" t="str">
        <f t="shared" si="15"/>
        <v>1</v>
      </c>
      <c r="AD33" s="5" t="str">
        <f t="shared" si="15"/>
        <v>1</v>
      </c>
      <c r="AE33" s="5" t="str">
        <f t="shared" si="15"/>
        <v>1</v>
      </c>
    </row>
    <row r="34" spans="1:31" ht="14.4" x14ac:dyDescent="0.3">
      <c r="A34" s="14">
        <v>31</v>
      </c>
      <c r="B34" s="15" t="s">
        <v>136</v>
      </c>
      <c r="C34" s="10">
        <v>10</v>
      </c>
      <c r="D34" s="10">
        <v>33</v>
      </c>
      <c r="E34" s="16">
        <v>365</v>
      </c>
      <c r="F34" s="22">
        <v>1E-4</v>
      </c>
      <c r="G34" s="10">
        <v>900</v>
      </c>
      <c r="H34" s="13">
        <v>1.4E-3</v>
      </c>
      <c r="I34" s="18">
        <v>10950</v>
      </c>
      <c r="J34" s="20">
        <v>10</v>
      </c>
      <c r="K34" s="19">
        <f t="shared" si="0"/>
        <v>9.0909090909090909E-4</v>
      </c>
      <c r="L34" s="2">
        <f t="shared" si="1"/>
        <v>4.5454545454545455E-4</v>
      </c>
      <c r="M34" s="2">
        <f t="shared" si="2"/>
        <v>9.0909090909090909E-4</v>
      </c>
      <c r="N34" s="2">
        <f t="shared" si="3"/>
        <v>1.3636363636363637E-3</v>
      </c>
      <c r="O34" s="2">
        <f t="shared" si="4"/>
        <v>1.8181818181818182E-3</v>
      </c>
      <c r="P34" s="2">
        <f t="shared" si="5"/>
        <v>2.2727272727272726E-3</v>
      </c>
      <c r="Q34" s="2">
        <f t="shared" si="6"/>
        <v>2.7272727272727275E-3</v>
      </c>
      <c r="R34" s="2">
        <f t="shared" si="7"/>
        <v>0.64935064935064934</v>
      </c>
      <c r="S34" s="2">
        <f t="shared" si="8"/>
        <v>0.32467532467532467</v>
      </c>
      <c r="T34" s="2">
        <f t="shared" si="9"/>
        <v>0.64935064935064934</v>
      </c>
      <c r="U34" s="2">
        <f t="shared" si="10"/>
        <v>0.97402597402597413</v>
      </c>
      <c r="V34" s="2">
        <f t="shared" si="11"/>
        <v>1.2987012987012987</v>
      </c>
      <c r="W34" s="2">
        <f t="shared" si="12"/>
        <v>1.6233766233766234</v>
      </c>
      <c r="X34" s="2">
        <f t="shared" si="13"/>
        <v>1.9480519480519483</v>
      </c>
      <c r="Y34" s="5" t="str">
        <f t="shared" si="15"/>
        <v>2</v>
      </c>
      <c r="Z34" s="5" t="str">
        <f t="shared" si="15"/>
        <v>2</v>
      </c>
      <c r="AA34" s="5" t="str">
        <f t="shared" si="15"/>
        <v>2</v>
      </c>
      <c r="AB34" s="5" t="str">
        <f t="shared" si="15"/>
        <v>2</v>
      </c>
      <c r="AC34" s="5" t="str">
        <f t="shared" si="15"/>
        <v>1</v>
      </c>
      <c r="AD34" s="5" t="str">
        <f t="shared" si="15"/>
        <v>1</v>
      </c>
      <c r="AE34" s="5" t="str">
        <f t="shared" si="15"/>
        <v>1</v>
      </c>
    </row>
    <row r="35" spans="1:31" ht="14.4" x14ac:dyDescent="0.3">
      <c r="A35" s="14">
        <v>32</v>
      </c>
      <c r="B35" s="15" t="s">
        <v>137</v>
      </c>
      <c r="C35" s="10">
        <v>10</v>
      </c>
      <c r="D35" s="10">
        <v>25</v>
      </c>
      <c r="E35" s="16">
        <v>365</v>
      </c>
      <c r="F35" s="22">
        <v>1E-4</v>
      </c>
      <c r="G35" s="10">
        <v>900</v>
      </c>
      <c r="H35" s="13">
        <v>1.4E-3</v>
      </c>
      <c r="I35" s="18">
        <v>10950</v>
      </c>
      <c r="J35" s="20">
        <v>10</v>
      </c>
      <c r="K35" s="19">
        <f t="shared" si="0"/>
        <v>1.1999999999999999E-3</v>
      </c>
      <c r="L35" s="2">
        <f t="shared" si="1"/>
        <v>5.9999999999999995E-4</v>
      </c>
      <c r="M35" s="2">
        <f t="shared" si="2"/>
        <v>1.1999999999999999E-3</v>
      </c>
      <c r="N35" s="2">
        <f t="shared" si="3"/>
        <v>1.8E-3</v>
      </c>
      <c r="O35" s="2">
        <f t="shared" si="4"/>
        <v>2.3999999999999998E-3</v>
      </c>
      <c r="P35" s="2">
        <f t="shared" si="5"/>
        <v>3.0000000000000001E-3</v>
      </c>
      <c r="Q35" s="2">
        <f t="shared" si="6"/>
        <v>3.5999999999999999E-3</v>
      </c>
      <c r="R35" s="2">
        <f t="shared" si="7"/>
        <v>0.8571428571428571</v>
      </c>
      <c r="S35" s="2">
        <f t="shared" si="8"/>
        <v>0.42857142857142855</v>
      </c>
      <c r="T35" s="2">
        <f t="shared" si="9"/>
        <v>0.8571428571428571</v>
      </c>
      <c r="U35" s="2">
        <f t="shared" si="10"/>
        <v>1.2857142857142856</v>
      </c>
      <c r="V35" s="2">
        <f t="shared" si="11"/>
        <v>1.7142857142857142</v>
      </c>
      <c r="W35" s="2">
        <f t="shared" si="12"/>
        <v>2.1428571428571428</v>
      </c>
      <c r="X35" s="2">
        <f t="shared" si="13"/>
        <v>2.5714285714285712</v>
      </c>
      <c r="Y35" s="5" t="str">
        <f t="shared" si="15"/>
        <v>2</v>
      </c>
      <c r="Z35" s="5" t="str">
        <f t="shared" si="15"/>
        <v>2</v>
      </c>
      <c r="AA35" s="5" t="str">
        <f t="shared" si="15"/>
        <v>2</v>
      </c>
      <c r="AB35" s="5" t="str">
        <f t="shared" si="15"/>
        <v>1</v>
      </c>
      <c r="AC35" s="5" t="str">
        <f t="shared" si="15"/>
        <v>1</v>
      </c>
      <c r="AD35" s="5" t="str">
        <f t="shared" si="15"/>
        <v>1</v>
      </c>
      <c r="AE35" s="5" t="str">
        <f t="shared" si="15"/>
        <v>1</v>
      </c>
    </row>
    <row r="36" spans="1:31" ht="14.4" x14ac:dyDescent="0.3">
      <c r="A36" s="14">
        <v>33</v>
      </c>
      <c r="B36" s="15" t="s">
        <v>138</v>
      </c>
      <c r="C36" s="10">
        <v>10</v>
      </c>
      <c r="D36" s="10">
        <v>25</v>
      </c>
      <c r="E36" s="16">
        <v>365</v>
      </c>
      <c r="F36" s="22">
        <v>1E-4</v>
      </c>
      <c r="G36" s="10">
        <v>900</v>
      </c>
      <c r="H36" s="13">
        <v>1.4E-3</v>
      </c>
      <c r="I36" s="18">
        <v>10950</v>
      </c>
      <c r="J36" s="20">
        <v>10</v>
      </c>
      <c r="K36" s="19">
        <f t="shared" si="0"/>
        <v>1.1999999999999999E-3</v>
      </c>
      <c r="L36" s="2">
        <f t="shared" si="1"/>
        <v>5.9999999999999995E-4</v>
      </c>
      <c r="M36" s="2">
        <f t="shared" si="2"/>
        <v>1.1999999999999999E-3</v>
      </c>
      <c r="N36" s="2">
        <f t="shared" si="3"/>
        <v>1.8E-3</v>
      </c>
      <c r="O36" s="2">
        <f t="shared" si="4"/>
        <v>2.3999999999999998E-3</v>
      </c>
      <c r="P36" s="2">
        <f t="shared" si="5"/>
        <v>3.0000000000000001E-3</v>
      </c>
      <c r="Q36" s="2">
        <f t="shared" si="6"/>
        <v>3.5999999999999999E-3</v>
      </c>
      <c r="R36" s="2">
        <f t="shared" si="7"/>
        <v>0.8571428571428571</v>
      </c>
      <c r="S36" s="2">
        <f t="shared" si="8"/>
        <v>0.42857142857142855</v>
      </c>
      <c r="T36" s="2">
        <f t="shared" si="9"/>
        <v>0.8571428571428571</v>
      </c>
      <c r="U36" s="2">
        <f t="shared" si="10"/>
        <v>1.2857142857142856</v>
      </c>
      <c r="V36" s="2">
        <f t="shared" si="11"/>
        <v>1.7142857142857142</v>
      </c>
      <c r="W36" s="2">
        <f t="shared" si="12"/>
        <v>2.1428571428571428</v>
      </c>
      <c r="X36" s="2">
        <f t="shared" si="13"/>
        <v>2.5714285714285712</v>
      </c>
      <c r="Y36" s="5" t="str">
        <f t="shared" si="15"/>
        <v>2</v>
      </c>
      <c r="Z36" s="5" t="str">
        <f t="shared" si="15"/>
        <v>2</v>
      </c>
      <c r="AA36" s="5" t="str">
        <f t="shared" si="15"/>
        <v>2</v>
      </c>
      <c r="AB36" s="5" t="str">
        <f t="shared" si="15"/>
        <v>1</v>
      </c>
      <c r="AC36" s="5" t="str">
        <f t="shared" si="15"/>
        <v>1</v>
      </c>
      <c r="AD36" s="5" t="str">
        <f t="shared" si="15"/>
        <v>1</v>
      </c>
      <c r="AE36" s="5" t="str">
        <f t="shared" si="15"/>
        <v>1</v>
      </c>
    </row>
    <row r="37" spans="1:31" ht="14.4" x14ac:dyDescent="0.3">
      <c r="A37" s="14">
        <v>34</v>
      </c>
      <c r="B37" s="15" t="s">
        <v>139</v>
      </c>
      <c r="C37" s="10">
        <v>10</v>
      </c>
      <c r="D37" s="10">
        <v>33</v>
      </c>
      <c r="E37" s="17">
        <v>365</v>
      </c>
      <c r="F37" s="22">
        <v>1E-4</v>
      </c>
      <c r="G37" s="10">
        <v>900</v>
      </c>
      <c r="H37" s="13">
        <v>1.4E-3</v>
      </c>
      <c r="I37" s="18">
        <v>10950</v>
      </c>
      <c r="J37" s="20">
        <v>10</v>
      </c>
      <c r="K37" s="19">
        <f t="shared" si="0"/>
        <v>9.0909090909090909E-4</v>
      </c>
      <c r="L37" s="2">
        <f t="shared" si="1"/>
        <v>4.5454545454545455E-4</v>
      </c>
      <c r="M37" s="2">
        <f t="shared" si="2"/>
        <v>9.0909090909090909E-4</v>
      </c>
      <c r="N37" s="2">
        <f t="shared" si="3"/>
        <v>1.3636363636363637E-3</v>
      </c>
      <c r="O37" s="2">
        <f t="shared" si="4"/>
        <v>1.8181818181818182E-3</v>
      </c>
      <c r="P37" s="2">
        <f t="shared" si="5"/>
        <v>2.2727272727272726E-3</v>
      </c>
      <c r="Q37" s="2">
        <f t="shared" si="6"/>
        <v>2.7272727272727275E-3</v>
      </c>
      <c r="R37" s="2">
        <f t="shared" si="7"/>
        <v>0.64935064935064934</v>
      </c>
      <c r="S37" s="2">
        <f t="shared" si="8"/>
        <v>0.32467532467532467</v>
      </c>
      <c r="T37" s="2">
        <f t="shared" si="9"/>
        <v>0.64935064935064934</v>
      </c>
      <c r="U37" s="2">
        <f t="shared" si="10"/>
        <v>0.97402597402597413</v>
      </c>
      <c r="V37" s="2">
        <f t="shared" si="11"/>
        <v>1.2987012987012987</v>
      </c>
      <c r="W37" s="2">
        <f t="shared" si="12"/>
        <v>1.6233766233766234</v>
      </c>
      <c r="X37" s="2">
        <f t="shared" si="13"/>
        <v>1.9480519480519483</v>
      </c>
      <c r="Y37" s="5" t="str">
        <f t="shared" si="15"/>
        <v>2</v>
      </c>
      <c r="Z37" s="5" t="str">
        <f t="shared" si="15"/>
        <v>2</v>
      </c>
      <c r="AA37" s="5" t="str">
        <f t="shared" si="15"/>
        <v>2</v>
      </c>
      <c r="AB37" s="5" t="str">
        <f t="shared" si="15"/>
        <v>2</v>
      </c>
      <c r="AC37" s="5" t="str">
        <f t="shared" si="15"/>
        <v>1</v>
      </c>
      <c r="AD37" s="5" t="str">
        <f t="shared" si="15"/>
        <v>1</v>
      </c>
      <c r="AE37" s="5" t="str">
        <f t="shared" si="15"/>
        <v>1</v>
      </c>
    </row>
    <row r="38" spans="1:31" ht="14.4" x14ac:dyDescent="0.3">
      <c r="A38" s="14">
        <v>35</v>
      </c>
      <c r="B38" s="15" t="s">
        <v>140</v>
      </c>
      <c r="C38" s="10">
        <v>10</v>
      </c>
      <c r="D38" s="10">
        <v>25</v>
      </c>
      <c r="E38" s="17">
        <v>365</v>
      </c>
      <c r="F38" s="22">
        <v>1E-4</v>
      </c>
      <c r="G38" s="10">
        <v>900</v>
      </c>
      <c r="H38" s="13">
        <v>1.4E-3</v>
      </c>
      <c r="I38" s="18">
        <v>10950</v>
      </c>
      <c r="J38" s="20">
        <v>10</v>
      </c>
      <c r="K38" s="19">
        <f t="shared" si="0"/>
        <v>1.1999999999999999E-3</v>
      </c>
      <c r="L38" s="2">
        <f t="shared" si="1"/>
        <v>5.9999999999999995E-4</v>
      </c>
      <c r="M38" s="2">
        <f t="shared" si="2"/>
        <v>1.1999999999999999E-3</v>
      </c>
      <c r="N38" s="2">
        <f t="shared" si="3"/>
        <v>1.8E-3</v>
      </c>
      <c r="O38" s="2">
        <f t="shared" si="4"/>
        <v>2.3999999999999998E-3</v>
      </c>
      <c r="P38" s="2">
        <f t="shared" si="5"/>
        <v>3.0000000000000001E-3</v>
      </c>
      <c r="Q38" s="2">
        <f t="shared" si="6"/>
        <v>3.5999999999999999E-3</v>
      </c>
      <c r="R38" s="2">
        <f t="shared" si="7"/>
        <v>0.8571428571428571</v>
      </c>
      <c r="S38" s="2">
        <f t="shared" si="8"/>
        <v>0.42857142857142855</v>
      </c>
      <c r="T38" s="2">
        <f t="shared" si="9"/>
        <v>0.8571428571428571</v>
      </c>
      <c r="U38" s="2">
        <f t="shared" si="10"/>
        <v>1.2857142857142856</v>
      </c>
      <c r="V38" s="2">
        <f t="shared" si="11"/>
        <v>1.7142857142857142</v>
      </c>
      <c r="W38" s="2">
        <f t="shared" si="12"/>
        <v>2.1428571428571428</v>
      </c>
      <c r="X38" s="2">
        <f t="shared" si="13"/>
        <v>2.5714285714285712</v>
      </c>
      <c r="Y38" s="5" t="str">
        <f t="shared" si="15"/>
        <v>2</v>
      </c>
      <c r="Z38" s="5" t="str">
        <f t="shared" si="15"/>
        <v>2</v>
      </c>
      <c r="AA38" s="5" t="str">
        <f t="shared" si="15"/>
        <v>2</v>
      </c>
      <c r="AB38" s="5" t="str">
        <f t="shared" si="15"/>
        <v>1</v>
      </c>
      <c r="AC38" s="5" t="str">
        <f t="shared" si="15"/>
        <v>1</v>
      </c>
      <c r="AD38" s="5" t="str">
        <f t="shared" si="15"/>
        <v>1</v>
      </c>
      <c r="AE38" s="5" t="str">
        <f t="shared" si="15"/>
        <v>1</v>
      </c>
    </row>
    <row r="39" spans="1:31" ht="14.4" x14ac:dyDescent="0.3">
      <c r="A39" s="14">
        <v>36</v>
      </c>
      <c r="B39" s="15" t="s">
        <v>141</v>
      </c>
      <c r="C39" s="10">
        <v>10</v>
      </c>
      <c r="D39" s="10">
        <v>24</v>
      </c>
      <c r="E39" s="17">
        <v>365</v>
      </c>
      <c r="F39" s="22">
        <v>1E-4</v>
      </c>
      <c r="G39" s="10">
        <v>900</v>
      </c>
      <c r="H39" s="13">
        <v>1.4E-3</v>
      </c>
      <c r="I39" s="18">
        <v>10950</v>
      </c>
      <c r="J39" s="20">
        <v>1</v>
      </c>
      <c r="K39" s="19">
        <f t="shared" si="0"/>
        <v>1.25E-4</v>
      </c>
      <c r="L39" s="2">
        <f t="shared" si="1"/>
        <v>6.2500000000000001E-4</v>
      </c>
      <c r="M39" s="2">
        <f t="shared" si="2"/>
        <v>1.25E-3</v>
      </c>
      <c r="N39" s="2">
        <f t="shared" si="3"/>
        <v>1.8749999999999999E-3</v>
      </c>
      <c r="O39" s="2">
        <f t="shared" si="4"/>
        <v>2.5000000000000001E-3</v>
      </c>
      <c r="P39" s="2">
        <f t="shared" si="5"/>
        <v>3.1250000000000002E-3</v>
      </c>
      <c r="Q39" s="2">
        <f t="shared" si="6"/>
        <v>3.7499999999999999E-3</v>
      </c>
      <c r="R39" s="2">
        <f t="shared" si="7"/>
        <v>8.9285714285714288E-2</v>
      </c>
      <c r="S39" s="2">
        <f t="shared" si="8"/>
        <v>0.44642857142857145</v>
      </c>
      <c r="T39" s="2">
        <f t="shared" si="9"/>
        <v>0.8928571428571429</v>
      </c>
      <c r="U39" s="2">
        <f t="shared" si="10"/>
        <v>1.3392857142857142</v>
      </c>
      <c r="V39" s="2">
        <f t="shared" si="11"/>
        <v>1.7857142857142858</v>
      </c>
      <c r="W39" s="2">
        <f t="shared" si="12"/>
        <v>2.2321428571428572</v>
      </c>
      <c r="X39" s="2">
        <f t="shared" si="13"/>
        <v>2.6785714285714284</v>
      </c>
      <c r="Y39" s="5" t="str">
        <f t="shared" si="15"/>
        <v>2</v>
      </c>
      <c r="Z39" s="5" t="str">
        <f t="shared" si="15"/>
        <v>2</v>
      </c>
      <c r="AA39" s="5" t="str">
        <f t="shared" si="15"/>
        <v>2</v>
      </c>
      <c r="AB39" s="5" t="str">
        <f t="shared" si="15"/>
        <v>1</v>
      </c>
      <c r="AC39" s="5" t="str">
        <f t="shared" si="15"/>
        <v>1</v>
      </c>
      <c r="AD39" s="5" t="str">
        <f t="shared" si="15"/>
        <v>1</v>
      </c>
      <c r="AE39" s="5" t="str">
        <f t="shared" si="15"/>
        <v>1</v>
      </c>
    </row>
    <row r="40" spans="1:31" ht="14.4" x14ac:dyDescent="0.3">
      <c r="A40" s="14">
        <v>37</v>
      </c>
      <c r="B40" s="15" t="s">
        <v>142</v>
      </c>
      <c r="C40" s="10">
        <v>10</v>
      </c>
      <c r="D40" s="10">
        <v>20</v>
      </c>
      <c r="E40" s="17">
        <v>365</v>
      </c>
      <c r="F40" s="22">
        <v>1E-4</v>
      </c>
      <c r="G40" s="10">
        <v>900</v>
      </c>
      <c r="H40" s="13">
        <v>1.4E-3</v>
      </c>
      <c r="I40" s="18">
        <v>10950</v>
      </c>
      <c r="J40" s="20">
        <v>10</v>
      </c>
      <c r="K40" s="19">
        <f t="shared" si="0"/>
        <v>1.5E-3</v>
      </c>
      <c r="L40" s="2">
        <f t="shared" si="1"/>
        <v>7.5000000000000002E-4</v>
      </c>
      <c r="M40" s="2">
        <f t="shared" si="2"/>
        <v>1.5E-3</v>
      </c>
      <c r="N40" s="2">
        <f t="shared" si="3"/>
        <v>2.2499999999999998E-3</v>
      </c>
      <c r="O40" s="2">
        <f t="shared" si="4"/>
        <v>3.0000000000000001E-3</v>
      </c>
      <c r="P40" s="2">
        <f t="shared" si="5"/>
        <v>3.7499999999999999E-3</v>
      </c>
      <c r="Q40" s="2">
        <f t="shared" si="6"/>
        <v>4.4999999999999997E-3</v>
      </c>
      <c r="R40" s="2">
        <f t="shared" si="7"/>
        <v>1.0714285714285714</v>
      </c>
      <c r="S40" s="2">
        <f t="shared" si="8"/>
        <v>0.5357142857142857</v>
      </c>
      <c r="T40" s="2">
        <f t="shared" si="9"/>
        <v>1.0714285714285714</v>
      </c>
      <c r="U40" s="2">
        <f t="shared" si="10"/>
        <v>1.607142857142857</v>
      </c>
      <c r="V40" s="2">
        <f t="shared" si="11"/>
        <v>2.1428571428571428</v>
      </c>
      <c r="W40" s="2">
        <f t="shared" si="12"/>
        <v>2.6785714285714284</v>
      </c>
      <c r="X40" s="2">
        <f t="shared" si="13"/>
        <v>3.214285714285714</v>
      </c>
      <c r="Y40" s="5" t="str">
        <f t="shared" si="15"/>
        <v>1</v>
      </c>
      <c r="Z40" s="5" t="str">
        <f t="shared" si="15"/>
        <v>2</v>
      </c>
      <c r="AA40" s="5" t="str">
        <f t="shared" si="15"/>
        <v>1</v>
      </c>
      <c r="AB40" s="5" t="str">
        <f t="shared" si="15"/>
        <v>1</v>
      </c>
      <c r="AC40" s="5" t="str">
        <f t="shared" si="15"/>
        <v>1</v>
      </c>
      <c r="AD40" s="5" t="str">
        <f t="shared" si="15"/>
        <v>1</v>
      </c>
      <c r="AE40" s="5" t="str">
        <f t="shared" si="15"/>
        <v>1</v>
      </c>
    </row>
    <row r="41" spans="1:31" ht="14.4" x14ac:dyDescent="0.3">
      <c r="A41" s="14">
        <v>38</v>
      </c>
      <c r="B41" s="15" t="s">
        <v>143</v>
      </c>
      <c r="C41" s="10">
        <v>10</v>
      </c>
      <c r="D41" s="10">
        <v>25</v>
      </c>
      <c r="E41" s="17">
        <v>365</v>
      </c>
      <c r="F41" s="22">
        <v>1E-4</v>
      </c>
      <c r="G41" s="10">
        <v>900</v>
      </c>
      <c r="H41" s="13">
        <v>1.4E-3</v>
      </c>
      <c r="I41" s="18">
        <v>10950</v>
      </c>
      <c r="J41" s="20">
        <v>10</v>
      </c>
      <c r="K41" s="19">
        <f t="shared" si="0"/>
        <v>1.1999999999999999E-3</v>
      </c>
      <c r="L41" s="2">
        <f t="shared" si="1"/>
        <v>5.9999999999999995E-4</v>
      </c>
      <c r="M41" s="2">
        <f t="shared" si="2"/>
        <v>1.1999999999999999E-3</v>
      </c>
      <c r="N41" s="2">
        <f t="shared" si="3"/>
        <v>1.8E-3</v>
      </c>
      <c r="O41" s="2">
        <f t="shared" si="4"/>
        <v>2.3999999999999998E-3</v>
      </c>
      <c r="P41" s="2">
        <f t="shared" si="5"/>
        <v>3.0000000000000001E-3</v>
      </c>
      <c r="Q41" s="2">
        <f t="shared" si="6"/>
        <v>3.5999999999999999E-3</v>
      </c>
      <c r="R41" s="2">
        <f t="shared" si="7"/>
        <v>0.8571428571428571</v>
      </c>
      <c r="S41" s="2">
        <f t="shared" si="8"/>
        <v>0.42857142857142855</v>
      </c>
      <c r="T41" s="2">
        <f t="shared" si="9"/>
        <v>0.8571428571428571</v>
      </c>
      <c r="U41" s="2">
        <f t="shared" si="10"/>
        <v>1.2857142857142856</v>
      </c>
      <c r="V41" s="2">
        <f t="shared" si="11"/>
        <v>1.7142857142857142</v>
      </c>
      <c r="W41" s="2">
        <f t="shared" si="12"/>
        <v>2.1428571428571428</v>
      </c>
      <c r="X41" s="2">
        <f t="shared" si="13"/>
        <v>2.5714285714285712</v>
      </c>
      <c r="Y41" s="5" t="str">
        <f t="shared" si="15"/>
        <v>2</v>
      </c>
      <c r="Z41" s="5" t="str">
        <f t="shared" si="15"/>
        <v>2</v>
      </c>
      <c r="AA41" s="5" t="str">
        <f t="shared" si="15"/>
        <v>2</v>
      </c>
      <c r="AB41" s="5" t="str">
        <f t="shared" si="15"/>
        <v>1</v>
      </c>
      <c r="AC41" s="5" t="str">
        <f t="shared" si="15"/>
        <v>1</v>
      </c>
      <c r="AD41" s="5" t="str">
        <f t="shared" si="15"/>
        <v>1</v>
      </c>
      <c r="AE41" s="5" t="str">
        <f t="shared" si="15"/>
        <v>1</v>
      </c>
    </row>
    <row r="42" spans="1:31" ht="14.4" x14ac:dyDescent="0.3">
      <c r="A42" s="14">
        <v>39</v>
      </c>
      <c r="B42" s="15" t="s">
        <v>144</v>
      </c>
      <c r="C42" s="10">
        <v>10</v>
      </c>
      <c r="D42" s="10">
        <v>30</v>
      </c>
      <c r="E42" s="17">
        <v>365</v>
      </c>
      <c r="F42" s="22">
        <v>1E-4</v>
      </c>
      <c r="G42" s="10">
        <v>900</v>
      </c>
      <c r="H42" s="13">
        <v>1.4E-3</v>
      </c>
      <c r="I42" s="18">
        <v>10950</v>
      </c>
      <c r="J42" s="20">
        <v>10</v>
      </c>
      <c r="K42" s="19">
        <f t="shared" si="0"/>
        <v>1E-3</v>
      </c>
      <c r="L42" s="2">
        <f t="shared" si="1"/>
        <v>5.0000000000000001E-4</v>
      </c>
      <c r="M42" s="2">
        <f t="shared" si="2"/>
        <v>1E-3</v>
      </c>
      <c r="N42" s="2">
        <f t="shared" si="3"/>
        <v>1.5E-3</v>
      </c>
      <c r="O42" s="2">
        <f t="shared" si="4"/>
        <v>2E-3</v>
      </c>
      <c r="P42" s="2">
        <f t="shared" si="5"/>
        <v>2.5000000000000001E-3</v>
      </c>
      <c r="Q42" s="2">
        <f t="shared" si="6"/>
        <v>3.0000000000000001E-3</v>
      </c>
      <c r="R42" s="2">
        <f t="shared" si="7"/>
        <v>0.7142857142857143</v>
      </c>
      <c r="S42" s="2">
        <f t="shared" si="8"/>
        <v>0.35714285714285715</v>
      </c>
      <c r="T42" s="2">
        <f t="shared" si="9"/>
        <v>0.7142857142857143</v>
      </c>
      <c r="U42" s="2">
        <f t="shared" si="10"/>
        <v>1.0714285714285714</v>
      </c>
      <c r="V42" s="2">
        <f t="shared" si="11"/>
        <v>1.4285714285714286</v>
      </c>
      <c r="W42" s="2">
        <f t="shared" si="12"/>
        <v>1.7857142857142858</v>
      </c>
      <c r="X42" s="2">
        <f t="shared" si="13"/>
        <v>2.1428571428571428</v>
      </c>
      <c r="Y42" s="5" t="str">
        <f t="shared" si="15"/>
        <v>2</v>
      </c>
      <c r="Z42" s="5" t="str">
        <f t="shared" si="15"/>
        <v>2</v>
      </c>
      <c r="AA42" s="5" t="str">
        <f t="shared" si="15"/>
        <v>2</v>
      </c>
      <c r="AB42" s="5" t="str">
        <f t="shared" si="15"/>
        <v>1</v>
      </c>
      <c r="AC42" s="5" t="str">
        <f t="shared" si="15"/>
        <v>1</v>
      </c>
      <c r="AD42" s="5" t="str">
        <f t="shared" si="15"/>
        <v>1</v>
      </c>
      <c r="AE42" s="5" t="str">
        <f t="shared" si="15"/>
        <v>1</v>
      </c>
    </row>
    <row r="43" spans="1:31" ht="14.4" x14ac:dyDescent="0.3">
      <c r="A43" s="14">
        <v>40</v>
      </c>
      <c r="B43" s="15" t="s">
        <v>145</v>
      </c>
      <c r="C43" s="10">
        <v>10</v>
      </c>
      <c r="D43" s="10">
        <v>25</v>
      </c>
      <c r="E43" s="17">
        <v>365</v>
      </c>
      <c r="F43" s="22">
        <v>1E-4</v>
      </c>
      <c r="G43" s="10">
        <v>900</v>
      </c>
      <c r="H43" s="13">
        <v>1.4E-3</v>
      </c>
      <c r="I43" s="18">
        <v>10950</v>
      </c>
      <c r="J43" s="20">
        <v>10</v>
      </c>
      <c r="K43" s="19">
        <f t="shared" si="0"/>
        <v>1.1999999999999999E-3</v>
      </c>
      <c r="L43" s="2">
        <f t="shared" si="1"/>
        <v>5.9999999999999995E-4</v>
      </c>
      <c r="M43" s="2">
        <f t="shared" si="2"/>
        <v>1.1999999999999999E-3</v>
      </c>
      <c r="N43" s="2">
        <f t="shared" si="3"/>
        <v>1.8E-3</v>
      </c>
      <c r="O43" s="2">
        <f t="shared" si="4"/>
        <v>2.3999999999999998E-3</v>
      </c>
      <c r="P43" s="2">
        <f t="shared" si="5"/>
        <v>3.0000000000000001E-3</v>
      </c>
      <c r="Q43" s="2">
        <f t="shared" si="6"/>
        <v>3.5999999999999999E-3</v>
      </c>
      <c r="R43" s="2">
        <f t="shared" si="7"/>
        <v>0.8571428571428571</v>
      </c>
      <c r="S43" s="2">
        <f>L43/H43</f>
        <v>0.42857142857142855</v>
      </c>
      <c r="T43" s="2">
        <f t="shared" si="9"/>
        <v>0.8571428571428571</v>
      </c>
      <c r="U43" s="2">
        <f t="shared" si="10"/>
        <v>1.2857142857142856</v>
      </c>
      <c r="V43" s="2">
        <f t="shared" si="11"/>
        <v>1.7142857142857142</v>
      </c>
      <c r="W43" s="2">
        <f t="shared" si="12"/>
        <v>2.1428571428571428</v>
      </c>
      <c r="X43" s="2">
        <f t="shared" si="13"/>
        <v>2.5714285714285712</v>
      </c>
      <c r="Y43" s="5" t="str">
        <f t="shared" si="15"/>
        <v>2</v>
      </c>
      <c r="Z43" s="5" t="str">
        <f t="shared" si="15"/>
        <v>2</v>
      </c>
      <c r="AA43" s="5" t="str">
        <f t="shared" si="15"/>
        <v>2</v>
      </c>
      <c r="AB43" s="5" t="str">
        <f t="shared" si="15"/>
        <v>1</v>
      </c>
      <c r="AC43" s="5" t="str">
        <f t="shared" si="15"/>
        <v>1</v>
      </c>
      <c r="AD43" s="5" t="str">
        <f t="shared" si="15"/>
        <v>1</v>
      </c>
      <c r="AE43" s="5" t="str">
        <f t="shared" si="15"/>
        <v>1</v>
      </c>
    </row>
    <row r="44" spans="1:31" ht="14.4" x14ac:dyDescent="0.3">
      <c r="A44" s="14">
        <v>41</v>
      </c>
      <c r="B44" s="15" t="s">
        <v>146</v>
      </c>
      <c r="C44" s="10">
        <v>10</v>
      </c>
      <c r="D44" s="10">
        <v>37</v>
      </c>
      <c r="E44" s="17">
        <v>365</v>
      </c>
      <c r="F44" s="22">
        <v>1E-4</v>
      </c>
      <c r="G44" s="10">
        <v>900</v>
      </c>
      <c r="H44" s="13">
        <v>1.4E-3</v>
      </c>
      <c r="I44" s="18">
        <v>10950</v>
      </c>
      <c r="J44" s="20">
        <v>10</v>
      </c>
      <c r="K44" s="19">
        <f t="shared" si="0"/>
        <v>8.1081081081081077E-4</v>
      </c>
      <c r="L44" s="2">
        <f t="shared" si="1"/>
        <v>4.0540540540540538E-4</v>
      </c>
      <c r="M44" s="2">
        <f t="shared" si="2"/>
        <v>8.1081081081081077E-4</v>
      </c>
      <c r="N44" s="2">
        <f t="shared" si="3"/>
        <v>1.2162162162162162E-3</v>
      </c>
      <c r="O44" s="2">
        <f t="shared" si="4"/>
        <v>1.6216216216216215E-3</v>
      </c>
      <c r="P44" s="2">
        <f t="shared" si="5"/>
        <v>2.0270270270270271E-3</v>
      </c>
      <c r="Q44" s="2">
        <f t="shared" si="6"/>
        <v>2.4324324324324323E-3</v>
      </c>
      <c r="R44" s="2">
        <f t="shared" si="7"/>
        <v>0.5791505791505791</v>
      </c>
      <c r="S44" s="2">
        <f t="shared" ref="S44:S103" si="16">L44/H44</f>
        <v>0.28957528957528955</v>
      </c>
      <c r="T44" s="2">
        <f t="shared" si="9"/>
        <v>0.5791505791505791</v>
      </c>
      <c r="U44" s="2">
        <f>N44/H44</f>
        <v>0.86872586872586866</v>
      </c>
      <c r="V44" s="2">
        <f>O44/H44</f>
        <v>1.1583011583011582</v>
      </c>
      <c r="W44" s="2">
        <f>P44/H44</f>
        <v>1.4478764478764479</v>
      </c>
      <c r="X44" s="2">
        <f>Q44/H44</f>
        <v>1.7374517374517373</v>
      </c>
      <c r="Y44" s="5" t="str">
        <f t="shared" si="15"/>
        <v>2</v>
      </c>
      <c r="Z44" s="5" t="str">
        <f t="shared" si="15"/>
        <v>2</v>
      </c>
      <c r="AA44" s="5" t="str">
        <f t="shared" si="15"/>
        <v>2</v>
      </c>
      <c r="AB44" s="5" t="str">
        <f t="shared" si="15"/>
        <v>2</v>
      </c>
      <c r="AC44" s="5" t="str">
        <f t="shared" si="15"/>
        <v>1</v>
      </c>
      <c r="AD44" s="5" t="str">
        <f t="shared" si="15"/>
        <v>1</v>
      </c>
      <c r="AE44" s="5" t="str">
        <f t="shared" si="15"/>
        <v>1</v>
      </c>
    </row>
    <row r="45" spans="1:31" ht="14.4" x14ac:dyDescent="0.3">
      <c r="A45" s="14">
        <v>42</v>
      </c>
      <c r="B45" s="15" t="s">
        <v>147</v>
      </c>
      <c r="C45" s="10">
        <v>10</v>
      </c>
      <c r="D45" s="10">
        <v>22</v>
      </c>
      <c r="E45" s="17">
        <v>365</v>
      </c>
      <c r="F45" s="22">
        <v>1E-4</v>
      </c>
      <c r="G45" s="10">
        <v>900</v>
      </c>
      <c r="H45" s="13">
        <v>1.4E-3</v>
      </c>
      <c r="I45" s="18">
        <v>10950</v>
      </c>
      <c r="J45" s="20">
        <v>10</v>
      </c>
      <c r="K45" s="19">
        <f t="shared" si="0"/>
        <v>1.3636363636363637E-3</v>
      </c>
      <c r="L45" s="2">
        <f t="shared" si="1"/>
        <v>6.8181818181818187E-4</v>
      </c>
      <c r="M45" s="2">
        <f t="shared" si="2"/>
        <v>1.3636363636363637E-3</v>
      </c>
      <c r="N45" s="2">
        <f t="shared" si="3"/>
        <v>2.0454545454545456E-3</v>
      </c>
      <c r="O45" s="2">
        <f t="shared" si="4"/>
        <v>2.7272727272727275E-3</v>
      </c>
      <c r="P45" s="2">
        <f t="shared" si="5"/>
        <v>3.4090909090909089E-3</v>
      </c>
      <c r="Q45" s="2">
        <f t="shared" si="6"/>
        <v>4.0909090909090912E-3</v>
      </c>
      <c r="R45" s="2">
        <f t="shared" si="7"/>
        <v>0.97402597402597413</v>
      </c>
      <c r="S45" s="2">
        <f t="shared" si="16"/>
        <v>0.48701298701298706</v>
      </c>
      <c r="T45" s="2">
        <f t="shared" si="9"/>
        <v>0.97402597402597413</v>
      </c>
      <c r="U45" s="2">
        <f>N45/H45</f>
        <v>1.4610389610389611</v>
      </c>
      <c r="V45" s="2">
        <f>O45/H45</f>
        <v>1.9480519480519483</v>
      </c>
      <c r="W45" s="2">
        <f>P45/H45</f>
        <v>2.4350649350649349</v>
      </c>
      <c r="X45" s="2">
        <f>Q45/H45</f>
        <v>2.9220779220779223</v>
      </c>
      <c r="Y45" s="5" t="str">
        <f t="shared" si="15"/>
        <v>2</v>
      </c>
      <c r="Z45" s="5" t="str">
        <f t="shared" si="15"/>
        <v>2</v>
      </c>
      <c r="AA45" s="5" t="str">
        <f t="shared" si="15"/>
        <v>2</v>
      </c>
      <c r="AB45" s="5" t="str">
        <f t="shared" si="15"/>
        <v>1</v>
      </c>
      <c r="AC45" s="5" t="str">
        <f t="shared" si="15"/>
        <v>1</v>
      </c>
      <c r="AD45" s="5" t="str">
        <f t="shared" si="15"/>
        <v>1</v>
      </c>
      <c r="AE45" s="5" t="str">
        <f t="shared" si="15"/>
        <v>1</v>
      </c>
    </row>
    <row r="46" spans="1:31" ht="14.4" x14ac:dyDescent="0.3">
      <c r="A46" s="14">
        <v>43</v>
      </c>
      <c r="B46" s="15" t="s">
        <v>148</v>
      </c>
      <c r="C46" s="10">
        <v>10</v>
      </c>
      <c r="D46" s="10">
        <v>20</v>
      </c>
      <c r="E46" s="17">
        <v>365</v>
      </c>
      <c r="F46" s="22">
        <v>1E-4</v>
      </c>
      <c r="G46" s="10">
        <v>900</v>
      </c>
      <c r="H46" s="13">
        <v>1.4E-3</v>
      </c>
      <c r="I46" s="18">
        <v>10950</v>
      </c>
      <c r="J46" s="20">
        <v>6</v>
      </c>
      <c r="K46" s="19">
        <f t="shared" si="0"/>
        <v>9.0000000000000008E-4</v>
      </c>
      <c r="L46" s="2">
        <f>(F46*G46*E46*5)/(D46*I46)</f>
        <v>7.5000000000000002E-4</v>
      </c>
      <c r="M46" s="2">
        <f t="shared" si="2"/>
        <v>1.5E-3</v>
      </c>
      <c r="N46" s="2">
        <f t="shared" si="3"/>
        <v>2.2499999999999998E-3</v>
      </c>
      <c r="O46" s="2">
        <f t="shared" si="4"/>
        <v>3.0000000000000001E-3</v>
      </c>
      <c r="P46" s="2">
        <f t="shared" si="5"/>
        <v>3.7499999999999999E-3</v>
      </c>
      <c r="Q46" s="2">
        <f t="shared" si="6"/>
        <v>4.4999999999999997E-3</v>
      </c>
      <c r="R46" s="2">
        <f t="shared" si="7"/>
        <v>0.6428571428571429</v>
      </c>
      <c r="S46" s="2">
        <f t="shared" si="16"/>
        <v>0.5357142857142857</v>
      </c>
      <c r="T46" s="2">
        <f t="shared" si="9"/>
        <v>1.0714285714285714</v>
      </c>
      <c r="U46" s="2">
        <f t="shared" ref="U46:U103" si="17">N46/H46</f>
        <v>1.607142857142857</v>
      </c>
      <c r="V46" s="2">
        <f t="shared" ref="V46:V103" si="18">O46/H46</f>
        <v>2.1428571428571428</v>
      </c>
      <c r="W46" s="2">
        <f t="shared" ref="W46:W103" si="19">P46/H46</f>
        <v>2.6785714285714284</v>
      </c>
      <c r="X46" s="2">
        <f t="shared" ref="X46:X103" si="20">Q46/H46</f>
        <v>3.214285714285714</v>
      </c>
      <c r="Y46" s="5" t="str">
        <f t="shared" si="15"/>
        <v>2</v>
      </c>
      <c r="Z46" s="5" t="str">
        <f t="shared" si="15"/>
        <v>2</v>
      </c>
      <c r="AA46" s="5" t="str">
        <f t="shared" si="15"/>
        <v>1</v>
      </c>
      <c r="AB46" s="5" t="str">
        <f t="shared" si="15"/>
        <v>1</v>
      </c>
      <c r="AC46" s="5" t="str">
        <f t="shared" si="15"/>
        <v>1</v>
      </c>
      <c r="AD46" s="5" t="str">
        <f t="shared" si="15"/>
        <v>1</v>
      </c>
      <c r="AE46" s="5" t="str">
        <f t="shared" si="15"/>
        <v>1</v>
      </c>
    </row>
    <row r="47" spans="1:31" ht="14.4" x14ac:dyDescent="0.3">
      <c r="A47" s="14">
        <v>44</v>
      </c>
      <c r="B47" s="15" t="s">
        <v>149</v>
      </c>
      <c r="C47" s="10">
        <v>10</v>
      </c>
      <c r="D47" s="10">
        <v>25</v>
      </c>
      <c r="E47" s="17">
        <v>365</v>
      </c>
      <c r="F47" s="22">
        <v>1E-4</v>
      </c>
      <c r="G47" s="10">
        <v>1500</v>
      </c>
      <c r="H47" s="13">
        <v>1.4E-3</v>
      </c>
      <c r="I47" s="18">
        <v>10950</v>
      </c>
      <c r="J47" s="20">
        <v>6</v>
      </c>
      <c r="K47" s="19">
        <f t="shared" si="0"/>
        <v>1.1999999999999999E-3</v>
      </c>
      <c r="L47" s="2">
        <f t="shared" ref="L47:L103" si="21">(F47*G47*E47*5)/(D47*I47)</f>
        <v>1E-3</v>
      </c>
      <c r="M47" s="2">
        <f t="shared" si="2"/>
        <v>2E-3</v>
      </c>
      <c r="N47" s="2">
        <f t="shared" si="3"/>
        <v>3.0000000000000001E-3</v>
      </c>
      <c r="O47" s="2">
        <f t="shared" si="4"/>
        <v>4.0000000000000001E-3</v>
      </c>
      <c r="P47" s="2">
        <f t="shared" si="5"/>
        <v>5.0000000000000001E-3</v>
      </c>
      <c r="Q47" s="2">
        <f t="shared" si="6"/>
        <v>6.0000000000000001E-3</v>
      </c>
      <c r="R47" s="2">
        <f t="shared" si="7"/>
        <v>0.8571428571428571</v>
      </c>
      <c r="S47" s="2">
        <f t="shared" si="16"/>
        <v>0.7142857142857143</v>
      </c>
      <c r="T47" s="2">
        <f t="shared" si="9"/>
        <v>1.4285714285714286</v>
      </c>
      <c r="U47" s="2">
        <f t="shared" si="17"/>
        <v>2.1428571428571428</v>
      </c>
      <c r="V47" s="2">
        <f t="shared" si="18"/>
        <v>2.8571428571428572</v>
      </c>
      <c r="W47" s="2">
        <f t="shared" si="19"/>
        <v>3.5714285714285716</v>
      </c>
      <c r="X47" s="2">
        <f t="shared" si="20"/>
        <v>4.2857142857142856</v>
      </c>
      <c r="Y47" s="5" t="str">
        <f t="shared" si="15"/>
        <v>2</v>
      </c>
      <c r="Z47" s="5" t="str">
        <f t="shared" si="15"/>
        <v>2</v>
      </c>
      <c r="AA47" s="5" t="str">
        <f t="shared" si="15"/>
        <v>1</v>
      </c>
      <c r="AB47" s="5" t="str">
        <f t="shared" si="15"/>
        <v>1</v>
      </c>
      <c r="AC47" s="5" t="str">
        <f t="shared" si="15"/>
        <v>1</v>
      </c>
      <c r="AD47" s="5" t="str">
        <f t="shared" si="15"/>
        <v>1</v>
      </c>
      <c r="AE47" s="5" t="str">
        <f t="shared" si="15"/>
        <v>1</v>
      </c>
    </row>
    <row r="48" spans="1:31" ht="14.4" x14ac:dyDescent="0.3">
      <c r="A48" s="14">
        <v>45</v>
      </c>
      <c r="B48" s="15" t="s">
        <v>150</v>
      </c>
      <c r="C48" s="10">
        <v>10</v>
      </c>
      <c r="D48" s="10">
        <v>49</v>
      </c>
      <c r="E48" s="17">
        <v>365</v>
      </c>
      <c r="F48" s="22">
        <v>1E-4</v>
      </c>
      <c r="G48" s="10">
        <v>2100</v>
      </c>
      <c r="H48" s="13">
        <v>1.4E-3</v>
      </c>
      <c r="I48" s="18">
        <v>10950</v>
      </c>
      <c r="J48" s="20">
        <v>2</v>
      </c>
      <c r="K48" s="19">
        <f t="shared" si="0"/>
        <v>2.8571428571428574E-4</v>
      </c>
      <c r="L48" s="2">
        <f t="shared" si="21"/>
        <v>7.1428571428571429E-4</v>
      </c>
      <c r="M48" s="2">
        <f t="shared" si="2"/>
        <v>1.4285714285714286E-3</v>
      </c>
      <c r="N48" s="2">
        <f t="shared" si="3"/>
        <v>2.142857142857143E-3</v>
      </c>
      <c r="O48" s="2">
        <f t="shared" si="4"/>
        <v>2.8571428571428571E-3</v>
      </c>
      <c r="P48" s="2">
        <f t="shared" si="5"/>
        <v>3.5714285714285718E-3</v>
      </c>
      <c r="Q48" s="2">
        <f t="shared" si="6"/>
        <v>4.2857142857142859E-3</v>
      </c>
      <c r="R48" s="2">
        <f t="shared" si="7"/>
        <v>0.20408163265306123</v>
      </c>
      <c r="S48" s="2">
        <f t="shared" si="16"/>
        <v>0.51020408163265307</v>
      </c>
      <c r="T48" s="2">
        <f t="shared" si="9"/>
        <v>1.0204081632653061</v>
      </c>
      <c r="U48" s="2">
        <f t="shared" si="17"/>
        <v>1.5306122448979593</v>
      </c>
      <c r="V48" s="2">
        <f t="shared" si="18"/>
        <v>2.0408163265306123</v>
      </c>
      <c r="W48" s="2">
        <f t="shared" si="19"/>
        <v>2.5510204081632657</v>
      </c>
      <c r="X48" s="2">
        <f t="shared" si="20"/>
        <v>3.0612244897959187</v>
      </c>
      <c r="Y48" s="5" t="str">
        <f t="shared" si="15"/>
        <v>2</v>
      </c>
      <c r="Z48" s="5" t="str">
        <f t="shared" si="15"/>
        <v>2</v>
      </c>
      <c r="AA48" s="5" t="str">
        <f t="shared" si="15"/>
        <v>1</v>
      </c>
      <c r="AB48" s="5" t="str">
        <f t="shared" si="15"/>
        <v>1</v>
      </c>
      <c r="AC48" s="5" t="str">
        <f t="shared" si="15"/>
        <v>1</v>
      </c>
      <c r="AD48" s="5" t="str">
        <f t="shared" si="15"/>
        <v>1</v>
      </c>
      <c r="AE48" s="5" t="str">
        <f t="shared" si="15"/>
        <v>1</v>
      </c>
    </row>
    <row r="49" spans="1:31" ht="14.4" x14ac:dyDescent="0.3">
      <c r="A49" s="14">
        <v>46</v>
      </c>
      <c r="B49" s="15" t="s">
        <v>151</v>
      </c>
      <c r="C49" s="10">
        <v>10</v>
      </c>
      <c r="D49" s="10">
        <v>25</v>
      </c>
      <c r="E49" s="17">
        <v>365</v>
      </c>
      <c r="F49" s="22">
        <v>1E-4</v>
      </c>
      <c r="G49" s="10">
        <v>900</v>
      </c>
      <c r="H49" s="13">
        <v>1.4E-3</v>
      </c>
      <c r="I49" s="18">
        <v>10950</v>
      </c>
      <c r="J49" s="20">
        <v>10</v>
      </c>
      <c r="K49" s="19">
        <f t="shared" si="0"/>
        <v>1.1999999999999999E-3</v>
      </c>
      <c r="L49" s="2">
        <f t="shared" si="21"/>
        <v>5.9999999999999995E-4</v>
      </c>
      <c r="M49" s="2">
        <f t="shared" si="2"/>
        <v>1.1999999999999999E-3</v>
      </c>
      <c r="N49" s="2">
        <f t="shared" si="3"/>
        <v>1.8E-3</v>
      </c>
      <c r="O49" s="2">
        <f t="shared" si="4"/>
        <v>2.3999999999999998E-3</v>
      </c>
      <c r="P49" s="2">
        <f t="shared" si="5"/>
        <v>3.0000000000000001E-3</v>
      </c>
      <c r="Q49" s="2">
        <f t="shared" si="6"/>
        <v>3.5999999999999999E-3</v>
      </c>
      <c r="R49" s="2">
        <f t="shared" si="7"/>
        <v>0.8571428571428571</v>
      </c>
      <c r="S49" s="2">
        <f t="shared" si="16"/>
        <v>0.42857142857142855</v>
      </c>
      <c r="T49" s="2">
        <f t="shared" si="9"/>
        <v>0.8571428571428571</v>
      </c>
      <c r="U49" s="2">
        <f t="shared" si="17"/>
        <v>1.2857142857142856</v>
      </c>
      <c r="V49" s="2">
        <f t="shared" si="18"/>
        <v>1.7142857142857142</v>
      </c>
      <c r="W49" s="2">
        <f t="shared" si="19"/>
        <v>2.1428571428571428</v>
      </c>
      <c r="X49" s="2">
        <f t="shared" si="20"/>
        <v>2.5714285714285712</v>
      </c>
      <c r="Y49" s="5" t="str">
        <f t="shared" si="15"/>
        <v>2</v>
      </c>
      <c r="Z49" s="5" t="str">
        <f t="shared" si="15"/>
        <v>2</v>
      </c>
      <c r="AA49" s="5" t="str">
        <f t="shared" si="15"/>
        <v>2</v>
      </c>
      <c r="AB49" s="5" t="str">
        <f t="shared" si="15"/>
        <v>1</v>
      </c>
      <c r="AC49" s="5" t="str">
        <f t="shared" si="15"/>
        <v>1</v>
      </c>
      <c r="AD49" s="5" t="str">
        <f t="shared" si="15"/>
        <v>1</v>
      </c>
      <c r="AE49" s="5" t="str">
        <f t="shared" si="15"/>
        <v>1</v>
      </c>
    </row>
    <row r="50" spans="1:31" ht="14.4" x14ac:dyDescent="0.3">
      <c r="A50" s="14">
        <v>47</v>
      </c>
      <c r="B50" s="15" t="s">
        <v>152</v>
      </c>
      <c r="C50" s="10">
        <v>10</v>
      </c>
      <c r="D50" s="10">
        <v>27</v>
      </c>
      <c r="E50" s="17">
        <v>365</v>
      </c>
      <c r="F50" s="22">
        <v>1E-4</v>
      </c>
      <c r="G50" s="10">
        <v>900</v>
      </c>
      <c r="H50" s="13">
        <v>1.4E-3</v>
      </c>
      <c r="I50" s="18">
        <v>10950</v>
      </c>
      <c r="J50" s="20">
        <v>10</v>
      </c>
      <c r="K50" s="19">
        <f t="shared" si="0"/>
        <v>1.1111111111111111E-3</v>
      </c>
      <c r="L50" s="2">
        <f t="shared" si="21"/>
        <v>5.5555555555555556E-4</v>
      </c>
      <c r="M50" s="2">
        <f t="shared" si="2"/>
        <v>1.1111111111111111E-3</v>
      </c>
      <c r="N50" s="2">
        <f t="shared" si="3"/>
        <v>1.6666666666666668E-3</v>
      </c>
      <c r="O50" s="2">
        <f t="shared" si="4"/>
        <v>2.2222222222222222E-3</v>
      </c>
      <c r="P50" s="2">
        <f t="shared" si="5"/>
        <v>2.7777777777777779E-3</v>
      </c>
      <c r="Q50" s="2">
        <f t="shared" si="6"/>
        <v>3.3333333333333335E-3</v>
      </c>
      <c r="R50" s="2">
        <f t="shared" si="7"/>
        <v>0.79365079365079361</v>
      </c>
      <c r="S50" s="2">
        <f t="shared" si="16"/>
        <v>0.3968253968253968</v>
      </c>
      <c r="T50" s="2">
        <f t="shared" si="9"/>
        <v>0.79365079365079361</v>
      </c>
      <c r="U50" s="2">
        <f t="shared" si="17"/>
        <v>1.1904761904761905</v>
      </c>
      <c r="V50" s="2">
        <f t="shared" si="18"/>
        <v>1.5873015873015872</v>
      </c>
      <c r="W50" s="2">
        <f t="shared" si="19"/>
        <v>1.9841269841269842</v>
      </c>
      <c r="X50" s="2">
        <f t="shared" si="20"/>
        <v>2.3809523809523809</v>
      </c>
      <c r="Y50" s="5" t="str">
        <f t="shared" si="15"/>
        <v>2</v>
      </c>
      <c r="Z50" s="5" t="str">
        <f t="shared" si="15"/>
        <v>2</v>
      </c>
      <c r="AA50" s="5" t="str">
        <f t="shared" si="15"/>
        <v>2</v>
      </c>
      <c r="AB50" s="5" t="str">
        <f t="shared" si="15"/>
        <v>1</v>
      </c>
      <c r="AC50" s="5" t="str">
        <f t="shared" si="15"/>
        <v>1</v>
      </c>
      <c r="AD50" s="5" t="str">
        <f t="shared" si="15"/>
        <v>1</v>
      </c>
      <c r="AE50" s="5" t="str">
        <f t="shared" si="15"/>
        <v>1</v>
      </c>
    </row>
    <row r="51" spans="1:31" ht="14.4" x14ac:dyDescent="0.3">
      <c r="A51" s="14">
        <v>48</v>
      </c>
      <c r="B51" s="15" t="s">
        <v>106</v>
      </c>
      <c r="C51" s="10">
        <v>10</v>
      </c>
      <c r="D51" s="10">
        <v>33</v>
      </c>
      <c r="E51" s="17">
        <v>365</v>
      </c>
      <c r="F51" s="22">
        <v>1E-4</v>
      </c>
      <c r="G51" s="10">
        <v>900</v>
      </c>
      <c r="H51" s="13">
        <v>1.4E-3</v>
      </c>
      <c r="I51" s="18">
        <v>10950</v>
      </c>
      <c r="J51" s="20">
        <v>6</v>
      </c>
      <c r="K51" s="19">
        <f t="shared" si="0"/>
        <v>5.4545454545454548E-4</v>
      </c>
      <c r="L51" s="2">
        <f t="shared" si="21"/>
        <v>4.5454545454545455E-4</v>
      </c>
      <c r="M51" s="2">
        <f t="shared" si="2"/>
        <v>9.0909090909090909E-4</v>
      </c>
      <c r="N51" s="2">
        <f t="shared" si="3"/>
        <v>1.3636363636363637E-3</v>
      </c>
      <c r="O51" s="2">
        <f t="shared" si="4"/>
        <v>1.8181818181818182E-3</v>
      </c>
      <c r="P51" s="2">
        <f t="shared" si="5"/>
        <v>2.2727272727272726E-3</v>
      </c>
      <c r="Q51" s="2">
        <f t="shared" si="6"/>
        <v>2.7272727272727275E-3</v>
      </c>
      <c r="R51" s="2">
        <f t="shared" si="7"/>
        <v>0.38961038961038963</v>
      </c>
      <c r="S51" s="2">
        <f t="shared" si="16"/>
        <v>0.32467532467532467</v>
      </c>
      <c r="T51" s="2">
        <f t="shared" si="9"/>
        <v>0.64935064935064934</v>
      </c>
      <c r="U51" s="2">
        <f t="shared" si="17"/>
        <v>0.97402597402597413</v>
      </c>
      <c r="V51" s="2">
        <f t="shared" si="18"/>
        <v>1.2987012987012987</v>
      </c>
      <c r="W51" s="2">
        <f t="shared" si="19"/>
        <v>1.6233766233766234</v>
      </c>
      <c r="X51" s="2">
        <f t="shared" si="20"/>
        <v>1.9480519480519483</v>
      </c>
      <c r="Y51" s="5" t="str">
        <f t="shared" si="15"/>
        <v>2</v>
      </c>
      <c r="Z51" s="5" t="str">
        <f t="shared" si="15"/>
        <v>2</v>
      </c>
      <c r="AA51" s="5" t="str">
        <f t="shared" si="15"/>
        <v>2</v>
      </c>
      <c r="AB51" s="5" t="str">
        <f t="shared" si="15"/>
        <v>2</v>
      </c>
      <c r="AC51" s="5" t="str">
        <f t="shared" si="15"/>
        <v>1</v>
      </c>
      <c r="AD51" s="5" t="str">
        <f t="shared" si="15"/>
        <v>1</v>
      </c>
      <c r="AE51" s="5" t="str">
        <f t="shared" si="15"/>
        <v>1</v>
      </c>
    </row>
    <row r="52" spans="1:31" ht="14.4" x14ac:dyDescent="0.3">
      <c r="A52" s="14">
        <v>49</v>
      </c>
      <c r="B52" s="15" t="s">
        <v>153</v>
      </c>
      <c r="C52" s="10">
        <v>10</v>
      </c>
      <c r="D52" s="10">
        <v>29</v>
      </c>
      <c r="E52" s="17">
        <v>365</v>
      </c>
      <c r="F52" s="22">
        <v>1E-4</v>
      </c>
      <c r="G52" s="10">
        <v>1500</v>
      </c>
      <c r="H52" s="13">
        <v>1.4E-3</v>
      </c>
      <c r="I52" s="18">
        <v>10950</v>
      </c>
      <c r="J52" s="20">
        <v>8</v>
      </c>
      <c r="K52" s="19">
        <f t="shared" si="0"/>
        <v>1.3793103448275861E-3</v>
      </c>
      <c r="L52" s="2">
        <f t="shared" si="21"/>
        <v>8.6206896551724137E-4</v>
      </c>
      <c r="M52" s="2">
        <f t="shared" si="2"/>
        <v>1.7241379310344827E-3</v>
      </c>
      <c r="N52" s="2">
        <f t="shared" si="3"/>
        <v>2.5862068965517241E-3</v>
      </c>
      <c r="O52" s="2">
        <f t="shared" si="4"/>
        <v>3.4482758620689655E-3</v>
      </c>
      <c r="P52" s="2">
        <f t="shared" si="5"/>
        <v>4.3103448275862068E-3</v>
      </c>
      <c r="Q52" s="2">
        <f t="shared" si="6"/>
        <v>5.1724137931034482E-3</v>
      </c>
      <c r="R52" s="2">
        <f t="shared" si="7"/>
        <v>0.9852216748768472</v>
      </c>
      <c r="S52" s="2">
        <f t="shared" si="16"/>
        <v>0.61576354679802958</v>
      </c>
      <c r="T52" s="2">
        <f t="shared" si="9"/>
        <v>1.2315270935960592</v>
      </c>
      <c r="U52" s="2">
        <f t="shared" si="17"/>
        <v>1.8472906403940887</v>
      </c>
      <c r="V52" s="2">
        <f t="shared" si="18"/>
        <v>2.4630541871921183</v>
      </c>
      <c r="W52" s="2">
        <f t="shared" si="19"/>
        <v>3.0788177339901477</v>
      </c>
      <c r="X52" s="2">
        <f t="shared" si="20"/>
        <v>3.6945812807881775</v>
      </c>
      <c r="Y52" s="5" t="str">
        <f t="shared" si="15"/>
        <v>2</v>
      </c>
      <c r="Z52" s="5" t="str">
        <f t="shared" si="15"/>
        <v>2</v>
      </c>
      <c r="AA52" s="5" t="str">
        <f t="shared" si="15"/>
        <v>1</v>
      </c>
      <c r="AB52" s="5" t="str">
        <f t="shared" si="15"/>
        <v>1</v>
      </c>
      <c r="AC52" s="5" t="str">
        <f t="shared" si="15"/>
        <v>1</v>
      </c>
      <c r="AD52" s="5" t="str">
        <f t="shared" si="15"/>
        <v>1</v>
      </c>
      <c r="AE52" s="5" t="str">
        <f t="shared" si="15"/>
        <v>1</v>
      </c>
    </row>
    <row r="53" spans="1:31" ht="14.4" x14ac:dyDescent="0.3">
      <c r="A53" s="14">
        <v>50</v>
      </c>
      <c r="B53" s="15" t="s">
        <v>154</v>
      </c>
      <c r="C53" s="10">
        <v>10</v>
      </c>
      <c r="D53" s="10">
        <v>39</v>
      </c>
      <c r="E53" s="17">
        <v>365</v>
      </c>
      <c r="F53" s="22">
        <v>1E-4</v>
      </c>
      <c r="G53" s="10">
        <v>900</v>
      </c>
      <c r="H53" s="13">
        <v>1.4E-3</v>
      </c>
      <c r="I53" s="18">
        <v>10950</v>
      </c>
      <c r="J53" s="20">
        <v>8</v>
      </c>
      <c r="K53" s="19">
        <f t="shared" si="0"/>
        <v>6.1538461538461541E-4</v>
      </c>
      <c r="L53" s="2">
        <f t="shared" si="21"/>
        <v>3.8461538461538462E-4</v>
      </c>
      <c r="M53" s="2">
        <f t="shared" si="2"/>
        <v>7.6923076923076923E-4</v>
      </c>
      <c r="N53" s="2">
        <f t="shared" si="3"/>
        <v>1.153846153846154E-3</v>
      </c>
      <c r="O53" s="2">
        <f t="shared" si="4"/>
        <v>1.5384615384615385E-3</v>
      </c>
      <c r="P53" s="2">
        <f t="shared" si="5"/>
        <v>1.9230769230769232E-3</v>
      </c>
      <c r="Q53" s="2">
        <f t="shared" si="6"/>
        <v>2.3076923076923079E-3</v>
      </c>
      <c r="R53" s="2">
        <f t="shared" si="7"/>
        <v>0.43956043956043955</v>
      </c>
      <c r="S53" s="2">
        <f t="shared" si="16"/>
        <v>0.27472527472527475</v>
      </c>
      <c r="T53" s="2">
        <f t="shared" si="9"/>
        <v>0.5494505494505495</v>
      </c>
      <c r="U53" s="2">
        <f t="shared" si="17"/>
        <v>0.82417582417582425</v>
      </c>
      <c r="V53" s="2">
        <f t="shared" si="18"/>
        <v>1.098901098901099</v>
      </c>
      <c r="W53" s="2">
        <f t="shared" si="19"/>
        <v>1.3736263736263736</v>
      </c>
      <c r="X53" s="2">
        <f t="shared" si="20"/>
        <v>1.6483516483516485</v>
      </c>
      <c r="Y53" s="5" t="str">
        <f t="shared" si="15"/>
        <v>2</v>
      </c>
      <c r="Z53" s="5" t="str">
        <f t="shared" si="15"/>
        <v>2</v>
      </c>
      <c r="AA53" s="5" t="str">
        <f t="shared" si="15"/>
        <v>2</v>
      </c>
      <c r="AB53" s="5" t="str">
        <f t="shared" si="15"/>
        <v>2</v>
      </c>
      <c r="AC53" s="5" t="str">
        <f t="shared" si="15"/>
        <v>1</v>
      </c>
      <c r="AD53" s="5" t="str">
        <f t="shared" si="15"/>
        <v>1</v>
      </c>
      <c r="AE53" s="5" t="str">
        <f t="shared" si="15"/>
        <v>1</v>
      </c>
    </row>
    <row r="54" spans="1:31" ht="14.4" x14ac:dyDescent="0.3">
      <c r="A54" s="14">
        <v>51</v>
      </c>
      <c r="B54" s="15" t="s">
        <v>155</v>
      </c>
      <c r="C54" s="10">
        <v>10</v>
      </c>
      <c r="D54" s="10">
        <v>25</v>
      </c>
      <c r="E54" s="17">
        <v>365</v>
      </c>
      <c r="F54" s="22">
        <v>1E-4</v>
      </c>
      <c r="G54" s="10">
        <v>900</v>
      </c>
      <c r="H54" s="13">
        <v>1.4E-3</v>
      </c>
      <c r="I54" s="18">
        <v>10950</v>
      </c>
      <c r="J54" s="20">
        <v>10</v>
      </c>
      <c r="K54" s="19">
        <f t="shared" si="0"/>
        <v>1.1999999999999999E-3</v>
      </c>
      <c r="L54" s="2">
        <f t="shared" si="21"/>
        <v>5.9999999999999995E-4</v>
      </c>
      <c r="M54" s="2">
        <f t="shared" si="2"/>
        <v>1.1999999999999999E-3</v>
      </c>
      <c r="N54" s="2">
        <f t="shared" si="3"/>
        <v>1.8E-3</v>
      </c>
      <c r="O54" s="2">
        <f t="shared" si="4"/>
        <v>2.3999999999999998E-3</v>
      </c>
      <c r="P54" s="2">
        <f t="shared" si="5"/>
        <v>3.0000000000000001E-3</v>
      </c>
      <c r="Q54" s="2">
        <f t="shared" si="6"/>
        <v>3.5999999999999999E-3</v>
      </c>
      <c r="R54" s="2">
        <f t="shared" si="7"/>
        <v>0.8571428571428571</v>
      </c>
      <c r="S54" s="2">
        <f t="shared" si="16"/>
        <v>0.42857142857142855</v>
      </c>
      <c r="T54" s="2">
        <f t="shared" si="9"/>
        <v>0.8571428571428571</v>
      </c>
      <c r="U54" s="2">
        <f t="shared" si="17"/>
        <v>1.2857142857142856</v>
      </c>
      <c r="V54" s="2">
        <f t="shared" si="18"/>
        <v>1.7142857142857142</v>
      </c>
      <c r="W54" s="2">
        <f t="shared" si="19"/>
        <v>2.1428571428571428</v>
      </c>
      <c r="X54" s="2">
        <f t="shared" si="20"/>
        <v>2.5714285714285712</v>
      </c>
      <c r="Y54" s="5" t="str">
        <f t="shared" ref="Y54:AE90" si="22">IF(R54&gt;1,"1","2")</f>
        <v>2</v>
      </c>
      <c r="Z54" s="5" t="str">
        <f t="shared" si="22"/>
        <v>2</v>
      </c>
      <c r="AA54" s="5" t="str">
        <f t="shared" si="22"/>
        <v>2</v>
      </c>
      <c r="AB54" s="5" t="str">
        <f t="shared" si="22"/>
        <v>1</v>
      </c>
      <c r="AC54" s="5" t="str">
        <f t="shared" si="22"/>
        <v>1</v>
      </c>
      <c r="AD54" s="5" t="str">
        <f t="shared" si="22"/>
        <v>1</v>
      </c>
      <c r="AE54" s="5" t="str">
        <f t="shared" si="22"/>
        <v>1</v>
      </c>
    </row>
    <row r="55" spans="1:31" ht="14.4" x14ac:dyDescent="0.3">
      <c r="A55" s="14">
        <v>52</v>
      </c>
      <c r="B55" s="15" t="s">
        <v>156</v>
      </c>
      <c r="C55" s="10">
        <v>10</v>
      </c>
      <c r="D55" s="10">
        <v>25</v>
      </c>
      <c r="E55" s="17">
        <v>365</v>
      </c>
      <c r="F55" s="22">
        <v>1E-4</v>
      </c>
      <c r="G55" s="10">
        <v>900</v>
      </c>
      <c r="H55" s="13">
        <v>1.4E-3</v>
      </c>
      <c r="I55" s="18">
        <v>10950</v>
      </c>
      <c r="J55" s="20">
        <v>10</v>
      </c>
      <c r="K55" s="19">
        <f t="shared" si="0"/>
        <v>1.1999999999999999E-3</v>
      </c>
      <c r="L55" s="2">
        <f t="shared" si="21"/>
        <v>5.9999999999999995E-4</v>
      </c>
      <c r="M55" s="2">
        <f t="shared" si="2"/>
        <v>1.1999999999999999E-3</v>
      </c>
      <c r="N55" s="2">
        <f t="shared" si="3"/>
        <v>1.8E-3</v>
      </c>
      <c r="O55" s="2">
        <f t="shared" si="4"/>
        <v>2.3999999999999998E-3</v>
      </c>
      <c r="P55" s="2">
        <f t="shared" si="5"/>
        <v>3.0000000000000001E-3</v>
      </c>
      <c r="Q55" s="2">
        <f t="shared" si="6"/>
        <v>3.5999999999999999E-3</v>
      </c>
      <c r="R55" s="2">
        <f t="shared" si="7"/>
        <v>0.8571428571428571</v>
      </c>
      <c r="S55" s="2">
        <f t="shared" si="16"/>
        <v>0.42857142857142855</v>
      </c>
      <c r="T55" s="2">
        <f t="shared" si="9"/>
        <v>0.8571428571428571</v>
      </c>
      <c r="U55" s="2">
        <f t="shared" si="17"/>
        <v>1.2857142857142856</v>
      </c>
      <c r="V55" s="2">
        <f t="shared" si="18"/>
        <v>1.7142857142857142</v>
      </c>
      <c r="W55" s="2">
        <f t="shared" si="19"/>
        <v>2.1428571428571428</v>
      </c>
      <c r="X55" s="2">
        <f t="shared" si="20"/>
        <v>2.5714285714285712</v>
      </c>
      <c r="Y55" s="5" t="str">
        <f t="shared" si="22"/>
        <v>2</v>
      </c>
      <c r="Z55" s="5" t="str">
        <f t="shared" si="22"/>
        <v>2</v>
      </c>
      <c r="AA55" s="5" t="str">
        <f t="shared" si="22"/>
        <v>2</v>
      </c>
      <c r="AB55" s="5" t="str">
        <f t="shared" si="22"/>
        <v>1</v>
      </c>
      <c r="AC55" s="5" t="str">
        <f t="shared" si="22"/>
        <v>1</v>
      </c>
      <c r="AD55" s="5" t="str">
        <f t="shared" si="22"/>
        <v>1</v>
      </c>
      <c r="AE55" s="5" t="str">
        <f t="shared" si="22"/>
        <v>1</v>
      </c>
    </row>
    <row r="56" spans="1:31" ht="14.4" x14ac:dyDescent="0.3">
      <c r="A56" s="14">
        <v>53</v>
      </c>
      <c r="B56" s="15" t="s">
        <v>139</v>
      </c>
      <c r="C56" s="10">
        <v>10</v>
      </c>
      <c r="D56" s="10">
        <v>33</v>
      </c>
      <c r="E56" s="17">
        <v>365</v>
      </c>
      <c r="F56" s="22">
        <v>1E-4</v>
      </c>
      <c r="G56" s="10">
        <v>900</v>
      </c>
      <c r="H56" s="13">
        <v>1.4E-3</v>
      </c>
      <c r="I56" s="18">
        <v>10950</v>
      </c>
      <c r="J56" s="20">
        <v>10</v>
      </c>
      <c r="K56" s="19">
        <f t="shared" si="0"/>
        <v>9.0909090909090909E-4</v>
      </c>
      <c r="L56" s="2">
        <f t="shared" si="21"/>
        <v>4.5454545454545455E-4</v>
      </c>
      <c r="M56" s="2">
        <f t="shared" si="2"/>
        <v>9.0909090909090909E-4</v>
      </c>
      <c r="N56" s="2">
        <f t="shared" si="3"/>
        <v>1.3636363636363637E-3</v>
      </c>
      <c r="O56" s="2">
        <f t="shared" si="4"/>
        <v>1.8181818181818182E-3</v>
      </c>
      <c r="P56" s="2">
        <f t="shared" si="5"/>
        <v>2.2727272727272726E-3</v>
      </c>
      <c r="Q56" s="2">
        <f t="shared" si="6"/>
        <v>2.7272727272727275E-3</v>
      </c>
      <c r="R56" s="2">
        <f t="shared" si="7"/>
        <v>0.64935064935064934</v>
      </c>
      <c r="S56" s="2">
        <f t="shared" si="16"/>
        <v>0.32467532467532467</v>
      </c>
      <c r="T56" s="2">
        <f t="shared" si="9"/>
        <v>0.64935064935064934</v>
      </c>
      <c r="U56" s="2">
        <f t="shared" si="17"/>
        <v>0.97402597402597413</v>
      </c>
      <c r="V56" s="2">
        <f t="shared" si="18"/>
        <v>1.2987012987012987</v>
      </c>
      <c r="W56" s="2">
        <f t="shared" si="19"/>
        <v>1.6233766233766234</v>
      </c>
      <c r="X56" s="2">
        <f t="shared" si="20"/>
        <v>1.9480519480519483</v>
      </c>
      <c r="Y56" s="5" t="str">
        <f t="shared" si="22"/>
        <v>2</v>
      </c>
      <c r="Z56" s="5" t="str">
        <f t="shared" si="22"/>
        <v>2</v>
      </c>
      <c r="AA56" s="5" t="str">
        <f t="shared" si="22"/>
        <v>2</v>
      </c>
      <c r="AB56" s="5" t="str">
        <f t="shared" si="22"/>
        <v>2</v>
      </c>
      <c r="AC56" s="5" t="str">
        <f t="shared" si="22"/>
        <v>1</v>
      </c>
      <c r="AD56" s="5" t="str">
        <f t="shared" si="22"/>
        <v>1</v>
      </c>
      <c r="AE56" s="5" t="str">
        <f t="shared" si="22"/>
        <v>1</v>
      </c>
    </row>
    <row r="57" spans="1:31" ht="14.4" x14ac:dyDescent="0.3">
      <c r="A57" s="14">
        <v>54</v>
      </c>
      <c r="B57" s="15" t="s">
        <v>157</v>
      </c>
      <c r="C57" s="10">
        <v>10</v>
      </c>
      <c r="D57" s="10">
        <v>25</v>
      </c>
      <c r="E57" s="17">
        <v>365</v>
      </c>
      <c r="F57" s="22">
        <v>1E-4</v>
      </c>
      <c r="G57" s="10">
        <v>900</v>
      </c>
      <c r="H57" s="13">
        <v>1.4E-3</v>
      </c>
      <c r="I57" s="18">
        <v>10950</v>
      </c>
      <c r="J57" s="20">
        <v>10</v>
      </c>
      <c r="K57" s="19">
        <f t="shared" si="0"/>
        <v>1.1999999999999999E-3</v>
      </c>
      <c r="L57" s="2">
        <f t="shared" si="21"/>
        <v>5.9999999999999995E-4</v>
      </c>
      <c r="M57" s="2">
        <f t="shared" si="2"/>
        <v>1.1999999999999999E-3</v>
      </c>
      <c r="N57" s="2">
        <f t="shared" si="3"/>
        <v>1.8E-3</v>
      </c>
      <c r="O57" s="2">
        <f t="shared" si="4"/>
        <v>2.3999999999999998E-3</v>
      </c>
      <c r="P57" s="2">
        <f t="shared" si="5"/>
        <v>3.0000000000000001E-3</v>
      </c>
      <c r="Q57" s="2">
        <f t="shared" si="6"/>
        <v>3.5999999999999999E-3</v>
      </c>
      <c r="R57" s="2">
        <f t="shared" si="7"/>
        <v>0.8571428571428571</v>
      </c>
      <c r="S57" s="2">
        <f t="shared" si="16"/>
        <v>0.42857142857142855</v>
      </c>
      <c r="T57" s="2">
        <f t="shared" si="9"/>
        <v>0.8571428571428571</v>
      </c>
      <c r="U57" s="2">
        <f t="shared" si="17"/>
        <v>1.2857142857142856</v>
      </c>
      <c r="V57" s="2">
        <f t="shared" si="18"/>
        <v>1.7142857142857142</v>
      </c>
      <c r="W57" s="2">
        <f t="shared" si="19"/>
        <v>2.1428571428571428</v>
      </c>
      <c r="X57" s="2">
        <f t="shared" si="20"/>
        <v>2.5714285714285712</v>
      </c>
      <c r="Y57" s="5" t="str">
        <f t="shared" si="22"/>
        <v>2</v>
      </c>
      <c r="Z57" s="5" t="str">
        <f t="shared" si="22"/>
        <v>2</v>
      </c>
      <c r="AA57" s="5" t="str">
        <f t="shared" si="22"/>
        <v>2</v>
      </c>
      <c r="AB57" s="5" t="str">
        <f t="shared" si="22"/>
        <v>1</v>
      </c>
      <c r="AC57" s="5" t="str">
        <f t="shared" si="22"/>
        <v>1</v>
      </c>
      <c r="AD57" s="5" t="str">
        <f t="shared" si="22"/>
        <v>1</v>
      </c>
      <c r="AE57" s="5" t="str">
        <f t="shared" si="22"/>
        <v>1</v>
      </c>
    </row>
    <row r="58" spans="1:31" ht="14.4" x14ac:dyDescent="0.3">
      <c r="A58" s="14">
        <v>55</v>
      </c>
      <c r="B58" s="15" t="s">
        <v>149</v>
      </c>
      <c r="C58" s="10">
        <v>10</v>
      </c>
      <c r="D58" s="10">
        <v>25</v>
      </c>
      <c r="E58" s="17">
        <v>365</v>
      </c>
      <c r="F58" s="22">
        <v>1E-4</v>
      </c>
      <c r="G58" s="10">
        <v>1500</v>
      </c>
      <c r="H58" s="13">
        <v>1.4E-3</v>
      </c>
      <c r="I58" s="18">
        <v>10950</v>
      </c>
      <c r="J58" s="20">
        <v>6</v>
      </c>
      <c r="K58" s="19">
        <f t="shared" si="0"/>
        <v>1.1999999999999999E-3</v>
      </c>
      <c r="L58" s="2">
        <f t="shared" si="21"/>
        <v>1E-3</v>
      </c>
      <c r="M58" s="2">
        <f t="shared" si="2"/>
        <v>2E-3</v>
      </c>
      <c r="N58" s="2">
        <f t="shared" si="3"/>
        <v>3.0000000000000001E-3</v>
      </c>
      <c r="O58" s="2">
        <f t="shared" si="4"/>
        <v>4.0000000000000001E-3</v>
      </c>
      <c r="P58" s="2">
        <f t="shared" si="5"/>
        <v>5.0000000000000001E-3</v>
      </c>
      <c r="Q58" s="2">
        <f t="shared" si="6"/>
        <v>6.0000000000000001E-3</v>
      </c>
      <c r="R58" s="2">
        <f t="shared" si="7"/>
        <v>0.8571428571428571</v>
      </c>
      <c r="S58" s="2">
        <f t="shared" si="16"/>
        <v>0.7142857142857143</v>
      </c>
      <c r="T58" s="2">
        <f t="shared" si="9"/>
        <v>1.4285714285714286</v>
      </c>
      <c r="U58" s="2">
        <f t="shared" si="17"/>
        <v>2.1428571428571428</v>
      </c>
      <c r="V58" s="2">
        <f t="shared" si="18"/>
        <v>2.8571428571428572</v>
      </c>
      <c r="W58" s="2">
        <f t="shared" si="19"/>
        <v>3.5714285714285716</v>
      </c>
      <c r="X58" s="2">
        <f t="shared" si="20"/>
        <v>4.2857142857142856</v>
      </c>
      <c r="Y58" s="5" t="str">
        <f t="shared" si="22"/>
        <v>2</v>
      </c>
      <c r="Z58" s="5" t="str">
        <f t="shared" si="22"/>
        <v>2</v>
      </c>
      <c r="AA58" s="5" t="str">
        <f t="shared" si="22"/>
        <v>1</v>
      </c>
      <c r="AB58" s="5" t="str">
        <f t="shared" si="22"/>
        <v>1</v>
      </c>
      <c r="AC58" s="5" t="str">
        <f t="shared" si="22"/>
        <v>1</v>
      </c>
      <c r="AD58" s="5" t="str">
        <f t="shared" si="22"/>
        <v>1</v>
      </c>
      <c r="AE58" s="5" t="str">
        <f t="shared" si="22"/>
        <v>1</v>
      </c>
    </row>
    <row r="59" spans="1:31" ht="14.4" x14ac:dyDescent="0.3">
      <c r="A59" s="14">
        <v>56</v>
      </c>
      <c r="B59" s="15" t="s">
        <v>158</v>
      </c>
      <c r="C59" s="10">
        <v>10</v>
      </c>
      <c r="D59" s="10">
        <v>49</v>
      </c>
      <c r="E59" s="17">
        <v>365</v>
      </c>
      <c r="F59" s="22">
        <v>1E-4</v>
      </c>
      <c r="G59" s="10">
        <v>2100</v>
      </c>
      <c r="H59" s="13">
        <v>1.4E-3</v>
      </c>
      <c r="I59" s="18">
        <v>10950</v>
      </c>
      <c r="J59" s="20">
        <v>2</v>
      </c>
      <c r="K59" s="19">
        <f t="shared" si="0"/>
        <v>2.8571428571428574E-4</v>
      </c>
      <c r="L59" s="2">
        <f t="shared" si="21"/>
        <v>7.1428571428571429E-4</v>
      </c>
      <c r="M59" s="2">
        <f t="shared" si="2"/>
        <v>1.4285714285714286E-3</v>
      </c>
      <c r="N59" s="2">
        <f t="shared" si="3"/>
        <v>2.142857142857143E-3</v>
      </c>
      <c r="O59" s="2">
        <f t="shared" si="4"/>
        <v>2.8571428571428571E-3</v>
      </c>
      <c r="P59" s="2">
        <f t="shared" si="5"/>
        <v>3.5714285714285718E-3</v>
      </c>
      <c r="Q59" s="2">
        <f t="shared" si="6"/>
        <v>4.2857142857142859E-3</v>
      </c>
      <c r="R59" s="2">
        <f t="shared" si="7"/>
        <v>0.20408163265306123</v>
      </c>
      <c r="S59" s="2">
        <f t="shared" si="16"/>
        <v>0.51020408163265307</v>
      </c>
      <c r="T59" s="2">
        <f t="shared" si="9"/>
        <v>1.0204081632653061</v>
      </c>
      <c r="U59" s="2">
        <f t="shared" si="17"/>
        <v>1.5306122448979593</v>
      </c>
      <c r="V59" s="2">
        <f t="shared" si="18"/>
        <v>2.0408163265306123</v>
      </c>
      <c r="W59" s="2">
        <f t="shared" si="19"/>
        <v>2.5510204081632657</v>
      </c>
      <c r="X59" s="2">
        <f t="shared" si="20"/>
        <v>3.0612244897959187</v>
      </c>
      <c r="Y59" s="5" t="str">
        <f t="shared" si="22"/>
        <v>2</v>
      </c>
      <c r="Z59" s="5" t="str">
        <f t="shared" si="22"/>
        <v>2</v>
      </c>
      <c r="AA59" s="5" t="str">
        <f t="shared" si="22"/>
        <v>1</v>
      </c>
      <c r="AB59" s="5" t="str">
        <f t="shared" si="22"/>
        <v>1</v>
      </c>
      <c r="AC59" s="5" t="str">
        <f t="shared" si="22"/>
        <v>1</v>
      </c>
      <c r="AD59" s="5" t="str">
        <f t="shared" si="22"/>
        <v>1</v>
      </c>
      <c r="AE59" s="5" t="str">
        <f t="shared" si="22"/>
        <v>1</v>
      </c>
    </row>
    <row r="60" spans="1:31" ht="14.4" x14ac:dyDescent="0.3">
      <c r="A60" s="14">
        <v>57</v>
      </c>
      <c r="B60" s="15" t="s">
        <v>159</v>
      </c>
      <c r="C60" s="10">
        <v>10</v>
      </c>
      <c r="D60" s="10">
        <v>25</v>
      </c>
      <c r="E60" s="17">
        <v>365</v>
      </c>
      <c r="F60" s="22">
        <v>1E-4</v>
      </c>
      <c r="G60" s="10">
        <v>900</v>
      </c>
      <c r="H60" s="13">
        <v>1.4E-3</v>
      </c>
      <c r="I60" s="18">
        <v>10950</v>
      </c>
      <c r="J60" s="20">
        <v>10</v>
      </c>
      <c r="K60" s="19">
        <f t="shared" si="0"/>
        <v>1.1999999999999999E-3</v>
      </c>
      <c r="L60" s="2">
        <f t="shared" si="21"/>
        <v>5.9999999999999995E-4</v>
      </c>
      <c r="M60" s="2">
        <f t="shared" si="2"/>
        <v>1.1999999999999999E-3</v>
      </c>
      <c r="N60" s="2">
        <f t="shared" si="3"/>
        <v>1.8E-3</v>
      </c>
      <c r="O60" s="2">
        <f t="shared" si="4"/>
        <v>2.3999999999999998E-3</v>
      </c>
      <c r="P60" s="2">
        <f t="shared" si="5"/>
        <v>3.0000000000000001E-3</v>
      </c>
      <c r="Q60" s="2">
        <f t="shared" si="6"/>
        <v>3.5999999999999999E-3</v>
      </c>
      <c r="R60" s="2">
        <f t="shared" si="7"/>
        <v>0.8571428571428571</v>
      </c>
      <c r="S60" s="2">
        <f t="shared" si="16"/>
        <v>0.42857142857142855</v>
      </c>
      <c r="T60" s="2">
        <f t="shared" si="9"/>
        <v>0.8571428571428571</v>
      </c>
      <c r="U60" s="2">
        <f t="shared" si="17"/>
        <v>1.2857142857142856</v>
      </c>
      <c r="V60" s="2">
        <f t="shared" si="18"/>
        <v>1.7142857142857142</v>
      </c>
      <c r="W60" s="2">
        <f t="shared" si="19"/>
        <v>2.1428571428571428</v>
      </c>
      <c r="X60" s="2">
        <f t="shared" si="20"/>
        <v>2.5714285714285712</v>
      </c>
      <c r="Y60" s="5" t="str">
        <f t="shared" si="22"/>
        <v>2</v>
      </c>
      <c r="Z60" s="5" t="str">
        <f t="shared" si="22"/>
        <v>2</v>
      </c>
      <c r="AA60" s="5" t="str">
        <f t="shared" si="22"/>
        <v>2</v>
      </c>
      <c r="AB60" s="5" t="str">
        <f t="shared" si="22"/>
        <v>1</v>
      </c>
      <c r="AC60" s="5" t="str">
        <f t="shared" si="22"/>
        <v>1</v>
      </c>
      <c r="AD60" s="5" t="str">
        <f t="shared" si="22"/>
        <v>1</v>
      </c>
      <c r="AE60" s="5" t="str">
        <f t="shared" si="22"/>
        <v>1</v>
      </c>
    </row>
    <row r="61" spans="1:31" ht="14.4" x14ac:dyDescent="0.3">
      <c r="A61" s="14">
        <v>58</v>
      </c>
      <c r="B61" s="15" t="s">
        <v>160</v>
      </c>
      <c r="C61" s="10">
        <v>10</v>
      </c>
      <c r="D61" s="10">
        <v>27</v>
      </c>
      <c r="E61" s="17">
        <v>365</v>
      </c>
      <c r="F61" s="22">
        <v>1E-4</v>
      </c>
      <c r="G61" s="10">
        <v>900</v>
      </c>
      <c r="H61" s="13">
        <v>1.4E-3</v>
      </c>
      <c r="I61" s="18">
        <v>10950</v>
      </c>
      <c r="J61" s="20">
        <v>10</v>
      </c>
      <c r="K61" s="19">
        <f t="shared" si="0"/>
        <v>1.1111111111111111E-3</v>
      </c>
      <c r="L61" s="2">
        <f t="shared" si="21"/>
        <v>5.5555555555555556E-4</v>
      </c>
      <c r="M61" s="2">
        <f t="shared" si="2"/>
        <v>1.1111111111111111E-3</v>
      </c>
      <c r="N61" s="2">
        <f t="shared" si="3"/>
        <v>1.6666666666666668E-3</v>
      </c>
      <c r="O61" s="2">
        <f t="shared" si="4"/>
        <v>2.2222222222222222E-3</v>
      </c>
      <c r="P61" s="2">
        <f t="shared" si="5"/>
        <v>2.7777777777777779E-3</v>
      </c>
      <c r="Q61" s="2">
        <f t="shared" si="6"/>
        <v>3.3333333333333335E-3</v>
      </c>
      <c r="R61" s="2">
        <f t="shared" si="7"/>
        <v>0.79365079365079361</v>
      </c>
      <c r="S61" s="2">
        <f t="shared" si="16"/>
        <v>0.3968253968253968</v>
      </c>
      <c r="T61" s="2">
        <f t="shared" si="9"/>
        <v>0.79365079365079361</v>
      </c>
      <c r="U61" s="2">
        <f t="shared" si="17"/>
        <v>1.1904761904761905</v>
      </c>
      <c r="V61" s="2">
        <f t="shared" si="18"/>
        <v>1.5873015873015872</v>
      </c>
      <c r="W61" s="2">
        <f t="shared" si="19"/>
        <v>1.9841269841269842</v>
      </c>
      <c r="X61" s="2">
        <f t="shared" si="20"/>
        <v>2.3809523809523809</v>
      </c>
      <c r="Y61" s="5" t="str">
        <f t="shared" si="22"/>
        <v>2</v>
      </c>
      <c r="Z61" s="5" t="str">
        <f t="shared" si="22"/>
        <v>2</v>
      </c>
      <c r="AA61" s="5" t="str">
        <f t="shared" si="22"/>
        <v>2</v>
      </c>
      <c r="AB61" s="5" t="str">
        <f t="shared" si="22"/>
        <v>1</v>
      </c>
      <c r="AC61" s="5" t="str">
        <f t="shared" si="22"/>
        <v>1</v>
      </c>
      <c r="AD61" s="5" t="str">
        <f t="shared" si="22"/>
        <v>1</v>
      </c>
      <c r="AE61" s="5" t="str">
        <f t="shared" si="22"/>
        <v>1</v>
      </c>
    </row>
    <row r="62" spans="1:31" ht="14.4" x14ac:dyDescent="0.3">
      <c r="A62" s="14">
        <v>59</v>
      </c>
      <c r="B62" s="15" t="s">
        <v>161</v>
      </c>
      <c r="C62" s="10">
        <v>10</v>
      </c>
      <c r="D62" s="10">
        <v>25</v>
      </c>
      <c r="E62" s="17">
        <v>365</v>
      </c>
      <c r="F62" s="22">
        <v>1E-4</v>
      </c>
      <c r="G62" s="10">
        <v>900</v>
      </c>
      <c r="H62" s="13">
        <v>1.4E-3</v>
      </c>
      <c r="I62" s="18">
        <v>10950</v>
      </c>
      <c r="J62" s="20">
        <v>10</v>
      </c>
      <c r="K62" s="19">
        <f t="shared" si="0"/>
        <v>1.1999999999999999E-3</v>
      </c>
      <c r="L62" s="2">
        <f t="shared" si="21"/>
        <v>5.9999999999999995E-4</v>
      </c>
      <c r="M62" s="2">
        <f t="shared" si="2"/>
        <v>1.1999999999999999E-3</v>
      </c>
      <c r="N62" s="2">
        <f t="shared" si="3"/>
        <v>1.8E-3</v>
      </c>
      <c r="O62" s="2">
        <f t="shared" si="4"/>
        <v>2.3999999999999998E-3</v>
      </c>
      <c r="P62" s="2">
        <f t="shared" si="5"/>
        <v>3.0000000000000001E-3</v>
      </c>
      <c r="Q62" s="2">
        <f t="shared" si="6"/>
        <v>3.5999999999999999E-3</v>
      </c>
      <c r="R62" s="2">
        <f t="shared" si="7"/>
        <v>0.8571428571428571</v>
      </c>
      <c r="S62" s="2">
        <f t="shared" si="16"/>
        <v>0.42857142857142855</v>
      </c>
      <c r="T62" s="2">
        <f t="shared" si="9"/>
        <v>0.8571428571428571</v>
      </c>
      <c r="U62" s="2">
        <f t="shared" si="17"/>
        <v>1.2857142857142856</v>
      </c>
      <c r="V62" s="2">
        <f t="shared" si="18"/>
        <v>1.7142857142857142</v>
      </c>
      <c r="W62" s="2">
        <f t="shared" si="19"/>
        <v>2.1428571428571428</v>
      </c>
      <c r="X62" s="2">
        <f t="shared" si="20"/>
        <v>2.5714285714285712</v>
      </c>
      <c r="Y62" s="5" t="str">
        <f t="shared" si="22"/>
        <v>2</v>
      </c>
      <c r="Z62" s="5" t="str">
        <f t="shared" si="22"/>
        <v>2</v>
      </c>
      <c r="AA62" s="5" t="str">
        <f t="shared" si="22"/>
        <v>2</v>
      </c>
      <c r="AB62" s="5" t="str">
        <f t="shared" si="22"/>
        <v>1</v>
      </c>
      <c r="AC62" s="5" t="str">
        <f t="shared" si="22"/>
        <v>1</v>
      </c>
      <c r="AD62" s="5" t="str">
        <f t="shared" si="22"/>
        <v>1</v>
      </c>
      <c r="AE62" s="5" t="str">
        <f t="shared" si="22"/>
        <v>1</v>
      </c>
    </row>
    <row r="63" spans="1:31" ht="14.4" x14ac:dyDescent="0.3">
      <c r="A63" s="14">
        <v>60</v>
      </c>
      <c r="B63" s="15" t="s">
        <v>162</v>
      </c>
      <c r="C63" s="10">
        <v>10</v>
      </c>
      <c r="D63" s="10">
        <v>25</v>
      </c>
      <c r="E63" s="17">
        <v>365</v>
      </c>
      <c r="F63" s="22">
        <v>1E-4</v>
      </c>
      <c r="G63" s="10">
        <v>900</v>
      </c>
      <c r="H63" s="13">
        <v>1.4E-3</v>
      </c>
      <c r="I63" s="18">
        <v>10950</v>
      </c>
      <c r="J63" s="20">
        <v>10</v>
      </c>
      <c r="K63" s="19">
        <f t="shared" si="0"/>
        <v>1.1999999999999999E-3</v>
      </c>
      <c r="L63" s="2">
        <f t="shared" si="21"/>
        <v>5.9999999999999995E-4</v>
      </c>
      <c r="M63" s="2">
        <f t="shared" si="2"/>
        <v>1.1999999999999999E-3</v>
      </c>
      <c r="N63" s="2">
        <f t="shared" si="3"/>
        <v>1.8E-3</v>
      </c>
      <c r="O63" s="2">
        <f t="shared" si="4"/>
        <v>2.3999999999999998E-3</v>
      </c>
      <c r="P63" s="2">
        <f t="shared" si="5"/>
        <v>3.0000000000000001E-3</v>
      </c>
      <c r="Q63" s="2">
        <f t="shared" si="6"/>
        <v>3.5999999999999999E-3</v>
      </c>
      <c r="R63" s="2">
        <f t="shared" si="7"/>
        <v>0.8571428571428571</v>
      </c>
      <c r="S63" s="2">
        <f t="shared" si="16"/>
        <v>0.42857142857142855</v>
      </c>
      <c r="T63" s="2">
        <f t="shared" si="9"/>
        <v>0.8571428571428571</v>
      </c>
      <c r="U63" s="2">
        <f t="shared" si="17"/>
        <v>1.2857142857142856</v>
      </c>
      <c r="V63" s="2">
        <f t="shared" si="18"/>
        <v>1.7142857142857142</v>
      </c>
      <c r="W63" s="2">
        <f t="shared" si="19"/>
        <v>2.1428571428571428</v>
      </c>
      <c r="X63" s="2">
        <f t="shared" si="20"/>
        <v>2.5714285714285712</v>
      </c>
      <c r="Y63" s="5" t="str">
        <f t="shared" si="22"/>
        <v>2</v>
      </c>
      <c r="Z63" s="5" t="str">
        <f t="shared" si="22"/>
        <v>2</v>
      </c>
      <c r="AA63" s="5" t="str">
        <f t="shared" si="22"/>
        <v>2</v>
      </c>
      <c r="AB63" s="5" t="str">
        <f t="shared" si="22"/>
        <v>1</v>
      </c>
      <c r="AC63" s="5" t="str">
        <f t="shared" si="22"/>
        <v>1</v>
      </c>
      <c r="AD63" s="5" t="str">
        <f t="shared" si="22"/>
        <v>1</v>
      </c>
      <c r="AE63" s="5" t="str">
        <f t="shared" si="22"/>
        <v>1</v>
      </c>
    </row>
    <row r="64" spans="1:31" ht="14.4" x14ac:dyDescent="0.3">
      <c r="A64" s="14">
        <v>61</v>
      </c>
      <c r="B64" s="15" t="s">
        <v>163</v>
      </c>
      <c r="C64" s="10">
        <v>10</v>
      </c>
      <c r="D64" s="10">
        <v>30</v>
      </c>
      <c r="E64" s="17">
        <v>365</v>
      </c>
      <c r="F64" s="22">
        <v>1E-4</v>
      </c>
      <c r="G64" s="10">
        <v>900</v>
      </c>
      <c r="H64" s="13">
        <v>1.4E-3</v>
      </c>
      <c r="I64" s="18">
        <v>10950</v>
      </c>
      <c r="J64" s="20">
        <v>10</v>
      </c>
      <c r="K64" s="19">
        <f t="shared" si="0"/>
        <v>1E-3</v>
      </c>
      <c r="L64" s="2">
        <f t="shared" si="21"/>
        <v>5.0000000000000001E-4</v>
      </c>
      <c r="M64" s="2">
        <f t="shared" si="2"/>
        <v>1E-3</v>
      </c>
      <c r="N64" s="2">
        <f t="shared" si="3"/>
        <v>1.5E-3</v>
      </c>
      <c r="O64" s="2">
        <f t="shared" si="4"/>
        <v>2E-3</v>
      </c>
      <c r="P64" s="2">
        <f t="shared" si="5"/>
        <v>2.5000000000000001E-3</v>
      </c>
      <c r="Q64" s="2">
        <f t="shared" si="6"/>
        <v>3.0000000000000001E-3</v>
      </c>
      <c r="R64" s="2">
        <f t="shared" si="7"/>
        <v>0.7142857142857143</v>
      </c>
      <c r="S64" s="2">
        <f t="shared" si="16"/>
        <v>0.35714285714285715</v>
      </c>
      <c r="T64" s="2">
        <f t="shared" si="9"/>
        <v>0.7142857142857143</v>
      </c>
      <c r="U64" s="2">
        <f t="shared" si="17"/>
        <v>1.0714285714285714</v>
      </c>
      <c r="V64" s="2">
        <f t="shared" si="18"/>
        <v>1.4285714285714286</v>
      </c>
      <c r="W64" s="2">
        <f t="shared" si="19"/>
        <v>1.7857142857142858</v>
      </c>
      <c r="X64" s="2">
        <f t="shared" si="20"/>
        <v>2.1428571428571428</v>
      </c>
      <c r="Y64" s="5" t="str">
        <f t="shared" si="22"/>
        <v>2</v>
      </c>
      <c r="Z64" s="5" t="str">
        <f t="shared" si="22"/>
        <v>2</v>
      </c>
      <c r="AA64" s="5" t="str">
        <f t="shared" si="22"/>
        <v>2</v>
      </c>
      <c r="AB64" s="5" t="str">
        <f t="shared" si="22"/>
        <v>1</v>
      </c>
      <c r="AC64" s="5" t="str">
        <f t="shared" si="22"/>
        <v>1</v>
      </c>
      <c r="AD64" s="5" t="str">
        <f t="shared" si="22"/>
        <v>1</v>
      </c>
      <c r="AE64" s="5" t="str">
        <f t="shared" si="22"/>
        <v>1</v>
      </c>
    </row>
    <row r="65" spans="1:31" ht="14.4" x14ac:dyDescent="0.3">
      <c r="A65" s="14">
        <v>62</v>
      </c>
      <c r="B65" s="15" t="s">
        <v>164</v>
      </c>
      <c r="C65" s="10">
        <v>10</v>
      </c>
      <c r="D65" s="10">
        <v>25</v>
      </c>
      <c r="E65" s="17">
        <v>365</v>
      </c>
      <c r="F65" s="22">
        <v>1E-4</v>
      </c>
      <c r="G65" s="10">
        <v>900</v>
      </c>
      <c r="H65" s="13">
        <v>1.4E-3</v>
      </c>
      <c r="I65" s="18">
        <v>10950</v>
      </c>
      <c r="J65" s="20">
        <v>10</v>
      </c>
      <c r="K65" s="19">
        <f t="shared" si="0"/>
        <v>1.1999999999999999E-3</v>
      </c>
      <c r="L65" s="2">
        <f t="shared" si="21"/>
        <v>5.9999999999999995E-4</v>
      </c>
      <c r="M65" s="2">
        <f t="shared" si="2"/>
        <v>1.1999999999999999E-3</v>
      </c>
      <c r="N65" s="2">
        <f t="shared" si="3"/>
        <v>1.8E-3</v>
      </c>
      <c r="O65" s="2">
        <f t="shared" si="4"/>
        <v>2.3999999999999998E-3</v>
      </c>
      <c r="P65" s="2">
        <f t="shared" si="5"/>
        <v>3.0000000000000001E-3</v>
      </c>
      <c r="Q65" s="2">
        <f t="shared" si="6"/>
        <v>3.5999999999999999E-3</v>
      </c>
      <c r="R65" s="2">
        <f t="shared" si="7"/>
        <v>0.8571428571428571</v>
      </c>
      <c r="S65" s="2">
        <f t="shared" si="16"/>
        <v>0.42857142857142855</v>
      </c>
      <c r="T65" s="2">
        <f t="shared" si="9"/>
        <v>0.8571428571428571</v>
      </c>
      <c r="U65" s="2">
        <f t="shared" si="17"/>
        <v>1.2857142857142856</v>
      </c>
      <c r="V65" s="2">
        <f t="shared" si="18"/>
        <v>1.7142857142857142</v>
      </c>
      <c r="W65" s="2">
        <f t="shared" si="19"/>
        <v>2.1428571428571428</v>
      </c>
      <c r="X65" s="2">
        <f t="shared" si="20"/>
        <v>2.5714285714285712</v>
      </c>
      <c r="Y65" s="5" t="str">
        <f t="shared" si="22"/>
        <v>2</v>
      </c>
      <c r="Z65" s="5" t="str">
        <f t="shared" si="22"/>
        <v>2</v>
      </c>
      <c r="AA65" s="5" t="str">
        <f t="shared" si="22"/>
        <v>2</v>
      </c>
      <c r="AB65" s="5" t="str">
        <f t="shared" si="22"/>
        <v>1</v>
      </c>
      <c r="AC65" s="5" t="str">
        <f t="shared" si="22"/>
        <v>1</v>
      </c>
      <c r="AD65" s="5" t="str">
        <f t="shared" si="22"/>
        <v>1</v>
      </c>
      <c r="AE65" s="5" t="str">
        <f t="shared" si="22"/>
        <v>1</v>
      </c>
    </row>
    <row r="66" spans="1:31" ht="14.4" x14ac:dyDescent="0.3">
      <c r="A66" s="14">
        <v>63</v>
      </c>
      <c r="B66" s="15" t="s">
        <v>165</v>
      </c>
      <c r="C66" s="10">
        <v>10</v>
      </c>
      <c r="D66" s="10">
        <v>25</v>
      </c>
      <c r="E66" s="17">
        <v>365</v>
      </c>
      <c r="F66" s="22">
        <v>1E-4</v>
      </c>
      <c r="G66" s="10">
        <v>900</v>
      </c>
      <c r="H66" s="13">
        <v>1.4E-3</v>
      </c>
      <c r="I66" s="18">
        <v>10950</v>
      </c>
      <c r="J66" s="20">
        <v>10</v>
      </c>
      <c r="K66" s="19">
        <f t="shared" si="0"/>
        <v>1.1999999999999999E-3</v>
      </c>
      <c r="L66" s="2">
        <f t="shared" si="21"/>
        <v>5.9999999999999995E-4</v>
      </c>
      <c r="M66" s="2">
        <f t="shared" si="2"/>
        <v>1.1999999999999999E-3</v>
      </c>
      <c r="N66" s="2">
        <f t="shared" si="3"/>
        <v>1.8E-3</v>
      </c>
      <c r="O66" s="2">
        <f t="shared" si="4"/>
        <v>2.3999999999999998E-3</v>
      </c>
      <c r="P66" s="2">
        <f t="shared" si="5"/>
        <v>3.0000000000000001E-3</v>
      </c>
      <c r="Q66" s="2">
        <f t="shared" si="6"/>
        <v>3.5999999999999999E-3</v>
      </c>
      <c r="R66" s="2">
        <f t="shared" si="7"/>
        <v>0.8571428571428571</v>
      </c>
      <c r="S66" s="2">
        <f t="shared" si="16"/>
        <v>0.42857142857142855</v>
      </c>
      <c r="T66" s="2">
        <f t="shared" si="9"/>
        <v>0.8571428571428571</v>
      </c>
      <c r="U66" s="2">
        <f t="shared" si="17"/>
        <v>1.2857142857142856</v>
      </c>
      <c r="V66" s="2">
        <f t="shared" si="18"/>
        <v>1.7142857142857142</v>
      </c>
      <c r="W66" s="2">
        <f t="shared" si="19"/>
        <v>2.1428571428571428</v>
      </c>
      <c r="X66" s="2">
        <f t="shared" si="20"/>
        <v>2.5714285714285712</v>
      </c>
      <c r="Y66" s="5" t="str">
        <f t="shared" si="22"/>
        <v>2</v>
      </c>
      <c r="Z66" s="5" t="str">
        <f t="shared" si="22"/>
        <v>2</v>
      </c>
      <c r="AA66" s="5" t="str">
        <f t="shared" si="22"/>
        <v>2</v>
      </c>
      <c r="AB66" s="5" t="str">
        <f t="shared" si="22"/>
        <v>1</v>
      </c>
      <c r="AC66" s="5" t="str">
        <f t="shared" si="22"/>
        <v>1</v>
      </c>
      <c r="AD66" s="5" t="str">
        <f t="shared" si="22"/>
        <v>1</v>
      </c>
      <c r="AE66" s="5" t="str">
        <f t="shared" si="22"/>
        <v>1</v>
      </c>
    </row>
    <row r="67" spans="1:31" ht="14.4" x14ac:dyDescent="0.3">
      <c r="A67" s="14">
        <v>64</v>
      </c>
      <c r="B67" s="15" t="s">
        <v>144</v>
      </c>
      <c r="C67" s="10">
        <v>10</v>
      </c>
      <c r="D67" s="10">
        <v>30</v>
      </c>
      <c r="E67" s="17">
        <v>365</v>
      </c>
      <c r="F67" s="22">
        <v>1E-4</v>
      </c>
      <c r="G67" s="10">
        <v>900</v>
      </c>
      <c r="H67" s="13">
        <v>1.4E-3</v>
      </c>
      <c r="I67" s="18">
        <v>10950</v>
      </c>
      <c r="J67" s="20">
        <v>10</v>
      </c>
      <c r="K67" s="19">
        <f t="shared" si="0"/>
        <v>1E-3</v>
      </c>
      <c r="L67" s="2">
        <f t="shared" si="21"/>
        <v>5.0000000000000001E-4</v>
      </c>
      <c r="M67" s="2">
        <f t="shared" si="2"/>
        <v>1E-3</v>
      </c>
      <c r="N67" s="2">
        <f t="shared" si="3"/>
        <v>1.5E-3</v>
      </c>
      <c r="O67" s="2">
        <f t="shared" si="4"/>
        <v>2E-3</v>
      </c>
      <c r="P67" s="2">
        <f t="shared" si="5"/>
        <v>2.5000000000000001E-3</v>
      </c>
      <c r="Q67" s="2">
        <f t="shared" si="6"/>
        <v>3.0000000000000001E-3</v>
      </c>
      <c r="R67" s="2">
        <f t="shared" si="7"/>
        <v>0.7142857142857143</v>
      </c>
      <c r="S67" s="2">
        <f t="shared" si="16"/>
        <v>0.35714285714285715</v>
      </c>
      <c r="T67" s="2">
        <f t="shared" si="9"/>
        <v>0.7142857142857143</v>
      </c>
      <c r="U67" s="2">
        <f t="shared" si="17"/>
        <v>1.0714285714285714</v>
      </c>
      <c r="V67" s="2">
        <f t="shared" si="18"/>
        <v>1.4285714285714286</v>
      </c>
      <c r="W67" s="2">
        <f t="shared" si="19"/>
        <v>1.7857142857142858</v>
      </c>
      <c r="X67" s="2">
        <f t="shared" si="20"/>
        <v>2.1428571428571428</v>
      </c>
      <c r="Y67" s="5" t="str">
        <f t="shared" si="22"/>
        <v>2</v>
      </c>
      <c r="Z67" s="5" t="str">
        <f t="shared" si="22"/>
        <v>2</v>
      </c>
      <c r="AA67" s="5" t="str">
        <f t="shared" si="22"/>
        <v>2</v>
      </c>
      <c r="AB67" s="5" t="str">
        <f t="shared" si="22"/>
        <v>1</v>
      </c>
      <c r="AC67" s="5" t="str">
        <f t="shared" si="22"/>
        <v>1</v>
      </c>
      <c r="AD67" s="5" t="str">
        <f t="shared" si="22"/>
        <v>1</v>
      </c>
      <c r="AE67" s="5" t="str">
        <f t="shared" si="22"/>
        <v>1</v>
      </c>
    </row>
    <row r="68" spans="1:31" ht="14.4" x14ac:dyDescent="0.3">
      <c r="A68" s="14">
        <v>65</v>
      </c>
      <c r="B68" s="15" t="s">
        <v>166</v>
      </c>
      <c r="C68" s="10">
        <v>11</v>
      </c>
      <c r="D68" s="10">
        <v>33</v>
      </c>
      <c r="E68" s="17">
        <v>365</v>
      </c>
      <c r="F68" s="22">
        <v>1E-4</v>
      </c>
      <c r="G68" s="10">
        <v>900</v>
      </c>
      <c r="H68" s="13">
        <v>1.4E-3</v>
      </c>
      <c r="I68" s="18">
        <v>10950</v>
      </c>
      <c r="J68" s="20">
        <v>11</v>
      </c>
      <c r="K68" s="19">
        <f t="shared" ref="K68:K103" si="23">(F68*G68*E68*J68)/(D68*I68)</f>
        <v>1E-3</v>
      </c>
      <c r="L68" s="2">
        <f t="shared" si="21"/>
        <v>4.5454545454545455E-4</v>
      </c>
      <c r="M68" s="2">
        <f t="shared" ref="M68:M103" si="24">(F68*G68*E68*10)/(D68*I68)</f>
        <v>9.0909090909090909E-4</v>
      </c>
      <c r="N68" s="2">
        <f t="shared" ref="N68:N103" si="25">(F68*G68*E68*15)/(D68*I68)</f>
        <v>1.3636363636363637E-3</v>
      </c>
      <c r="O68" s="2">
        <f t="shared" ref="O68:O103" si="26">(F68*G68*E68*20)/(D68*I68)</f>
        <v>1.8181818181818182E-3</v>
      </c>
      <c r="P68" s="2">
        <f t="shared" ref="P68:P103" si="27">(F68*G68*E68*25)/(D68*I68)</f>
        <v>2.2727272727272726E-3</v>
      </c>
      <c r="Q68" s="2">
        <f t="shared" ref="Q68:Q103" si="28">(F68*G68*E68*30)/(D68*I68)</f>
        <v>2.7272727272727275E-3</v>
      </c>
      <c r="R68" s="2">
        <f t="shared" ref="R68:R103" si="29">K68/H68</f>
        <v>0.7142857142857143</v>
      </c>
      <c r="S68" s="2">
        <f t="shared" si="16"/>
        <v>0.32467532467532467</v>
      </c>
      <c r="T68" s="2">
        <f t="shared" ref="T68:T103" si="30">M68/H68</f>
        <v>0.64935064935064934</v>
      </c>
      <c r="U68" s="2">
        <f t="shared" si="17"/>
        <v>0.97402597402597413</v>
      </c>
      <c r="V68" s="2">
        <f t="shared" si="18"/>
        <v>1.2987012987012987</v>
      </c>
      <c r="W68" s="2">
        <f t="shared" si="19"/>
        <v>1.6233766233766234</v>
      </c>
      <c r="X68" s="2">
        <f t="shared" si="20"/>
        <v>1.9480519480519483</v>
      </c>
      <c r="Y68" s="5" t="str">
        <f t="shared" si="22"/>
        <v>2</v>
      </c>
      <c r="Z68" s="5" t="str">
        <f t="shared" si="22"/>
        <v>2</v>
      </c>
      <c r="AA68" s="5" t="str">
        <f t="shared" si="22"/>
        <v>2</v>
      </c>
      <c r="AB68" s="5" t="str">
        <f t="shared" si="22"/>
        <v>2</v>
      </c>
      <c r="AC68" s="5" t="str">
        <f t="shared" si="22"/>
        <v>1</v>
      </c>
      <c r="AD68" s="5" t="str">
        <f t="shared" si="22"/>
        <v>1</v>
      </c>
      <c r="AE68" s="5" t="str">
        <f t="shared" si="22"/>
        <v>1</v>
      </c>
    </row>
    <row r="69" spans="1:31" ht="14.4" x14ac:dyDescent="0.3">
      <c r="A69" s="14">
        <v>66</v>
      </c>
      <c r="B69" s="15" t="s">
        <v>167</v>
      </c>
      <c r="C69" s="10">
        <v>11</v>
      </c>
      <c r="D69" s="10">
        <v>23</v>
      </c>
      <c r="E69" s="17">
        <v>365</v>
      </c>
      <c r="F69" s="22">
        <v>1E-4</v>
      </c>
      <c r="G69" s="10">
        <v>900</v>
      </c>
      <c r="H69" s="13">
        <v>1.4E-3</v>
      </c>
      <c r="I69" s="18">
        <v>10950</v>
      </c>
      <c r="J69" s="20">
        <v>11</v>
      </c>
      <c r="K69" s="19">
        <f t="shared" si="23"/>
        <v>1.4347826086956522E-3</v>
      </c>
      <c r="L69" s="2">
        <f t="shared" si="21"/>
        <v>6.5217391304347831E-4</v>
      </c>
      <c r="M69" s="2">
        <f t="shared" si="24"/>
        <v>1.3043478260869566E-3</v>
      </c>
      <c r="N69" s="2">
        <f t="shared" si="25"/>
        <v>1.9565217391304349E-3</v>
      </c>
      <c r="O69" s="2">
        <f t="shared" si="26"/>
        <v>2.6086956521739132E-3</v>
      </c>
      <c r="P69" s="2">
        <f t="shared" si="27"/>
        <v>3.2608695652173911E-3</v>
      </c>
      <c r="Q69" s="2">
        <f t="shared" si="28"/>
        <v>3.9130434782608699E-3</v>
      </c>
      <c r="R69" s="2">
        <f t="shared" si="29"/>
        <v>1.0248447204968945</v>
      </c>
      <c r="S69" s="2">
        <f t="shared" si="16"/>
        <v>0.46583850931677023</v>
      </c>
      <c r="T69" s="2">
        <f t="shared" si="30"/>
        <v>0.93167701863354047</v>
      </c>
      <c r="U69" s="2">
        <f t="shared" si="17"/>
        <v>1.3975155279503106</v>
      </c>
      <c r="V69" s="2">
        <f t="shared" si="18"/>
        <v>1.8633540372670809</v>
      </c>
      <c r="W69" s="2">
        <f t="shared" si="19"/>
        <v>2.329192546583851</v>
      </c>
      <c r="X69" s="2">
        <f t="shared" si="20"/>
        <v>2.7950310559006213</v>
      </c>
      <c r="Y69" s="5" t="str">
        <f t="shared" si="22"/>
        <v>1</v>
      </c>
      <c r="Z69" s="5" t="str">
        <f t="shared" si="22"/>
        <v>2</v>
      </c>
      <c r="AA69" s="5" t="str">
        <f t="shared" si="22"/>
        <v>2</v>
      </c>
      <c r="AB69" s="5" t="str">
        <f t="shared" si="22"/>
        <v>1</v>
      </c>
      <c r="AC69" s="5" t="str">
        <f t="shared" si="22"/>
        <v>1</v>
      </c>
      <c r="AD69" s="5" t="str">
        <f t="shared" si="22"/>
        <v>1</v>
      </c>
      <c r="AE69" s="5" t="str">
        <f t="shared" si="22"/>
        <v>1</v>
      </c>
    </row>
    <row r="70" spans="1:31" ht="14.4" x14ac:dyDescent="0.3">
      <c r="A70" s="14">
        <v>67</v>
      </c>
      <c r="B70" s="15" t="s">
        <v>168</v>
      </c>
      <c r="C70" s="10">
        <v>11</v>
      </c>
      <c r="D70" s="10">
        <v>34</v>
      </c>
      <c r="E70" s="17">
        <v>365</v>
      </c>
      <c r="F70" s="22">
        <v>1E-4</v>
      </c>
      <c r="G70" s="10">
        <v>1200</v>
      </c>
      <c r="H70" s="13">
        <v>1.4E-3</v>
      </c>
      <c r="I70" s="18">
        <v>10950</v>
      </c>
      <c r="J70" s="20">
        <v>11</v>
      </c>
      <c r="K70" s="19">
        <f t="shared" si="23"/>
        <v>1.2941176470588236E-3</v>
      </c>
      <c r="L70" s="2">
        <f t="shared" si="21"/>
        <v>5.8823529411764712E-4</v>
      </c>
      <c r="M70" s="2">
        <f t="shared" si="24"/>
        <v>1.1764705882352942E-3</v>
      </c>
      <c r="N70" s="2">
        <f t="shared" si="25"/>
        <v>1.7647058823529415E-3</v>
      </c>
      <c r="O70" s="2">
        <f t="shared" si="26"/>
        <v>2.3529411764705885E-3</v>
      </c>
      <c r="P70" s="2">
        <f t="shared" si="27"/>
        <v>2.9411764705882353E-3</v>
      </c>
      <c r="Q70" s="2">
        <f t="shared" si="28"/>
        <v>3.5294117647058829E-3</v>
      </c>
      <c r="R70" s="2">
        <f t="shared" si="29"/>
        <v>0.92436974789915971</v>
      </c>
      <c r="S70" s="2">
        <f t="shared" si="16"/>
        <v>0.42016806722689082</v>
      </c>
      <c r="T70" s="2">
        <f t="shared" si="30"/>
        <v>0.84033613445378164</v>
      </c>
      <c r="U70" s="2">
        <f t="shared" si="17"/>
        <v>1.2605042016806725</v>
      </c>
      <c r="V70" s="2">
        <f t="shared" si="18"/>
        <v>1.6806722689075633</v>
      </c>
      <c r="W70" s="2">
        <f t="shared" si="19"/>
        <v>2.1008403361344539</v>
      </c>
      <c r="X70" s="2">
        <f t="shared" si="20"/>
        <v>2.5210084033613449</v>
      </c>
      <c r="Y70" s="5" t="str">
        <f t="shared" si="22"/>
        <v>2</v>
      </c>
      <c r="Z70" s="5" t="str">
        <f t="shared" si="22"/>
        <v>2</v>
      </c>
      <c r="AA70" s="5" t="str">
        <f t="shared" si="22"/>
        <v>2</v>
      </c>
      <c r="AB70" s="5" t="str">
        <f t="shared" si="22"/>
        <v>1</v>
      </c>
      <c r="AC70" s="5" t="str">
        <f t="shared" si="22"/>
        <v>1</v>
      </c>
      <c r="AD70" s="5" t="str">
        <f t="shared" si="22"/>
        <v>1</v>
      </c>
      <c r="AE70" s="5" t="str">
        <f t="shared" si="22"/>
        <v>1</v>
      </c>
    </row>
    <row r="71" spans="1:31" ht="14.4" x14ac:dyDescent="0.3">
      <c r="A71" s="14">
        <v>68</v>
      </c>
      <c r="B71" s="15" t="s">
        <v>169</v>
      </c>
      <c r="C71" s="10">
        <v>11</v>
      </c>
      <c r="D71" s="10">
        <v>32</v>
      </c>
      <c r="E71" s="17">
        <v>365</v>
      </c>
      <c r="F71" s="22">
        <v>1E-4</v>
      </c>
      <c r="G71" s="10">
        <v>900</v>
      </c>
      <c r="H71" s="13">
        <v>1.4E-3</v>
      </c>
      <c r="I71" s="18">
        <v>10950</v>
      </c>
      <c r="J71" s="20">
        <v>11</v>
      </c>
      <c r="K71" s="19">
        <f t="shared" si="23"/>
        <v>1.03125E-3</v>
      </c>
      <c r="L71" s="2">
        <f t="shared" si="21"/>
        <v>4.6874999999999998E-4</v>
      </c>
      <c r="M71" s="2">
        <f t="shared" si="24"/>
        <v>9.3749999999999997E-4</v>
      </c>
      <c r="N71" s="2">
        <f t="shared" si="25"/>
        <v>1.4062499999999999E-3</v>
      </c>
      <c r="O71" s="2">
        <f t="shared" si="26"/>
        <v>1.8749999999999999E-3</v>
      </c>
      <c r="P71" s="2">
        <f t="shared" si="27"/>
        <v>2.3437499999999999E-3</v>
      </c>
      <c r="Q71" s="2">
        <f t="shared" si="28"/>
        <v>2.8124999999999999E-3</v>
      </c>
      <c r="R71" s="2">
        <f t="shared" si="29"/>
        <v>0.7366071428571429</v>
      </c>
      <c r="S71" s="2">
        <f t="shared" si="16"/>
        <v>0.33482142857142855</v>
      </c>
      <c r="T71" s="2">
        <f t="shared" si="30"/>
        <v>0.6696428571428571</v>
      </c>
      <c r="U71" s="2">
        <f t="shared" si="17"/>
        <v>1.0044642857142856</v>
      </c>
      <c r="V71" s="2">
        <f t="shared" si="18"/>
        <v>1.3392857142857142</v>
      </c>
      <c r="W71" s="2">
        <f t="shared" si="19"/>
        <v>1.6741071428571428</v>
      </c>
      <c r="X71" s="2">
        <f t="shared" si="20"/>
        <v>2.0089285714285712</v>
      </c>
      <c r="Y71" s="5" t="str">
        <f t="shared" si="22"/>
        <v>2</v>
      </c>
      <c r="Z71" s="5" t="str">
        <f t="shared" si="22"/>
        <v>2</v>
      </c>
      <c r="AA71" s="5" t="str">
        <f t="shared" si="22"/>
        <v>2</v>
      </c>
      <c r="AB71" s="5" t="str">
        <f t="shared" si="22"/>
        <v>1</v>
      </c>
      <c r="AC71" s="5" t="str">
        <f t="shared" si="22"/>
        <v>1</v>
      </c>
      <c r="AD71" s="5" t="str">
        <f t="shared" si="22"/>
        <v>1</v>
      </c>
      <c r="AE71" s="5" t="str">
        <f t="shared" si="22"/>
        <v>1</v>
      </c>
    </row>
    <row r="72" spans="1:31" ht="14.4" x14ac:dyDescent="0.3">
      <c r="A72" s="14">
        <v>69</v>
      </c>
      <c r="B72" s="15" t="s">
        <v>170</v>
      </c>
      <c r="C72" s="10">
        <v>11</v>
      </c>
      <c r="D72" s="10">
        <v>29</v>
      </c>
      <c r="E72" s="17">
        <v>365</v>
      </c>
      <c r="F72" s="22">
        <v>1E-4</v>
      </c>
      <c r="G72" s="10">
        <v>1200</v>
      </c>
      <c r="H72" s="13">
        <v>1.4E-3</v>
      </c>
      <c r="I72" s="18">
        <v>10950</v>
      </c>
      <c r="J72" s="20">
        <v>11</v>
      </c>
      <c r="K72" s="19">
        <f t="shared" si="23"/>
        <v>1.517241379310345E-3</v>
      </c>
      <c r="L72" s="2">
        <f t="shared" si="21"/>
        <v>6.8965517241379316E-4</v>
      </c>
      <c r="M72" s="2">
        <f t="shared" si="24"/>
        <v>1.3793103448275863E-3</v>
      </c>
      <c r="N72" s="2">
        <f t="shared" si="25"/>
        <v>2.0689655172413798E-3</v>
      </c>
      <c r="O72" s="2">
        <f t="shared" si="26"/>
        <v>2.7586206896551726E-3</v>
      </c>
      <c r="P72" s="2">
        <f t="shared" si="27"/>
        <v>3.4482758620689655E-3</v>
      </c>
      <c r="Q72" s="2">
        <f t="shared" si="28"/>
        <v>4.1379310344827596E-3</v>
      </c>
      <c r="R72" s="2">
        <f t="shared" si="29"/>
        <v>1.083743842364532</v>
      </c>
      <c r="S72" s="2">
        <f t="shared" si="16"/>
        <v>0.49261083743842371</v>
      </c>
      <c r="T72" s="2">
        <f t="shared" si="30"/>
        <v>0.98522167487684742</v>
      </c>
      <c r="U72" s="2">
        <f t="shared" si="17"/>
        <v>1.4778325123152714</v>
      </c>
      <c r="V72" s="2">
        <f t="shared" si="18"/>
        <v>1.9704433497536948</v>
      </c>
      <c r="W72" s="2">
        <f t="shared" si="19"/>
        <v>2.4630541871921183</v>
      </c>
      <c r="X72" s="2">
        <f t="shared" si="20"/>
        <v>2.9556650246305427</v>
      </c>
      <c r="Y72" s="5" t="str">
        <f t="shared" si="22"/>
        <v>1</v>
      </c>
      <c r="Z72" s="5" t="str">
        <f t="shared" si="22"/>
        <v>2</v>
      </c>
      <c r="AA72" s="5" t="str">
        <f t="shared" si="22"/>
        <v>2</v>
      </c>
      <c r="AB72" s="5" t="str">
        <f t="shared" si="22"/>
        <v>1</v>
      </c>
      <c r="AC72" s="5" t="str">
        <f t="shared" si="22"/>
        <v>1</v>
      </c>
      <c r="AD72" s="5" t="str">
        <f t="shared" si="22"/>
        <v>1</v>
      </c>
      <c r="AE72" s="5" t="str">
        <f t="shared" si="22"/>
        <v>1</v>
      </c>
    </row>
    <row r="73" spans="1:31" ht="14.4" x14ac:dyDescent="0.3">
      <c r="A73" s="14">
        <v>70</v>
      </c>
      <c r="B73" s="15" t="s">
        <v>171</v>
      </c>
      <c r="C73" s="10">
        <v>11</v>
      </c>
      <c r="D73" s="10">
        <v>29</v>
      </c>
      <c r="E73" s="17">
        <v>365</v>
      </c>
      <c r="F73" s="22">
        <v>1E-4</v>
      </c>
      <c r="G73" s="10">
        <v>1200</v>
      </c>
      <c r="H73" s="13">
        <v>1.4E-3</v>
      </c>
      <c r="I73" s="18">
        <v>10950</v>
      </c>
      <c r="J73" s="20">
        <v>11</v>
      </c>
      <c r="K73" s="19">
        <f t="shared" si="23"/>
        <v>1.517241379310345E-3</v>
      </c>
      <c r="L73" s="2">
        <f t="shared" si="21"/>
        <v>6.8965517241379316E-4</v>
      </c>
      <c r="M73" s="2">
        <f t="shared" si="24"/>
        <v>1.3793103448275863E-3</v>
      </c>
      <c r="N73" s="2">
        <f t="shared" si="25"/>
        <v>2.0689655172413798E-3</v>
      </c>
      <c r="O73" s="2">
        <f t="shared" si="26"/>
        <v>2.7586206896551726E-3</v>
      </c>
      <c r="P73" s="2">
        <f t="shared" si="27"/>
        <v>3.4482758620689655E-3</v>
      </c>
      <c r="Q73" s="2">
        <f t="shared" si="28"/>
        <v>4.1379310344827596E-3</v>
      </c>
      <c r="R73" s="2">
        <f t="shared" si="29"/>
        <v>1.083743842364532</v>
      </c>
      <c r="S73" s="2">
        <f t="shared" si="16"/>
        <v>0.49261083743842371</v>
      </c>
      <c r="T73" s="2">
        <f t="shared" si="30"/>
        <v>0.98522167487684742</v>
      </c>
      <c r="U73" s="2">
        <f t="shared" si="17"/>
        <v>1.4778325123152714</v>
      </c>
      <c r="V73" s="2">
        <f t="shared" si="18"/>
        <v>1.9704433497536948</v>
      </c>
      <c r="W73" s="2">
        <f t="shared" si="19"/>
        <v>2.4630541871921183</v>
      </c>
      <c r="X73" s="2">
        <f t="shared" si="20"/>
        <v>2.9556650246305427</v>
      </c>
      <c r="Y73" s="5" t="str">
        <f t="shared" si="22"/>
        <v>1</v>
      </c>
      <c r="Z73" s="5" t="str">
        <f t="shared" si="22"/>
        <v>2</v>
      </c>
      <c r="AA73" s="5" t="str">
        <f t="shared" si="22"/>
        <v>2</v>
      </c>
      <c r="AB73" s="5" t="str">
        <f t="shared" si="22"/>
        <v>1</v>
      </c>
      <c r="AC73" s="5" t="str">
        <f t="shared" si="22"/>
        <v>1</v>
      </c>
      <c r="AD73" s="5" t="str">
        <f t="shared" si="22"/>
        <v>1</v>
      </c>
      <c r="AE73" s="5" t="str">
        <f t="shared" si="22"/>
        <v>1</v>
      </c>
    </row>
    <row r="74" spans="1:31" ht="14.4" x14ac:dyDescent="0.3">
      <c r="A74" s="14">
        <v>71</v>
      </c>
      <c r="B74" s="15" t="s">
        <v>108</v>
      </c>
      <c r="C74" s="10">
        <v>11</v>
      </c>
      <c r="D74" s="10">
        <v>20</v>
      </c>
      <c r="E74" s="17">
        <v>365</v>
      </c>
      <c r="F74" s="22">
        <v>1E-4</v>
      </c>
      <c r="G74" s="10">
        <v>900</v>
      </c>
      <c r="H74" s="13">
        <v>1.4E-3</v>
      </c>
      <c r="I74" s="18">
        <v>10950</v>
      </c>
      <c r="J74" s="20">
        <v>1</v>
      </c>
      <c r="K74" s="19">
        <f t="shared" si="23"/>
        <v>1.5000000000000001E-4</v>
      </c>
      <c r="L74" s="2">
        <f t="shared" si="21"/>
        <v>7.5000000000000002E-4</v>
      </c>
      <c r="M74" s="2">
        <f t="shared" si="24"/>
        <v>1.5E-3</v>
      </c>
      <c r="N74" s="2">
        <f t="shared" si="25"/>
        <v>2.2499999999999998E-3</v>
      </c>
      <c r="O74" s="2">
        <f t="shared" si="26"/>
        <v>3.0000000000000001E-3</v>
      </c>
      <c r="P74" s="2">
        <f t="shared" si="27"/>
        <v>3.7499999999999999E-3</v>
      </c>
      <c r="Q74" s="2">
        <f t="shared" si="28"/>
        <v>4.4999999999999997E-3</v>
      </c>
      <c r="R74" s="2">
        <f t="shared" si="29"/>
        <v>0.10714285714285715</v>
      </c>
      <c r="S74" s="2">
        <f t="shared" si="16"/>
        <v>0.5357142857142857</v>
      </c>
      <c r="T74" s="2">
        <f t="shared" si="30"/>
        <v>1.0714285714285714</v>
      </c>
      <c r="U74" s="2">
        <f t="shared" si="17"/>
        <v>1.607142857142857</v>
      </c>
      <c r="V74" s="2">
        <f t="shared" si="18"/>
        <v>2.1428571428571428</v>
      </c>
      <c r="W74" s="2">
        <f t="shared" si="19"/>
        <v>2.6785714285714284</v>
      </c>
      <c r="X74" s="2">
        <f t="shared" si="20"/>
        <v>3.214285714285714</v>
      </c>
      <c r="Y74" s="5" t="str">
        <f t="shared" si="22"/>
        <v>2</v>
      </c>
      <c r="Z74" s="5" t="str">
        <f t="shared" si="22"/>
        <v>2</v>
      </c>
      <c r="AA74" s="5" t="str">
        <f t="shared" si="22"/>
        <v>1</v>
      </c>
      <c r="AB74" s="5" t="str">
        <f t="shared" si="22"/>
        <v>1</v>
      </c>
      <c r="AC74" s="5" t="str">
        <f t="shared" si="22"/>
        <v>1</v>
      </c>
      <c r="AD74" s="5" t="str">
        <f t="shared" si="22"/>
        <v>1</v>
      </c>
      <c r="AE74" s="5" t="str">
        <f t="shared" si="22"/>
        <v>1</v>
      </c>
    </row>
    <row r="75" spans="1:31" ht="14.4" x14ac:dyDescent="0.3">
      <c r="A75" s="14">
        <v>72</v>
      </c>
      <c r="B75" s="15" t="s">
        <v>172</v>
      </c>
      <c r="C75" s="10">
        <v>11</v>
      </c>
      <c r="D75" s="10">
        <v>26</v>
      </c>
      <c r="E75" s="17">
        <v>365</v>
      </c>
      <c r="F75" s="22">
        <v>1E-4</v>
      </c>
      <c r="G75" s="10">
        <v>900</v>
      </c>
      <c r="H75" s="13">
        <v>1.4E-3</v>
      </c>
      <c r="I75" s="18">
        <v>10950</v>
      </c>
      <c r="J75" s="20">
        <v>1</v>
      </c>
      <c r="K75" s="19">
        <f t="shared" si="23"/>
        <v>1.153846153846154E-4</v>
      </c>
      <c r="L75" s="2">
        <f t="shared" si="21"/>
        <v>5.7692307692307698E-4</v>
      </c>
      <c r="M75" s="2">
        <f t="shared" si="24"/>
        <v>1.153846153846154E-3</v>
      </c>
      <c r="N75" s="2">
        <f t="shared" si="25"/>
        <v>1.7307692307692308E-3</v>
      </c>
      <c r="O75" s="2">
        <f t="shared" si="26"/>
        <v>2.3076923076923079E-3</v>
      </c>
      <c r="P75" s="2">
        <f t="shared" si="27"/>
        <v>2.8846153846153848E-3</v>
      </c>
      <c r="Q75" s="2">
        <f t="shared" si="28"/>
        <v>3.4615384615384616E-3</v>
      </c>
      <c r="R75" s="2">
        <f t="shared" si="29"/>
        <v>8.241758241758243E-2</v>
      </c>
      <c r="S75" s="2">
        <f t="shared" si="16"/>
        <v>0.41208791208791212</v>
      </c>
      <c r="T75" s="2">
        <f t="shared" si="30"/>
        <v>0.82417582417582425</v>
      </c>
      <c r="U75" s="2">
        <f t="shared" si="17"/>
        <v>1.2362637362637363</v>
      </c>
      <c r="V75" s="2">
        <f t="shared" si="18"/>
        <v>1.6483516483516485</v>
      </c>
      <c r="W75" s="2">
        <f t="shared" si="19"/>
        <v>2.0604395604395607</v>
      </c>
      <c r="X75" s="2">
        <f t="shared" si="20"/>
        <v>2.4725274725274726</v>
      </c>
      <c r="Y75" s="5" t="str">
        <f t="shared" si="22"/>
        <v>2</v>
      </c>
      <c r="Z75" s="5" t="str">
        <f t="shared" si="22"/>
        <v>2</v>
      </c>
      <c r="AA75" s="5" t="str">
        <f t="shared" si="22"/>
        <v>2</v>
      </c>
      <c r="AB75" s="5" t="str">
        <f t="shared" si="22"/>
        <v>1</v>
      </c>
      <c r="AC75" s="5" t="str">
        <f t="shared" si="22"/>
        <v>1</v>
      </c>
      <c r="AD75" s="5" t="str">
        <f t="shared" si="22"/>
        <v>1</v>
      </c>
      <c r="AE75" s="5" t="str">
        <f t="shared" si="22"/>
        <v>1</v>
      </c>
    </row>
    <row r="76" spans="1:31" ht="14.4" x14ac:dyDescent="0.3">
      <c r="A76" s="14">
        <v>73</v>
      </c>
      <c r="B76" s="15" t="s">
        <v>173</v>
      </c>
      <c r="C76" s="10">
        <v>11</v>
      </c>
      <c r="D76" s="10">
        <v>31</v>
      </c>
      <c r="E76" s="17">
        <v>365</v>
      </c>
      <c r="F76" s="22">
        <v>1E-4</v>
      </c>
      <c r="G76" s="10">
        <v>1200</v>
      </c>
      <c r="H76" s="13">
        <v>1.4E-3</v>
      </c>
      <c r="I76" s="18">
        <v>10950</v>
      </c>
      <c r="J76" s="20">
        <v>11</v>
      </c>
      <c r="K76" s="19">
        <f t="shared" si="23"/>
        <v>1.4193548387096777E-3</v>
      </c>
      <c r="L76" s="2">
        <f t="shared" si="21"/>
        <v>6.4516129032258075E-4</v>
      </c>
      <c r="M76" s="2">
        <f t="shared" si="24"/>
        <v>1.2903225806451615E-3</v>
      </c>
      <c r="N76" s="2">
        <f t="shared" si="25"/>
        <v>1.9354838709677424E-3</v>
      </c>
      <c r="O76" s="2">
        <f t="shared" si="26"/>
        <v>2.580645161290323E-3</v>
      </c>
      <c r="P76" s="2">
        <f t="shared" si="27"/>
        <v>3.2258064516129032E-3</v>
      </c>
      <c r="Q76" s="2">
        <f t="shared" si="28"/>
        <v>3.8709677419354847E-3</v>
      </c>
      <c r="R76" s="2">
        <f t="shared" si="29"/>
        <v>1.013824884792627</v>
      </c>
      <c r="S76" s="2">
        <f t="shared" si="16"/>
        <v>0.46082949308755766</v>
      </c>
      <c r="T76" s="2">
        <f t="shared" si="30"/>
        <v>0.92165898617511532</v>
      </c>
      <c r="U76" s="2">
        <f t="shared" si="17"/>
        <v>1.382488479262673</v>
      </c>
      <c r="V76" s="2">
        <f t="shared" si="18"/>
        <v>1.8433179723502306</v>
      </c>
      <c r="W76" s="2">
        <f t="shared" si="19"/>
        <v>2.3041474654377883</v>
      </c>
      <c r="X76" s="2">
        <f t="shared" si="20"/>
        <v>2.7649769585253461</v>
      </c>
      <c r="Y76" s="5" t="str">
        <f t="shared" si="22"/>
        <v>1</v>
      </c>
      <c r="Z76" s="5" t="str">
        <f t="shared" si="22"/>
        <v>2</v>
      </c>
      <c r="AA76" s="5" t="str">
        <f t="shared" si="22"/>
        <v>2</v>
      </c>
      <c r="AB76" s="5" t="str">
        <f t="shared" si="22"/>
        <v>1</v>
      </c>
      <c r="AC76" s="5" t="str">
        <f t="shared" si="22"/>
        <v>1</v>
      </c>
      <c r="AD76" s="5" t="str">
        <f t="shared" si="22"/>
        <v>1</v>
      </c>
      <c r="AE76" s="5" t="str">
        <f t="shared" si="22"/>
        <v>1</v>
      </c>
    </row>
    <row r="77" spans="1:31" ht="14.4" x14ac:dyDescent="0.3">
      <c r="A77" s="14">
        <v>74</v>
      </c>
      <c r="B77" s="15" t="s">
        <v>174</v>
      </c>
      <c r="C77" s="10">
        <v>11</v>
      </c>
      <c r="D77" s="10">
        <v>28</v>
      </c>
      <c r="E77" s="17">
        <v>365</v>
      </c>
      <c r="F77" s="22">
        <v>1E-4</v>
      </c>
      <c r="G77" s="10">
        <v>1200</v>
      </c>
      <c r="H77" s="13">
        <v>1.4E-3</v>
      </c>
      <c r="I77" s="18">
        <v>10950</v>
      </c>
      <c r="J77" s="20">
        <v>11</v>
      </c>
      <c r="K77" s="19">
        <f t="shared" si="23"/>
        <v>1.5714285714285717E-3</v>
      </c>
      <c r="L77" s="2">
        <f t="shared" si="21"/>
        <v>7.1428571428571439E-4</v>
      </c>
      <c r="M77" s="2">
        <f t="shared" si="24"/>
        <v>1.4285714285714288E-3</v>
      </c>
      <c r="N77" s="2">
        <f t="shared" si="25"/>
        <v>2.1428571428571434E-3</v>
      </c>
      <c r="O77" s="2">
        <f t="shared" si="26"/>
        <v>2.8571428571428576E-3</v>
      </c>
      <c r="P77" s="2">
        <f t="shared" si="27"/>
        <v>3.5714285714285713E-3</v>
      </c>
      <c r="Q77" s="2">
        <f t="shared" si="28"/>
        <v>4.2857142857142868E-3</v>
      </c>
      <c r="R77" s="2">
        <f t="shared" si="29"/>
        <v>1.1224489795918369</v>
      </c>
      <c r="S77" s="2">
        <f t="shared" si="16"/>
        <v>0.51020408163265318</v>
      </c>
      <c r="T77" s="2">
        <f t="shared" si="30"/>
        <v>1.0204081632653064</v>
      </c>
      <c r="U77" s="2">
        <f t="shared" si="17"/>
        <v>1.5306122448979596</v>
      </c>
      <c r="V77" s="2">
        <f t="shared" si="18"/>
        <v>2.0408163265306127</v>
      </c>
      <c r="W77" s="2">
        <f t="shared" si="19"/>
        <v>2.5510204081632653</v>
      </c>
      <c r="X77" s="2">
        <f t="shared" si="20"/>
        <v>3.0612244897959191</v>
      </c>
      <c r="Y77" s="5" t="str">
        <f t="shared" si="22"/>
        <v>1</v>
      </c>
      <c r="Z77" s="5" t="str">
        <f t="shared" si="22"/>
        <v>2</v>
      </c>
      <c r="AA77" s="5" t="str">
        <f t="shared" si="22"/>
        <v>1</v>
      </c>
      <c r="AB77" s="5" t="str">
        <f t="shared" si="22"/>
        <v>1</v>
      </c>
      <c r="AC77" s="5" t="str">
        <f t="shared" si="22"/>
        <v>1</v>
      </c>
      <c r="AD77" s="5" t="str">
        <f t="shared" si="22"/>
        <v>1</v>
      </c>
      <c r="AE77" s="5" t="str">
        <f t="shared" si="22"/>
        <v>1</v>
      </c>
    </row>
    <row r="78" spans="1:31" ht="14.4" x14ac:dyDescent="0.3">
      <c r="A78" s="14">
        <v>75</v>
      </c>
      <c r="B78" s="15" t="s">
        <v>175</v>
      </c>
      <c r="C78" s="10">
        <v>11</v>
      </c>
      <c r="D78" s="10">
        <v>35</v>
      </c>
      <c r="E78" s="17">
        <v>365</v>
      </c>
      <c r="F78" s="22">
        <v>1E-4</v>
      </c>
      <c r="G78" s="10">
        <v>900</v>
      </c>
      <c r="H78" s="13">
        <v>1.4E-3</v>
      </c>
      <c r="I78" s="18">
        <v>10950</v>
      </c>
      <c r="J78" s="20">
        <v>6</v>
      </c>
      <c r="K78" s="19">
        <f t="shared" si="23"/>
        <v>5.142857142857143E-4</v>
      </c>
      <c r="L78" s="2">
        <f t="shared" si="21"/>
        <v>4.2857142857142855E-4</v>
      </c>
      <c r="M78" s="2">
        <f t="shared" si="24"/>
        <v>8.571428571428571E-4</v>
      </c>
      <c r="N78" s="2">
        <f t="shared" si="25"/>
        <v>1.2857142857142856E-3</v>
      </c>
      <c r="O78" s="2">
        <f t="shared" si="26"/>
        <v>1.7142857142857142E-3</v>
      </c>
      <c r="P78" s="2">
        <f t="shared" si="27"/>
        <v>2.142857142857143E-3</v>
      </c>
      <c r="Q78" s="2">
        <f t="shared" si="28"/>
        <v>2.5714285714285713E-3</v>
      </c>
      <c r="R78" s="2">
        <f t="shared" si="29"/>
        <v>0.36734693877551022</v>
      </c>
      <c r="S78" s="2">
        <f t="shared" si="16"/>
        <v>0.30612244897959184</v>
      </c>
      <c r="T78" s="2">
        <f t="shared" si="30"/>
        <v>0.61224489795918369</v>
      </c>
      <c r="U78" s="2">
        <f t="shared" si="17"/>
        <v>0.91836734693877542</v>
      </c>
      <c r="V78" s="2">
        <f t="shared" si="18"/>
        <v>1.2244897959183674</v>
      </c>
      <c r="W78" s="2">
        <f t="shared" si="19"/>
        <v>1.5306122448979593</v>
      </c>
      <c r="X78" s="2">
        <f t="shared" si="20"/>
        <v>1.8367346938775508</v>
      </c>
      <c r="Y78" s="5" t="str">
        <f t="shared" si="22"/>
        <v>2</v>
      </c>
      <c r="Z78" s="5" t="str">
        <f t="shared" si="22"/>
        <v>2</v>
      </c>
      <c r="AA78" s="5" t="str">
        <f t="shared" si="22"/>
        <v>2</v>
      </c>
      <c r="AB78" s="5" t="str">
        <f t="shared" si="22"/>
        <v>2</v>
      </c>
      <c r="AC78" s="5" t="str">
        <f t="shared" si="22"/>
        <v>1</v>
      </c>
      <c r="AD78" s="5" t="str">
        <f t="shared" si="22"/>
        <v>1</v>
      </c>
      <c r="AE78" s="5" t="str">
        <f t="shared" si="22"/>
        <v>1</v>
      </c>
    </row>
    <row r="79" spans="1:31" ht="14.4" x14ac:dyDescent="0.3">
      <c r="A79" s="14">
        <v>76</v>
      </c>
      <c r="B79" s="15" t="s">
        <v>176</v>
      </c>
      <c r="C79" s="10">
        <v>11</v>
      </c>
      <c r="D79" s="10">
        <v>31</v>
      </c>
      <c r="E79" s="17">
        <v>365</v>
      </c>
      <c r="F79" s="22">
        <v>1E-4</v>
      </c>
      <c r="G79" s="10">
        <v>1200</v>
      </c>
      <c r="H79" s="13">
        <v>1.4E-3</v>
      </c>
      <c r="I79" s="18">
        <v>10950</v>
      </c>
      <c r="J79" s="20">
        <v>11</v>
      </c>
      <c r="K79" s="19">
        <f t="shared" si="23"/>
        <v>1.4193548387096777E-3</v>
      </c>
      <c r="L79" s="2">
        <f t="shared" si="21"/>
        <v>6.4516129032258075E-4</v>
      </c>
      <c r="M79" s="2">
        <f t="shared" si="24"/>
        <v>1.2903225806451615E-3</v>
      </c>
      <c r="N79" s="2">
        <f t="shared" si="25"/>
        <v>1.9354838709677424E-3</v>
      </c>
      <c r="O79" s="2">
        <f t="shared" si="26"/>
        <v>2.580645161290323E-3</v>
      </c>
      <c r="P79" s="2">
        <f t="shared" si="27"/>
        <v>3.2258064516129032E-3</v>
      </c>
      <c r="Q79" s="2">
        <f t="shared" si="28"/>
        <v>3.8709677419354847E-3</v>
      </c>
      <c r="R79" s="2">
        <f t="shared" si="29"/>
        <v>1.013824884792627</v>
      </c>
      <c r="S79" s="2">
        <f t="shared" si="16"/>
        <v>0.46082949308755766</v>
      </c>
      <c r="T79" s="2">
        <f t="shared" si="30"/>
        <v>0.92165898617511532</v>
      </c>
      <c r="U79" s="2">
        <f t="shared" si="17"/>
        <v>1.382488479262673</v>
      </c>
      <c r="V79" s="2">
        <f t="shared" si="18"/>
        <v>1.8433179723502306</v>
      </c>
      <c r="W79" s="2">
        <f t="shared" si="19"/>
        <v>2.3041474654377883</v>
      </c>
      <c r="X79" s="2">
        <f t="shared" si="20"/>
        <v>2.7649769585253461</v>
      </c>
      <c r="Y79" s="5" t="str">
        <f t="shared" si="22"/>
        <v>1</v>
      </c>
      <c r="Z79" s="5" t="str">
        <f t="shared" si="22"/>
        <v>2</v>
      </c>
      <c r="AA79" s="5" t="str">
        <f t="shared" si="22"/>
        <v>2</v>
      </c>
      <c r="AB79" s="5" t="str">
        <f t="shared" si="22"/>
        <v>1</v>
      </c>
      <c r="AC79" s="5" t="str">
        <f t="shared" si="22"/>
        <v>1</v>
      </c>
      <c r="AD79" s="5" t="str">
        <f t="shared" si="22"/>
        <v>1</v>
      </c>
      <c r="AE79" s="5" t="str">
        <f t="shared" si="22"/>
        <v>1</v>
      </c>
    </row>
    <row r="80" spans="1:31" ht="14.4" x14ac:dyDescent="0.3">
      <c r="A80" s="14">
        <v>77</v>
      </c>
      <c r="B80" s="15" t="s">
        <v>177</v>
      </c>
      <c r="C80" s="10">
        <v>11</v>
      </c>
      <c r="D80" s="10">
        <v>20</v>
      </c>
      <c r="E80" s="17">
        <v>365</v>
      </c>
      <c r="F80" s="22">
        <v>1E-4</v>
      </c>
      <c r="G80" s="10">
        <v>900</v>
      </c>
      <c r="H80" s="13">
        <v>1.4E-3</v>
      </c>
      <c r="I80" s="18">
        <v>10950</v>
      </c>
      <c r="J80" s="20">
        <v>1</v>
      </c>
      <c r="K80" s="19">
        <f t="shared" si="23"/>
        <v>1.5000000000000001E-4</v>
      </c>
      <c r="L80" s="2">
        <f t="shared" si="21"/>
        <v>7.5000000000000002E-4</v>
      </c>
      <c r="M80" s="2">
        <f t="shared" si="24"/>
        <v>1.5E-3</v>
      </c>
      <c r="N80" s="2">
        <f t="shared" si="25"/>
        <v>2.2499999999999998E-3</v>
      </c>
      <c r="O80" s="2">
        <f t="shared" si="26"/>
        <v>3.0000000000000001E-3</v>
      </c>
      <c r="P80" s="2">
        <f t="shared" si="27"/>
        <v>3.7499999999999999E-3</v>
      </c>
      <c r="Q80" s="2">
        <f t="shared" si="28"/>
        <v>4.4999999999999997E-3</v>
      </c>
      <c r="R80" s="2">
        <f t="shared" si="29"/>
        <v>0.10714285714285715</v>
      </c>
      <c r="S80" s="2">
        <f t="shared" si="16"/>
        <v>0.5357142857142857</v>
      </c>
      <c r="T80" s="2">
        <f t="shared" si="30"/>
        <v>1.0714285714285714</v>
      </c>
      <c r="U80" s="2">
        <f t="shared" si="17"/>
        <v>1.607142857142857</v>
      </c>
      <c r="V80" s="2">
        <f t="shared" si="18"/>
        <v>2.1428571428571428</v>
      </c>
      <c r="W80" s="2">
        <f t="shared" si="19"/>
        <v>2.6785714285714284</v>
      </c>
      <c r="X80" s="2">
        <f t="shared" si="20"/>
        <v>3.214285714285714</v>
      </c>
      <c r="Y80" s="5" t="str">
        <f t="shared" si="22"/>
        <v>2</v>
      </c>
      <c r="Z80" s="5" t="str">
        <f t="shared" si="22"/>
        <v>2</v>
      </c>
      <c r="AA80" s="5" t="str">
        <f t="shared" si="22"/>
        <v>1</v>
      </c>
      <c r="AB80" s="5" t="str">
        <f t="shared" si="22"/>
        <v>1</v>
      </c>
      <c r="AC80" s="5" t="str">
        <f t="shared" si="22"/>
        <v>1</v>
      </c>
      <c r="AD80" s="5" t="str">
        <f t="shared" si="22"/>
        <v>1</v>
      </c>
      <c r="AE80" s="5" t="str">
        <f t="shared" si="22"/>
        <v>1</v>
      </c>
    </row>
    <row r="81" spans="1:31" ht="14.4" x14ac:dyDescent="0.3">
      <c r="A81" s="14">
        <v>78</v>
      </c>
      <c r="B81" s="15" t="s">
        <v>178</v>
      </c>
      <c r="C81" s="10">
        <v>11</v>
      </c>
      <c r="D81" s="10">
        <v>33</v>
      </c>
      <c r="E81" s="17">
        <v>365</v>
      </c>
      <c r="F81" s="22">
        <v>1E-4</v>
      </c>
      <c r="G81" s="10">
        <v>900</v>
      </c>
      <c r="H81" s="13">
        <v>1.4E-3</v>
      </c>
      <c r="I81" s="18">
        <v>10950</v>
      </c>
      <c r="J81" s="20">
        <v>11</v>
      </c>
      <c r="K81" s="19">
        <f t="shared" si="23"/>
        <v>1E-3</v>
      </c>
      <c r="L81" s="2">
        <f t="shared" si="21"/>
        <v>4.5454545454545455E-4</v>
      </c>
      <c r="M81" s="2">
        <f t="shared" si="24"/>
        <v>9.0909090909090909E-4</v>
      </c>
      <c r="N81" s="2">
        <f t="shared" si="25"/>
        <v>1.3636363636363637E-3</v>
      </c>
      <c r="O81" s="2">
        <f t="shared" si="26"/>
        <v>1.8181818181818182E-3</v>
      </c>
      <c r="P81" s="2">
        <f t="shared" si="27"/>
        <v>2.2727272727272726E-3</v>
      </c>
      <c r="Q81" s="2">
        <f t="shared" si="28"/>
        <v>2.7272727272727275E-3</v>
      </c>
      <c r="R81" s="2">
        <f t="shared" si="29"/>
        <v>0.7142857142857143</v>
      </c>
      <c r="S81" s="2">
        <f t="shared" si="16"/>
        <v>0.32467532467532467</v>
      </c>
      <c r="T81" s="2">
        <f t="shared" si="30"/>
        <v>0.64935064935064934</v>
      </c>
      <c r="U81" s="2">
        <f t="shared" si="17"/>
        <v>0.97402597402597413</v>
      </c>
      <c r="V81" s="2">
        <f t="shared" si="18"/>
        <v>1.2987012987012987</v>
      </c>
      <c r="W81" s="2">
        <f t="shared" si="19"/>
        <v>1.6233766233766234</v>
      </c>
      <c r="X81" s="2">
        <f t="shared" si="20"/>
        <v>1.9480519480519483</v>
      </c>
      <c r="Y81" s="5" t="str">
        <f t="shared" si="22"/>
        <v>2</v>
      </c>
      <c r="Z81" s="5" t="str">
        <f t="shared" si="22"/>
        <v>2</v>
      </c>
      <c r="AA81" s="5" t="str">
        <f t="shared" si="22"/>
        <v>2</v>
      </c>
      <c r="AB81" s="5" t="str">
        <f t="shared" si="22"/>
        <v>2</v>
      </c>
      <c r="AC81" s="5" t="str">
        <f t="shared" si="22"/>
        <v>1</v>
      </c>
      <c r="AD81" s="5" t="str">
        <f t="shared" si="22"/>
        <v>1</v>
      </c>
      <c r="AE81" s="5" t="str">
        <f t="shared" si="22"/>
        <v>1</v>
      </c>
    </row>
    <row r="82" spans="1:31" ht="14.4" x14ac:dyDescent="0.3">
      <c r="A82" s="14">
        <v>79</v>
      </c>
      <c r="B82" s="15" t="s">
        <v>179</v>
      </c>
      <c r="C82" s="10">
        <v>11</v>
      </c>
      <c r="D82" s="10">
        <v>32</v>
      </c>
      <c r="E82" s="17">
        <v>365</v>
      </c>
      <c r="F82" s="22">
        <v>1E-4</v>
      </c>
      <c r="G82" s="10">
        <v>900</v>
      </c>
      <c r="H82" s="13">
        <v>1.4E-3</v>
      </c>
      <c r="I82" s="18">
        <v>10950</v>
      </c>
      <c r="J82" s="20">
        <v>11</v>
      </c>
      <c r="K82" s="19">
        <f t="shared" si="23"/>
        <v>1.03125E-3</v>
      </c>
      <c r="L82" s="2">
        <f t="shared" si="21"/>
        <v>4.6874999999999998E-4</v>
      </c>
      <c r="M82" s="2">
        <f t="shared" si="24"/>
        <v>9.3749999999999997E-4</v>
      </c>
      <c r="N82" s="2">
        <f t="shared" si="25"/>
        <v>1.4062499999999999E-3</v>
      </c>
      <c r="O82" s="2">
        <f t="shared" si="26"/>
        <v>1.8749999999999999E-3</v>
      </c>
      <c r="P82" s="2">
        <f t="shared" si="27"/>
        <v>2.3437499999999999E-3</v>
      </c>
      <c r="Q82" s="2">
        <f t="shared" si="28"/>
        <v>2.8124999999999999E-3</v>
      </c>
      <c r="R82" s="2">
        <f t="shared" si="29"/>
        <v>0.7366071428571429</v>
      </c>
      <c r="S82" s="2">
        <f t="shared" si="16"/>
        <v>0.33482142857142855</v>
      </c>
      <c r="T82" s="2">
        <f t="shared" si="30"/>
        <v>0.6696428571428571</v>
      </c>
      <c r="U82" s="2">
        <f t="shared" si="17"/>
        <v>1.0044642857142856</v>
      </c>
      <c r="V82" s="2">
        <f t="shared" si="18"/>
        <v>1.3392857142857142</v>
      </c>
      <c r="W82" s="2">
        <f t="shared" si="19"/>
        <v>1.6741071428571428</v>
      </c>
      <c r="X82" s="2">
        <f t="shared" si="20"/>
        <v>2.0089285714285712</v>
      </c>
      <c r="Y82" s="5" t="str">
        <f t="shared" si="22"/>
        <v>2</v>
      </c>
      <c r="Z82" s="5" t="str">
        <f t="shared" si="22"/>
        <v>2</v>
      </c>
      <c r="AA82" s="5" t="str">
        <f t="shared" si="22"/>
        <v>2</v>
      </c>
      <c r="AB82" s="5" t="str">
        <f t="shared" si="22"/>
        <v>1</v>
      </c>
      <c r="AC82" s="5" t="str">
        <f t="shared" si="22"/>
        <v>1</v>
      </c>
      <c r="AD82" s="5" t="str">
        <f t="shared" si="22"/>
        <v>1</v>
      </c>
      <c r="AE82" s="5" t="str">
        <f t="shared" si="22"/>
        <v>1</v>
      </c>
    </row>
    <row r="83" spans="1:31" ht="14.4" x14ac:dyDescent="0.3">
      <c r="A83" s="14">
        <v>80</v>
      </c>
      <c r="B83" s="15" t="s">
        <v>167</v>
      </c>
      <c r="C83" s="10">
        <v>11</v>
      </c>
      <c r="D83" s="10">
        <v>23</v>
      </c>
      <c r="E83" s="17">
        <v>365</v>
      </c>
      <c r="F83" s="22">
        <v>1E-4</v>
      </c>
      <c r="G83" s="10">
        <v>900</v>
      </c>
      <c r="H83" s="13">
        <v>1.4E-3</v>
      </c>
      <c r="I83" s="18">
        <v>10950</v>
      </c>
      <c r="J83" s="20">
        <v>11</v>
      </c>
      <c r="K83" s="19">
        <f t="shared" si="23"/>
        <v>1.4347826086956522E-3</v>
      </c>
      <c r="L83" s="2">
        <f t="shared" si="21"/>
        <v>6.5217391304347831E-4</v>
      </c>
      <c r="M83" s="2">
        <f t="shared" si="24"/>
        <v>1.3043478260869566E-3</v>
      </c>
      <c r="N83" s="2">
        <f t="shared" si="25"/>
        <v>1.9565217391304349E-3</v>
      </c>
      <c r="O83" s="2">
        <f t="shared" si="26"/>
        <v>2.6086956521739132E-3</v>
      </c>
      <c r="P83" s="2">
        <f t="shared" si="27"/>
        <v>3.2608695652173911E-3</v>
      </c>
      <c r="Q83" s="2">
        <f t="shared" si="28"/>
        <v>3.9130434782608699E-3</v>
      </c>
      <c r="R83" s="2">
        <f t="shared" si="29"/>
        <v>1.0248447204968945</v>
      </c>
      <c r="S83" s="2">
        <f t="shared" si="16"/>
        <v>0.46583850931677023</v>
      </c>
      <c r="T83" s="2">
        <f t="shared" si="30"/>
        <v>0.93167701863354047</v>
      </c>
      <c r="U83" s="2">
        <f t="shared" si="17"/>
        <v>1.3975155279503106</v>
      </c>
      <c r="V83" s="2">
        <f t="shared" si="18"/>
        <v>1.8633540372670809</v>
      </c>
      <c r="W83" s="2">
        <f t="shared" si="19"/>
        <v>2.329192546583851</v>
      </c>
      <c r="X83" s="2">
        <f t="shared" si="20"/>
        <v>2.7950310559006213</v>
      </c>
      <c r="Y83" s="5" t="str">
        <f t="shared" si="22"/>
        <v>1</v>
      </c>
      <c r="Z83" s="5" t="str">
        <f t="shared" si="22"/>
        <v>2</v>
      </c>
      <c r="AA83" s="5" t="str">
        <f t="shared" si="22"/>
        <v>2</v>
      </c>
      <c r="AB83" s="5" t="str">
        <f t="shared" si="22"/>
        <v>1</v>
      </c>
      <c r="AC83" s="5" t="str">
        <f t="shared" si="22"/>
        <v>1</v>
      </c>
      <c r="AD83" s="5" t="str">
        <f t="shared" si="22"/>
        <v>1</v>
      </c>
      <c r="AE83" s="5" t="str">
        <f t="shared" si="22"/>
        <v>1</v>
      </c>
    </row>
    <row r="84" spans="1:31" ht="14.4" x14ac:dyDescent="0.3">
      <c r="A84" s="14">
        <v>81</v>
      </c>
      <c r="B84" s="15" t="s">
        <v>180</v>
      </c>
      <c r="C84" s="10">
        <v>11</v>
      </c>
      <c r="D84" s="10">
        <v>34</v>
      </c>
      <c r="E84" s="17">
        <v>365</v>
      </c>
      <c r="F84" s="22">
        <v>1E-4</v>
      </c>
      <c r="G84" s="10">
        <v>1200</v>
      </c>
      <c r="H84" s="13">
        <v>1.4E-3</v>
      </c>
      <c r="I84" s="18">
        <v>10950</v>
      </c>
      <c r="J84" s="20">
        <v>11</v>
      </c>
      <c r="K84" s="19">
        <f t="shared" si="23"/>
        <v>1.2941176470588236E-3</v>
      </c>
      <c r="L84" s="2">
        <f t="shared" si="21"/>
        <v>5.8823529411764712E-4</v>
      </c>
      <c r="M84" s="2">
        <f t="shared" si="24"/>
        <v>1.1764705882352942E-3</v>
      </c>
      <c r="N84" s="2">
        <f t="shared" si="25"/>
        <v>1.7647058823529415E-3</v>
      </c>
      <c r="O84" s="2">
        <f t="shared" si="26"/>
        <v>2.3529411764705885E-3</v>
      </c>
      <c r="P84" s="2">
        <f t="shared" si="27"/>
        <v>2.9411764705882353E-3</v>
      </c>
      <c r="Q84" s="2">
        <f t="shared" si="28"/>
        <v>3.5294117647058829E-3</v>
      </c>
      <c r="R84" s="2">
        <f t="shared" si="29"/>
        <v>0.92436974789915971</v>
      </c>
      <c r="S84" s="2">
        <f t="shared" si="16"/>
        <v>0.42016806722689082</v>
      </c>
      <c r="T84" s="2">
        <f t="shared" si="30"/>
        <v>0.84033613445378164</v>
      </c>
      <c r="U84" s="2">
        <f t="shared" si="17"/>
        <v>1.2605042016806725</v>
      </c>
      <c r="V84" s="2">
        <f t="shared" si="18"/>
        <v>1.6806722689075633</v>
      </c>
      <c r="W84" s="2">
        <f t="shared" si="19"/>
        <v>2.1008403361344539</v>
      </c>
      <c r="X84" s="2">
        <f t="shared" si="20"/>
        <v>2.5210084033613449</v>
      </c>
      <c r="Y84" s="5" t="str">
        <f t="shared" si="22"/>
        <v>2</v>
      </c>
      <c r="Z84" s="5" t="str">
        <f t="shared" si="22"/>
        <v>2</v>
      </c>
      <c r="AA84" s="5" t="str">
        <f t="shared" si="22"/>
        <v>2</v>
      </c>
      <c r="AB84" s="5" t="str">
        <f t="shared" si="22"/>
        <v>1</v>
      </c>
      <c r="AC84" s="5" t="str">
        <f t="shared" si="22"/>
        <v>1</v>
      </c>
      <c r="AD84" s="5" t="str">
        <f t="shared" si="22"/>
        <v>1</v>
      </c>
      <c r="AE84" s="5" t="str">
        <f t="shared" si="22"/>
        <v>1</v>
      </c>
    </row>
    <row r="85" spans="1:31" ht="14.4" x14ac:dyDescent="0.3">
      <c r="A85" s="14">
        <v>82</v>
      </c>
      <c r="B85" s="15" t="s">
        <v>181</v>
      </c>
      <c r="C85" s="10">
        <v>11</v>
      </c>
      <c r="D85" s="10">
        <v>32</v>
      </c>
      <c r="E85" s="17">
        <v>365</v>
      </c>
      <c r="F85" s="22">
        <v>1E-4</v>
      </c>
      <c r="G85" s="10">
        <v>900</v>
      </c>
      <c r="H85" s="13">
        <v>1.4E-3</v>
      </c>
      <c r="I85" s="18">
        <v>10950</v>
      </c>
      <c r="J85" s="20">
        <v>11</v>
      </c>
      <c r="K85" s="19">
        <f t="shared" si="23"/>
        <v>1.03125E-3</v>
      </c>
      <c r="L85" s="2">
        <f t="shared" si="21"/>
        <v>4.6874999999999998E-4</v>
      </c>
      <c r="M85" s="2">
        <f t="shared" si="24"/>
        <v>9.3749999999999997E-4</v>
      </c>
      <c r="N85" s="2">
        <f t="shared" si="25"/>
        <v>1.4062499999999999E-3</v>
      </c>
      <c r="O85" s="2">
        <f t="shared" si="26"/>
        <v>1.8749999999999999E-3</v>
      </c>
      <c r="P85" s="2">
        <f t="shared" si="27"/>
        <v>2.3437499999999999E-3</v>
      </c>
      <c r="Q85" s="2">
        <f t="shared" si="28"/>
        <v>2.8124999999999999E-3</v>
      </c>
      <c r="R85" s="2">
        <f t="shared" si="29"/>
        <v>0.7366071428571429</v>
      </c>
      <c r="S85" s="2">
        <f t="shared" si="16"/>
        <v>0.33482142857142855</v>
      </c>
      <c r="T85" s="2">
        <f t="shared" si="30"/>
        <v>0.6696428571428571</v>
      </c>
      <c r="U85" s="2">
        <f t="shared" si="17"/>
        <v>1.0044642857142856</v>
      </c>
      <c r="V85" s="2">
        <f t="shared" si="18"/>
        <v>1.3392857142857142</v>
      </c>
      <c r="W85" s="2">
        <f t="shared" si="19"/>
        <v>1.6741071428571428</v>
      </c>
      <c r="X85" s="2">
        <f t="shared" si="20"/>
        <v>2.0089285714285712</v>
      </c>
      <c r="Y85" s="5" t="str">
        <f t="shared" si="22"/>
        <v>2</v>
      </c>
      <c r="Z85" s="5" t="str">
        <f t="shared" si="22"/>
        <v>2</v>
      </c>
      <c r="AA85" s="5" t="str">
        <f t="shared" si="22"/>
        <v>2</v>
      </c>
      <c r="AB85" s="5" t="str">
        <f t="shared" si="22"/>
        <v>1</v>
      </c>
      <c r="AC85" s="5" t="str">
        <f t="shared" si="22"/>
        <v>1</v>
      </c>
      <c r="AD85" s="5" t="str">
        <f t="shared" si="22"/>
        <v>1</v>
      </c>
      <c r="AE85" s="5" t="str">
        <f t="shared" si="22"/>
        <v>1</v>
      </c>
    </row>
    <row r="86" spans="1:31" ht="14.4" x14ac:dyDescent="0.3">
      <c r="A86" s="14">
        <v>83</v>
      </c>
      <c r="B86" s="15" t="s">
        <v>182</v>
      </c>
      <c r="C86" s="10">
        <v>11</v>
      </c>
      <c r="D86" s="10">
        <v>35</v>
      </c>
      <c r="E86" s="17">
        <v>365</v>
      </c>
      <c r="F86" s="22">
        <v>1E-4</v>
      </c>
      <c r="G86" s="10">
        <v>900</v>
      </c>
      <c r="H86" s="13">
        <v>1.4E-3</v>
      </c>
      <c r="I86" s="18">
        <v>10950</v>
      </c>
      <c r="J86" s="20">
        <v>6</v>
      </c>
      <c r="K86" s="19">
        <f t="shared" si="23"/>
        <v>5.142857142857143E-4</v>
      </c>
      <c r="L86" s="2">
        <f t="shared" si="21"/>
        <v>4.2857142857142855E-4</v>
      </c>
      <c r="M86" s="2">
        <f t="shared" si="24"/>
        <v>8.571428571428571E-4</v>
      </c>
      <c r="N86" s="2">
        <f t="shared" si="25"/>
        <v>1.2857142857142856E-3</v>
      </c>
      <c r="O86" s="2">
        <f t="shared" si="26"/>
        <v>1.7142857142857142E-3</v>
      </c>
      <c r="P86" s="2">
        <f t="shared" si="27"/>
        <v>2.142857142857143E-3</v>
      </c>
      <c r="Q86" s="2">
        <f t="shared" si="28"/>
        <v>2.5714285714285713E-3</v>
      </c>
      <c r="R86" s="2">
        <f t="shared" si="29"/>
        <v>0.36734693877551022</v>
      </c>
      <c r="S86" s="2">
        <f t="shared" si="16"/>
        <v>0.30612244897959184</v>
      </c>
      <c r="T86" s="2">
        <f t="shared" si="30"/>
        <v>0.61224489795918369</v>
      </c>
      <c r="U86" s="2">
        <f t="shared" si="17"/>
        <v>0.91836734693877542</v>
      </c>
      <c r="V86" s="2">
        <f t="shared" si="18"/>
        <v>1.2244897959183674</v>
      </c>
      <c r="W86" s="2">
        <f t="shared" si="19"/>
        <v>1.5306122448979593</v>
      </c>
      <c r="X86" s="2">
        <f t="shared" si="20"/>
        <v>1.8367346938775508</v>
      </c>
      <c r="Y86" s="5" t="str">
        <f t="shared" si="22"/>
        <v>2</v>
      </c>
      <c r="Z86" s="5" t="str">
        <f t="shared" si="22"/>
        <v>2</v>
      </c>
      <c r="AA86" s="5" t="str">
        <f t="shared" si="22"/>
        <v>2</v>
      </c>
      <c r="AB86" s="5" t="str">
        <f t="shared" si="22"/>
        <v>2</v>
      </c>
      <c r="AC86" s="5" t="str">
        <f t="shared" si="22"/>
        <v>1</v>
      </c>
      <c r="AD86" s="5" t="str">
        <f t="shared" si="22"/>
        <v>1</v>
      </c>
      <c r="AE86" s="5" t="str">
        <f t="shared" si="22"/>
        <v>1</v>
      </c>
    </row>
    <row r="87" spans="1:31" ht="14.4" x14ac:dyDescent="0.3">
      <c r="A87" s="14">
        <v>84</v>
      </c>
      <c r="B87" s="15" t="s">
        <v>183</v>
      </c>
      <c r="C87" s="10">
        <v>12</v>
      </c>
      <c r="D87" s="10">
        <v>28</v>
      </c>
      <c r="E87" s="17">
        <v>365</v>
      </c>
      <c r="F87" s="22">
        <v>1E-4</v>
      </c>
      <c r="G87" s="10">
        <v>900</v>
      </c>
      <c r="H87" s="13">
        <v>1.4E-3</v>
      </c>
      <c r="I87" s="18">
        <v>10950</v>
      </c>
      <c r="J87" s="20">
        <v>12</v>
      </c>
      <c r="K87" s="19">
        <f t="shared" si="23"/>
        <v>1.2857142857142859E-3</v>
      </c>
      <c r="L87" s="2">
        <f t="shared" si="21"/>
        <v>5.3571428571428574E-4</v>
      </c>
      <c r="M87" s="2">
        <f t="shared" si="24"/>
        <v>1.0714285714285715E-3</v>
      </c>
      <c r="N87" s="2">
        <f t="shared" si="25"/>
        <v>1.6071428571428571E-3</v>
      </c>
      <c r="O87" s="2">
        <f t="shared" si="26"/>
        <v>2.142857142857143E-3</v>
      </c>
      <c r="P87" s="2">
        <f t="shared" si="27"/>
        <v>2.6785714285714286E-3</v>
      </c>
      <c r="Q87" s="2">
        <f t="shared" si="28"/>
        <v>3.2142857142857142E-3</v>
      </c>
      <c r="R87" s="2">
        <f t="shared" si="29"/>
        <v>0.91836734693877564</v>
      </c>
      <c r="S87" s="2">
        <f t="shared" si="16"/>
        <v>0.38265306122448983</v>
      </c>
      <c r="T87" s="2">
        <f t="shared" si="30"/>
        <v>0.76530612244897966</v>
      </c>
      <c r="U87" s="2">
        <f t="shared" si="17"/>
        <v>1.1479591836734693</v>
      </c>
      <c r="V87" s="2">
        <f t="shared" si="18"/>
        <v>1.5306122448979593</v>
      </c>
      <c r="W87" s="2">
        <f t="shared" si="19"/>
        <v>1.9132653061224489</v>
      </c>
      <c r="X87" s="2">
        <f t="shared" si="20"/>
        <v>2.2959183673469385</v>
      </c>
      <c r="Y87" s="5" t="str">
        <f t="shared" si="22"/>
        <v>2</v>
      </c>
      <c r="Z87" s="5" t="str">
        <f t="shared" si="22"/>
        <v>2</v>
      </c>
      <c r="AA87" s="5" t="str">
        <f t="shared" si="22"/>
        <v>2</v>
      </c>
      <c r="AB87" s="5" t="str">
        <f t="shared" si="22"/>
        <v>1</v>
      </c>
      <c r="AC87" s="5" t="str">
        <f t="shared" si="22"/>
        <v>1</v>
      </c>
      <c r="AD87" s="5" t="str">
        <f t="shared" si="22"/>
        <v>1</v>
      </c>
      <c r="AE87" s="5" t="str">
        <f t="shared" si="22"/>
        <v>1</v>
      </c>
    </row>
    <row r="88" spans="1:31" ht="14.4" x14ac:dyDescent="0.3">
      <c r="A88" s="14">
        <v>85</v>
      </c>
      <c r="B88" s="15" t="s">
        <v>184</v>
      </c>
      <c r="C88" s="10">
        <v>12</v>
      </c>
      <c r="D88" s="10">
        <v>28</v>
      </c>
      <c r="E88" s="17">
        <v>365</v>
      </c>
      <c r="F88" s="22">
        <v>1E-4</v>
      </c>
      <c r="G88" s="10">
        <v>900</v>
      </c>
      <c r="H88" s="13">
        <v>1.4E-3</v>
      </c>
      <c r="I88" s="18">
        <v>10950</v>
      </c>
      <c r="J88" s="20">
        <v>12</v>
      </c>
      <c r="K88" s="19">
        <f t="shared" si="23"/>
        <v>1.2857142857142859E-3</v>
      </c>
      <c r="L88" s="2">
        <f t="shared" si="21"/>
        <v>5.3571428571428574E-4</v>
      </c>
      <c r="M88" s="2">
        <f t="shared" si="24"/>
        <v>1.0714285714285715E-3</v>
      </c>
      <c r="N88" s="2">
        <f t="shared" si="25"/>
        <v>1.6071428571428571E-3</v>
      </c>
      <c r="O88" s="2">
        <f t="shared" si="26"/>
        <v>2.142857142857143E-3</v>
      </c>
      <c r="P88" s="2">
        <f t="shared" si="27"/>
        <v>2.6785714285714286E-3</v>
      </c>
      <c r="Q88" s="2">
        <f t="shared" si="28"/>
        <v>3.2142857142857142E-3</v>
      </c>
      <c r="R88" s="2">
        <f t="shared" si="29"/>
        <v>0.91836734693877564</v>
      </c>
      <c r="S88" s="2">
        <f t="shared" si="16"/>
        <v>0.38265306122448983</v>
      </c>
      <c r="T88" s="2">
        <f t="shared" si="30"/>
        <v>0.76530612244897966</v>
      </c>
      <c r="U88" s="2">
        <f t="shared" si="17"/>
        <v>1.1479591836734693</v>
      </c>
      <c r="V88" s="2">
        <f t="shared" si="18"/>
        <v>1.5306122448979593</v>
      </c>
      <c r="W88" s="2">
        <f t="shared" si="19"/>
        <v>1.9132653061224489</v>
      </c>
      <c r="X88" s="2">
        <f t="shared" si="20"/>
        <v>2.2959183673469385</v>
      </c>
      <c r="Y88" s="5" t="str">
        <f t="shared" si="22"/>
        <v>2</v>
      </c>
      <c r="Z88" s="5" t="str">
        <f t="shared" si="22"/>
        <v>2</v>
      </c>
      <c r="AA88" s="5" t="str">
        <f t="shared" si="22"/>
        <v>2</v>
      </c>
      <c r="AB88" s="5" t="str">
        <f t="shared" si="22"/>
        <v>1</v>
      </c>
      <c r="AC88" s="5" t="str">
        <f t="shared" si="22"/>
        <v>1</v>
      </c>
      <c r="AD88" s="5" t="str">
        <f t="shared" si="22"/>
        <v>1</v>
      </c>
      <c r="AE88" s="5" t="str">
        <f t="shared" si="22"/>
        <v>1</v>
      </c>
    </row>
    <row r="89" spans="1:31" ht="14.4" x14ac:dyDescent="0.3">
      <c r="A89" s="14">
        <v>86</v>
      </c>
      <c r="B89" s="15" t="s">
        <v>185</v>
      </c>
      <c r="C89" s="10">
        <v>12</v>
      </c>
      <c r="D89" s="10">
        <v>40</v>
      </c>
      <c r="E89" s="17">
        <v>365</v>
      </c>
      <c r="F89" s="22">
        <v>1E-4</v>
      </c>
      <c r="G89" s="10">
        <v>1800</v>
      </c>
      <c r="H89" s="13">
        <v>1.4E-3</v>
      </c>
      <c r="I89" s="18">
        <v>10950</v>
      </c>
      <c r="J89" s="20">
        <v>5</v>
      </c>
      <c r="K89" s="19">
        <f t="shared" si="23"/>
        <v>7.5000000000000002E-4</v>
      </c>
      <c r="L89" s="2">
        <f t="shared" si="21"/>
        <v>7.5000000000000002E-4</v>
      </c>
      <c r="M89" s="2">
        <f t="shared" si="24"/>
        <v>1.5E-3</v>
      </c>
      <c r="N89" s="2">
        <f t="shared" si="25"/>
        <v>2.2499999999999998E-3</v>
      </c>
      <c r="O89" s="2">
        <f t="shared" si="26"/>
        <v>3.0000000000000001E-3</v>
      </c>
      <c r="P89" s="2">
        <f t="shared" si="27"/>
        <v>3.7499999999999999E-3</v>
      </c>
      <c r="Q89" s="2">
        <f t="shared" si="28"/>
        <v>4.4999999999999997E-3</v>
      </c>
      <c r="R89" s="2">
        <f t="shared" si="29"/>
        <v>0.5357142857142857</v>
      </c>
      <c r="S89" s="2">
        <f t="shared" si="16"/>
        <v>0.5357142857142857</v>
      </c>
      <c r="T89" s="2">
        <f t="shared" si="30"/>
        <v>1.0714285714285714</v>
      </c>
      <c r="U89" s="2">
        <f t="shared" si="17"/>
        <v>1.607142857142857</v>
      </c>
      <c r="V89" s="2">
        <f t="shared" si="18"/>
        <v>2.1428571428571428</v>
      </c>
      <c r="W89" s="2">
        <f t="shared" si="19"/>
        <v>2.6785714285714284</v>
      </c>
      <c r="X89" s="2">
        <f t="shared" si="20"/>
        <v>3.214285714285714</v>
      </c>
      <c r="Y89" s="5" t="str">
        <f t="shared" si="22"/>
        <v>2</v>
      </c>
      <c r="Z89" s="5" t="str">
        <f t="shared" si="22"/>
        <v>2</v>
      </c>
      <c r="AA89" s="5" t="str">
        <f t="shared" si="22"/>
        <v>1</v>
      </c>
      <c r="AB89" s="5" t="str">
        <f t="shared" si="22"/>
        <v>1</v>
      </c>
      <c r="AC89" s="5" t="str">
        <f t="shared" si="22"/>
        <v>1</v>
      </c>
      <c r="AD89" s="5" t="str">
        <f t="shared" si="22"/>
        <v>1</v>
      </c>
      <c r="AE89" s="5" t="str">
        <f t="shared" si="22"/>
        <v>1</v>
      </c>
    </row>
    <row r="90" spans="1:31" ht="14.4" x14ac:dyDescent="0.3">
      <c r="A90" s="14">
        <v>87</v>
      </c>
      <c r="B90" s="15" t="s">
        <v>186</v>
      </c>
      <c r="C90" s="10">
        <v>12</v>
      </c>
      <c r="D90" s="10">
        <v>23</v>
      </c>
      <c r="E90" s="17">
        <v>365</v>
      </c>
      <c r="F90" s="22">
        <v>1E-4</v>
      </c>
      <c r="G90" s="10">
        <v>900</v>
      </c>
      <c r="H90" s="13">
        <v>1.4E-3</v>
      </c>
      <c r="I90" s="18">
        <v>10950</v>
      </c>
      <c r="J90" s="20">
        <v>12</v>
      </c>
      <c r="K90" s="19">
        <f t="shared" si="23"/>
        <v>1.5652173913043479E-3</v>
      </c>
      <c r="L90" s="2">
        <f t="shared" si="21"/>
        <v>6.5217391304347831E-4</v>
      </c>
      <c r="M90" s="2">
        <f t="shared" si="24"/>
        <v>1.3043478260869566E-3</v>
      </c>
      <c r="N90" s="2">
        <f t="shared" si="25"/>
        <v>1.9565217391304349E-3</v>
      </c>
      <c r="O90" s="2">
        <f t="shared" si="26"/>
        <v>2.6086956521739132E-3</v>
      </c>
      <c r="P90" s="2">
        <f t="shared" si="27"/>
        <v>3.2608695652173911E-3</v>
      </c>
      <c r="Q90" s="2">
        <f t="shared" si="28"/>
        <v>3.9130434782608699E-3</v>
      </c>
      <c r="R90" s="2">
        <f t="shared" si="29"/>
        <v>1.1180124223602486</v>
      </c>
      <c r="S90" s="2">
        <f t="shared" si="16"/>
        <v>0.46583850931677023</v>
      </c>
      <c r="T90" s="2">
        <f t="shared" si="30"/>
        <v>0.93167701863354047</v>
      </c>
      <c r="U90" s="2">
        <f t="shared" si="17"/>
        <v>1.3975155279503106</v>
      </c>
      <c r="V90" s="2">
        <f t="shared" si="18"/>
        <v>1.8633540372670809</v>
      </c>
      <c r="W90" s="2">
        <f t="shared" si="19"/>
        <v>2.329192546583851</v>
      </c>
      <c r="X90" s="2">
        <f t="shared" si="20"/>
        <v>2.7950310559006213</v>
      </c>
      <c r="Y90" s="5" t="str">
        <f t="shared" si="22"/>
        <v>1</v>
      </c>
      <c r="Z90" s="5" t="str">
        <f t="shared" si="22"/>
        <v>2</v>
      </c>
      <c r="AA90" s="5" t="str">
        <f t="shared" si="22"/>
        <v>2</v>
      </c>
      <c r="AB90" s="5" t="str">
        <f t="shared" ref="AB90:AE103" si="31">IF(U90&gt;1,"1","2")</f>
        <v>1</v>
      </c>
      <c r="AC90" s="5" t="str">
        <f t="shared" si="31"/>
        <v>1</v>
      </c>
      <c r="AD90" s="5" t="str">
        <f t="shared" si="31"/>
        <v>1</v>
      </c>
      <c r="AE90" s="5" t="str">
        <f t="shared" si="31"/>
        <v>1</v>
      </c>
    </row>
    <row r="91" spans="1:31" ht="14.4" x14ac:dyDescent="0.3">
      <c r="A91" s="14">
        <v>88</v>
      </c>
      <c r="B91" s="15" t="s">
        <v>186</v>
      </c>
      <c r="C91" s="10">
        <v>12</v>
      </c>
      <c r="D91" s="10">
        <v>23</v>
      </c>
      <c r="E91" s="17">
        <v>365</v>
      </c>
      <c r="F91" s="22">
        <v>1E-4</v>
      </c>
      <c r="G91" s="10">
        <v>900</v>
      </c>
      <c r="H91" s="13">
        <v>1.4E-3</v>
      </c>
      <c r="I91" s="18">
        <v>10950</v>
      </c>
      <c r="J91" s="20">
        <v>12</v>
      </c>
      <c r="K91" s="19">
        <f t="shared" si="23"/>
        <v>1.5652173913043479E-3</v>
      </c>
      <c r="L91" s="2">
        <f t="shared" si="21"/>
        <v>6.5217391304347831E-4</v>
      </c>
      <c r="M91" s="2">
        <f t="shared" si="24"/>
        <v>1.3043478260869566E-3</v>
      </c>
      <c r="N91" s="2">
        <f t="shared" si="25"/>
        <v>1.9565217391304349E-3</v>
      </c>
      <c r="O91" s="2">
        <f t="shared" si="26"/>
        <v>2.6086956521739132E-3</v>
      </c>
      <c r="P91" s="2">
        <f t="shared" si="27"/>
        <v>3.2608695652173911E-3</v>
      </c>
      <c r="Q91" s="2">
        <f t="shared" si="28"/>
        <v>3.9130434782608699E-3</v>
      </c>
      <c r="R91" s="2">
        <f t="shared" si="29"/>
        <v>1.1180124223602486</v>
      </c>
      <c r="S91" s="2">
        <f t="shared" si="16"/>
        <v>0.46583850931677023</v>
      </c>
      <c r="T91" s="2">
        <f t="shared" si="30"/>
        <v>0.93167701863354047</v>
      </c>
      <c r="U91" s="2">
        <f t="shared" si="17"/>
        <v>1.3975155279503106</v>
      </c>
      <c r="V91" s="2">
        <f t="shared" si="18"/>
        <v>1.8633540372670809</v>
      </c>
      <c r="W91" s="2">
        <f t="shared" si="19"/>
        <v>2.329192546583851</v>
      </c>
      <c r="X91" s="2">
        <f t="shared" si="20"/>
        <v>2.7950310559006213</v>
      </c>
      <c r="Y91" s="5" t="str">
        <f t="shared" ref="Y91:AA103" si="32">IF(R91&gt;1,"1","2")</f>
        <v>1</v>
      </c>
      <c r="Z91" s="5" t="str">
        <f t="shared" si="32"/>
        <v>2</v>
      </c>
      <c r="AA91" s="5" t="str">
        <f t="shared" si="32"/>
        <v>2</v>
      </c>
      <c r="AB91" s="5" t="str">
        <f t="shared" si="31"/>
        <v>1</v>
      </c>
      <c r="AC91" s="5" t="str">
        <f t="shared" si="31"/>
        <v>1</v>
      </c>
      <c r="AD91" s="5" t="str">
        <f t="shared" si="31"/>
        <v>1</v>
      </c>
      <c r="AE91" s="5" t="str">
        <f t="shared" si="31"/>
        <v>1</v>
      </c>
    </row>
    <row r="92" spans="1:31" ht="14.4" x14ac:dyDescent="0.3">
      <c r="A92" s="14">
        <v>89</v>
      </c>
      <c r="B92" s="15" t="s">
        <v>187</v>
      </c>
      <c r="C92" s="10">
        <v>12</v>
      </c>
      <c r="D92" s="10">
        <v>25</v>
      </c>
      <c r="E92" s="17">
        <v>365</v>
      </c>
      <c r="F92" s="22">
        <v>1E-4</v>
      </c>
      <c r="G92" s="10">
        <v>1200</v>
      </c>
      <c r="H92" s="13">
        <v>1.4E-3</v>
      </c>
      <c r="I92" s="18">
        <v>10950</v>
      </c>
      <c r="J92" s="20">
        <v>12</v>
      </c>
      <c r="K92" s="19">
        <f t="shared" si="23"/>
        <v>1.92E-3</v>
      </c>
      <c r="L92" s="2">
        <f t="shared" si="21"/>
        <v>8.0000000000000015E-4</v>
      </c>
      <c r="M92" s="2">
        <f t="shared" si="24"/>
        <v>1.6000000000000003E-3</v>
      </c>
      <c r="N92" s="2">
        <f t="shared" si="25"/>
        <v>2.4000000000000002E-3</v>
      </c>
      <c r="O92" s="2">
        <f t="shared" si="26"/>
        <v>3.2000000000000006E-3</v>
      </c>
      <c r="P92" s="2">
        <f t="shared" si="27"/>
        <v>4.0000000000000001E-3</v>
      </c>
      <c r="Q92" s="2">
        <f t="shared" si="28"/>
        <v>4.8000000000000004E-3</v>
      </c>
      <c r="R92" s="2">
        <f t="shared" si="29"/>
        <v>1.3714285714285714</v>
      </c>
      <c r="S92" s="2">
        <f t="shared" si="16"/>
        <v>0.57142857142857151</v>
      </c>
      <c r="T92" s="2">
        <f t="shared" si="30"/>
        <v>1.142857142857143</v>
      </c>
      <c r="U92" s="2">
        <f t="shared" si="17"/>
        <v>1.7142857142857144</v>
      </c>
      <c r="V92" s="2">
        <f t="shared" si="18"/>
        <v>2.285714285714286</v>
      </c>
      <c r="W92" s="2">
        <f t="shared" si="19"/>
        <v>2.8571428571428572</v>
      </c>
      <c r="X92" s="2">
        <f t="shared" si="20"/>
        <v>3.4285714285714288</v>
      </c>
      <c r="Y92" s="5" t="str">
        <f t="shared" si="32"/>
        <v>1</v>
      </c>
      <c r="Z92" s="5" t="str">
        <f t="shared" si="32"/>
        <v>2</v>
      </c>
      <c r="AA92" s="5" t="str">
        <f t="shared" si="32"/>
        <v>1</v>
      </c>
      <c r="AB92" s="5" t="str">
        <f t="shared" si="31"/>
        <v>1</v>
      </c>
      <c r="AC92" s="5" t="str">
        <f t="shared" si="31"/>
        <v>1</v>
      </c>
      <c r="AD92" s="5" t="str">
        <f t="shared" si="31"/>
        <v>1</v>
      </c>
      <c r="AE92" s="5" t="str">
        <f t="shared" si="31"/>
        <v>1</v>
      </c>
    </row>
    <row r="93" spans="1:31" ht="14.4" x14ac:dyDescent="0.3">
      <c r="A93" s="14">
        <v>90</v>
      </c>
      <c r="B93" s="15" t="s">
        <v>188</v>
      </c>
      <c r="C93" s="10">
        <v>12</v>
      </c>
      <c r="D93" s="10">
        <v>28</v>
      </c>
      <c r="E93" s="17">
        <v>365</v>
      </c>
      <c r="F93" s="22">
        <v>1E-4</v>
      </c>
      <c r="G93" s="10">
        <v>1800</v>
      </c>
      <c r="H93" s="13">
        <v>1.4E-3</v>
      </c>
      <c r="I93" s="18">
        <v>10950</v>
      </c>
      <c r="J93" s="20">
        <v>12</v>
      </c>
      <c r="K93" s="19">
        <f t="shared" si="23"/>
        <v>2.5714285714285717E-3</v>
      </c>
      <c r="L93" s="2">
        <f t="shared" si="21"/>
        <v>1.0714285714285715E-3</v>
      </c>
      <c r="M93" s="2">
        <f t="shared" si="24"/>
        <v>2.142857142857143E-3</v>
      </c>
      <c r="N93" s="2">
        <f t="shared" si="25"/>
        <v>3.2142857142857142E-3</v>
      </c>
      <c r="O93" s="2">
        <f t="shared" si="26"/>
        <v>4.2857142857142859E-3</v>
      </c>
      <c r="P93" s="2">
        <f t="shared" si="27"/>
        <v>5.3571428571428572E-3</v>
      </c>
      <c r="Q93" s="2">
        <f t="shared" si="28"/>
        <v>6.4285714285714285E-3</v>
      </c>
      <c r="R93" s="2">
        <f t="shared" si="29"/>
        <v>1.8367346938775513</v>
      </c>
      <c r="S93" s="2">
        <f t="shared" si="16"/>
        <v>0.76530612244897966</v>
      </c>
      <c r="T93" s="2">
        <f t="shared" si="30"/>
        <v>1.5306122448979593</v>
      </c>
      <c r="U93" s="2">
        <f t="shared" si="17"/>
        <v>2.2959183673469385</v>
      </c>
      <c r="V93" s="2">
        <f t="shared" si="18"/>
        <v>3.0612244897959187</v>
      </c>
      <c r="W93" s="2">
        <f t="shared" si="19"/>
        <v>3.8265306122448979</v>
      </c>
      <c r="X93" s="2">
        <f t="shared" si="20"/>
        <v>4.5918367346938771</v>
      </c>
      <c r="Y93" s="5" t="str">
        <f t="shared" si="32"/>
        <v>1</v>
      </c>
      <c r="Z93" s="5" t="str">
        <f t="shared" si="32"/>
        <v>2</v>
      </c>
      <c r="AA93" s="5" t="str">
        <f t="shared" si="32"/>
        <v>1</v>
      </c>
      <c r="AB93" s="5" t="str">
        <f t="shared" si="31"/>
        <v>1</v>
      </c>
      <c r="AC93" s="5" t="str">
        <f t="shared" si="31"/>
        <v>1</v>
      </c>
      <c r="AD93" s="5" t="str">
        <f t="shared" si="31"/>
        <v>1</v>
      </c>
      <c r="AE93" s="5" t="str">
        <f t="shared" si="31"/>
        <v>1</v>
      </c>
    </row>
    <row r="94" spans="1:31" ht="14.4" x14ac:dyDescent="0.3">
      <c r="A94" s="14">
        <v>91</v>
      </c>
      <c r="B94" s="15" t="s">
        <v>147</v>
      </c>
      <c r="C94" s="10">
        <v>12</v>
      </c>
      <c r="D94" s="10">
        <v>28</v>
      </c>
      <c r="E94" s="17">
        <v>365</v>
      </c>
      <c r="F94" s="22">
        <v>1E-4</v>
      </c>
      <c r="G94" s="10">
        <v>900</v>
      </c>
      <c r="H94" s="13">
        <v>1.4E-3</v>
      </c>
      <c r="I94" s="18">
        <v>10950</v>
      </c>
      <c r="J94" s="20">
        <v>12</v>
      </c>
      <c r="K94" s="19">
        <f t="shared" si="23"/>
        <v>1.2857142857142859E-3</v>
      </c>
      <c r="L94" s="2">
        <f t="shared" si="21"/>
        <v>5.3571428571428574E-4</v>
      </c>
      <c r="M94" s="2">
        <f t="shared" si="24"/>
        <v>1.0714285714285715E-3</v>
      </c>
      <c r="N94" s="2">
        <f t="shared" si="25"/>
        <v>1.6071428571428571E-3</v>
      </c>
      <c r="O94" s="2">
        <f t="shared" si="26"/>
        <v>2.142857142857143E-3</v>
      </c>
      <c r="P94" s="2">
        <f t="shared" si="27"/>
        <v>2.6785714285714286E-3</v>
      </c>
      <c r="Q94" s="2">
        <f t="shared" si="28"/>
        <v>3.2142857142857142E-3</v>
      </c>
      <c r="R94" s="2">
        <f t="shared" si="29"/>
        <v>0.91836734693877564</v>
      </c>
      <c r="S94" s="2">
        <f t="shared" si="16"/>
        <v>0.38265306122448983</v>
      </c>
      <c r="T94" s="2">
        <f t="shared" si="30"/>
        <v>0.76530612244897966</v>
      </c>
      <c r="U94" s="2">
        <f t="shared" si="17"/>
        <v>1.1479591836734693</v>
      </c>
      <c r="V94" s="2">
        <f t="shared" si="18"/>
        <v>1.5306122448979593</v>
      </c>
      <c r="W94" s="2">
        <f t="shared" si="19"/>
        <v>1.9132653061224489</v>
      </c>
      <c r="X94" s="2">
        <f t="shared" si="20"/>
        <v>2.2959183673469385</v>
      </c>
      <c r="Y94" s="5" t="str">
        <f t="shared" si="32"/>
        <v>2</v>
      </c>
      <c r="Z94" s="5" t="str">
        <f t="shared" si="32"/>
        <v>2</v>
      </c>
      <c r="AA94" s="5" t="str">
        <f t="shared" si="32"/>
        <v>2</v>
      </c>
      <c r="AB94" s="5" t="str">
        <f t="shared" si="31"/>
        <v>1</v>
      </c>
      <c r="AC94" s="5" t="str">
        <f t="shared" si="31"/>
        <v>1</v>
      </c>
      <c r="AD94" s="5" t="str">
        <f t="shared" si="31"/>
        <v>1</v>
      </c>
      <c r="AE94" s="5" t="str">
        <f t="shared" si="31"/>
        <v>1</v>
      </c>
    </row>
    <row r="95" spans="1:31" ht="14.4" x14ac:dyDescent="0.3">
      <c r="A95" s="14">
        <v>92</v>
      </c>
      <c r="B95" s="15" t="s">
        <v>189</v>
      </c>
      <c r="C95" s="10">
        <v>12</v>
      </c>
      <c r="D95" s="10">
        <v>40</v>
      </c>
      <c r="E95" s="17">
        <v>365</v>
      </c>
      <c r="F95" s="22">
        <v>1E-4</v>
      </c>
      <c r="G95" s="10">
        <v>1800</v>
      </c>
      <c r="H95" s="13">
        <v>1.4E-3</v>
      </c>
      <c r="I95" s="18">
        <v>10950</v>
      </c>
      <c r="J95" s="20">
        <v>5</v>
      </c>
      <c r="K95" s="19">
        <f t="shared" si="23"/>
        <v>7.5000000000000002E-4</v>
      </c>
      <c r="L95" s="2">
        <f t="shared" si="21"/>
        <v>7.5000000000000002E-4</v>
      </c>
      <c r="M95" s="2">
        <f t="shared" si="24"/>
        <v>1.5E-3</v>
      </c>
      <c r="N95" s="2">
        <f t="shared" si="25"/>
        <v>2.2499999999999998E-3</v>
      </c>
      <c r="O95" s="2">
        <f t="shared" si="26"/>
        <v>3.0000000000000001E-3</v>
      </c>
      <c r="P95" s="2">
        <f t="shared" si="27"/>
        <v>3.7499999999999999E-3</v>
      </c>
      <c r="Q95" s="2">
        <f t="shared" si="28"/>
        <v>4.4999999999999997E-3</v>
      </c>
      <c r="R95" s="2">
        <f t="shared" si="29"/>
        <v>0.5357142857142857</v>
      </c>
      <c r="S95" s="2">
        <f t="shared" si="16"/>
        <v>0.5357142857142857</v>
      </c>
      <c r="T95" s="2">
        <f t="shared" si="30"/>
        <v>1.0714285714285714</v>
      </c>
      <c r="U95" s="2">
        <f t="shared" si="17"/>
        <v>1.607142857142857</v>
      </c>
      <c r="V95" s="2">
        <f t="shared" si="18"/>
        <v>2.1428571428571428</v>
      </c>
      <c r="W95" s="2">
        <f t="shared" si="19"/>
        <v>2.6785714285714284</v>
      </c>
      <c r="X95" s="2">
        <f t="shared" si="20"/>
        <v>3.214285714285714</v>
      </c>
      <c r="Y95" s="5" t="str">
        <f t="shared" si="32"/>
        <v>2</v>
      </c>
      <c r="Z95" s="5" t="str">
        <f t="shared" si="32"/>
        <v>2</v>
      </c>
      <c r="AA95" s="5" t="str">
        <f t="shared" si="32"/>
        <v>1</v>
      </c>
      <c r="AB95" s="5" t="str">
        <f t="shared" si="31"/>
        <v>1</v>
      </c>
      <c r="AC95" s="5" t="str">
        <f t="shared" si="31"/>
        <v>1</v>
      </c>
      <c r="AD95" s="5" t="str">
        <f t="shared" si="31"/>
        <v>1</v>
      </c>
      <c r="AE95" s="5" t="str">
        <f t="shared" si="31"/>
        <v>1</v>
      </c>
    </row>
    <row r="96" spans="1:31" ht="14.4" x14ac:dyDescent="0.3">
      <c r="A96" s="14">
        <v>93</v>
      </c>
      <c r="B96" s="15" t="s">
        <v>190</v>
      </c>
      <c r="C96" s="10">
        <v>12</v>
      </c>
      <c r="D96" s="10">
        <v>23</v>
      </c>
      <c r="E96" s="17">
        <v>365</v>
      </c>
      <c r="F96" s="22">
        <v>1E-4</v>
      </c>
      <c r="G96" s="10">
        <v>900</v>
      </c>
      <c r="H96" s="13">
        <v>1.4E-3</v>
      </c>
      <c r="I96" s="18">
        <v>10950</v>
      </c>
      <c r="J96" s="20">
        <v>12</v>
      </c>
      <c r="K96" s="19">
        <f t="shared" si="23"/>
        <v>1.5652173913043479E-3</v>
      </c>
      <c r="L96" s="2">
        <f t="shared" si="21"/>
        <v>6.5217391304347831E-4</v>
      </c>
      <c r="M96" s="2">
        <f t="shared" si="24"/>
        <v>1.3043478260869566E-3</v>
      </c>
      <c r="N96" s="2">
        <f t="shared" si="25"/>
        <v>1.9565217391304349E-3</v>
      </c>
      <c r="O96" s="2">
        <f t="shared" si="26"/>
        <v>2.6086956521739132E-3</v>
      </c>
      <c r="P96" s="2">
        <f t="shared" si="27"/>
        <v>3.2608695652173911E-3</v>
      </c>
      <c r="Q96" s="2">
        <f t="shared" si="28"/>
        <v>3.9130434782608699E-3</v>
      </c>
      <c r="R96" s="2">
        <f t="shared" si="29"/>
        <v>1.1180124223602486</v>
      </c>
      <c r="S96" s="2">
        <f t="shared" si="16"/>
        <v>0.46583850931677023</v>
      </c>
      <c r="T96" s="2">
        <f t="shared" si="30"/>
        <v>0.93167701863354047</v>
      </c>
      <c r="U96" s="2">
        <f t="shared" si="17"/>
        <v>1.3975155279503106</v>
      </c>
      <c r="V96" s="2">
        <f t="shared" si="18"/>
        <v>1.8633540372670809</v>
      </c>
      <c r="W96" s="2">
        <f t="shared" si="19"/>
        <v>2.329192546583851</v>
      </c>
      <c r="X96" s="2">
        <f t="shared" si="20"/>
        <v>2.7950310559006213</v>
      </c>
      <c r="Y96" s="5" t="str">
        <f t="shared" si="32"/>
        <v>1</v>
      </c>
      <c r="Z96" s="5" t="str">
        <f t="shared" si="32"/>
        <v>2</v>
      </c>
      <c r="AA96" s="5" t="str">
        <f t="shared" si="32"/>
        <v>2</v>
      </c>
      <c r="AB96" s="5" t="str">
        <f t="shared" si="31"/>
        <v>1</v>
      </c>
      <c r="AC96" s="5" t="str">
        <f t="shared" si="31"/>
        <v>1</v>
      </c>
      <c r="AD96" s="5" t="str">
        <f t="shared" si="31"/>
        <v>1</v>
      </c>
      <c r="AE96" s="5" t="str">
        <f t="shared" si="31"/>
        <v>1</v>
      </c>
    </row>
    <row r="97" spans="1:31" ht="14.4" x14ac:dyDescent="0.3">
      <c r="A97" s="14">
        <v>94</v>
      </c>
      <c r="B97" s="15" t="s">
        <v>191</v>
      </c>
      <c r="C97" s="10">
        <v>12</v>
      </c>
      <c r="D97" s="10">
        <v>25</v>
      </c>
      <c r="E97" s="17">
        <v>365</v>
      </c>
      <c r="F97" s="22">
        <v>1E-4</v>
      </c>
      <c r="G97" s="10">
        <v>900</v>
      </c>
      <c r="H97" s="13">
        <v>1.4E-3</v>
      </c>
      <c r="I97" s="18">
        <v>10950</v>
      </c>
      <c r="J97" s="20">
        <v>12</v>
      </c>
      <c r="K97" s="19">
        <f t="shared" si="23"/>
        <v>1.4400000000000001E-3</v>
      </c>
      <c r="L97" s="2">
        <f t="shared" si="21"/>
        <v>5.9999999999999995E-4</v>
      </c>
      <c r="M97" s="2">
        <f t="shared" si="24"/>
        <v>1.1999999999999999E-3</v>
      </c>
      <c r="N97" s="2">
        <f t="shared" si="25"/>
        <v>1.8E-3</v>
      </c>
      <c r="O97" s="2">
        <f t="shared" si="26"/>
        <v>2.3999999999999998E-3</v>
      </c>
      <c r="P97" s="2">
        <f t="shared" si="27"/>
        <v>3.0000000000000001E-3</v>
      </c>
      <c r="Q97" s="2">
        <f t="shared" si="28"/>
        <v>3.5999999999999999E-3</v>
      </c>
      <c r="R97" s="2">
        <f t="shared" si="29"/>
        <v>1.0285714285714287</v>
      </c>
      <c r="S97" s="2">
        <f t="shared" si="16"/>
        <v>0.42857142857142855</v>
      </c>
      <c r="T97" s="2">
        <f t="shared" si="30"/>
        <v>0.8571428571428571</v>
      </c>
      <c r="U97" s="2">
        <f t="shared" si="17"/>
        <v>1.2857142857142856</v>
      </c>
      <c r="V97" s="2">
        <f t="shared" si="18"/>
        <v>1.7142857142857142</v>
      </c>
      <c r="W97" s="2">
        <f t="shared" si="19"/>
        <v>2.1428571428571428</v>
      </c>
      <c r="X97" s="2">
        <f t="shared" si="20"/>
        <v>2.5714285714285712</v>
      </c>
      <c r="Y97" s="5" t="str">
        <f t="shared" si="32"/>
        <v>1</v>
      </c>
      <c r="Z97" s="5" t="str">
        <f t="shared" si="32"/>
        <v>2</v>
      </c>
      <c r="AA97" s="5" t="str">
        <f t="shared" si="32"/>
        <v>2</v>
      </c>
      <c r="AB97" s="5" t="str">
        <f t="shared" si="31"/>
        <v>1</v>
      </c>
      <c r="AC97" s="5" t="str">
        <f t="shared" si="31"/>
        <v>1</v>
      </c>
      <c r="AD97" s="5" t="str">
        <f t="shared" si="31"/>
        <v>1</v>
      </c>
      <c r="AE97" s="5" t="str">
        <f t="shared" si="31"/>
        <v>1</v>
      </c>
    </row>
    <row r="98" spans="1:31" ht="14.4" x14ac:dyDescent="0.3">
      <c r="A98" s="14">
        <v>95</v>
      </c>
      <c r="B98" s="15" t="s">
        <v>192</v>
      </c>
      <c r="C98" s="10">
        <v>12</v>
      </c>
      <c r="D98" s="10">
        <v>28</v>
      </c>
      <c r="E98" s="17">
        <v>365</v>
      </c>
      <c r="F98" s="22">
        <v>1E-4</v>
      </c>
      <c r="G98" s="10">
        <v>900</v>
      </c>
      <c r="H98" s="13">
        <v>1.4E-3</v>
      </c>
      <c r="I98" s="18">
        <v>10950</v>
      </c>
      <c r="J98" s="20">
        <v>12</v>
      </c>
      <c r="K98" s="19">
        <f t="shared" si="23"/>
        <v>1.2857142857142859E-3</v>
      </c>
      <c r="L98" s="2">
        <f t="shared" si="21"/>
        <v>5.3571428571428574E-4</v>
      </c>
      <c r="M98" s="2">
        <f t="shared" si="24"/>
        <v>1.0714285714285715E-3</v>
      </c>
      <c r="N98" s="2">
        <f t="shared" si="25"/>
        <v>1.6071428571428571E-3</v>
      </c>
      <c r="O98" s="2">
        <f t="shared" si="26"/>
        <v>2.142857142857143E-3</v>
      </c>
      <c r="P98" s="2">
        <f t="shared" si="27"/>
        <v>2.6785714285714286E-3</v>
      </c>
      <c r="Q98" s="2">
        <f t="shared" si="28"/>
        <v>3.2142857142857142E-3</v>
      </c>
      <c r="R98" s="2">
        <f t="shared" si="29"/>
        <v>0.91836734693877564</v>
      </c>
      <c r="S98" s="2">
        <f t="shared" si="16"/>
        <v>0.38265306122448983</v>
      </c>
      <c r="T98" s="2">
        <f t="shared" si="30"/>
        <v>0.76530612244897966</v>
      </c>
      <c r="U98" s="2">
        <f t="shared" si="17"/>
        <v>1.1479591836734693</v>
      </c>
      <c r="V98" s="2">
        <f t="shared" si="18"/>
        <v>1.5306122448979593</v>
      </c>
      <c r="W98" s="2">
        <f t="shared" si="19"/>
        <v>1.9132653061224489</v>
      </c>
      <c r="X98" s="2">
        <f t="shared" si="20"/>
        <v>2.2959183673469385</v>
      </c>
      <c r="Y98" s="5" t="str">
        <f t="shared" si="32"/>
        <v>2</v>
      </c>
      <c r="Z98" s="5" t="str">
        <f t="shared" si="32"/>
        <v>2</v>
      </c>
      <c r="AA98" s="5" t="str">
        <f t="shared" si="32"/>
        <v>2</v>
      </c>
      <c r="AB98" s="5" t="str">
        <f t="shared" si="31"/>
        <v>1</v>
      </c>
      <c r="AC98" s="5" t="str">
        <f t="shared" si="31"/>
        <v>1</v>
      </c>
      <c r="AD98" s="5" t="str">
        <f t="shared" si="31"/>
        <v>1</v>
      </c>
      <c r="AE98" s="5" t="str">
        <f t="shared" si="31"/>
        <v>1</v>
      </c>
    </row>
    <row r="99" spans="1:31" ht="14.4" x14ac:dyDescent="0.3">
      <c r="A99" s="14">
        <v>96</v>
      </c>
      <c r="B99" s="15" t="s">
        <v>193</v>
      </c>
      <c r="C99" s="10">
        <v>12</v>
      </c>
      <c r="D99" s="10">
        <v>40</v>
      </c>
      <c r="E99" s="17">
        <v>365</v>
      </c>
      <c r="F99" s="22">
        <v>1E-4</v>
      </c>
      <c r="G99" s="10">
        <v>1800</v>
      </c>
      <c r="H99" s="13">
        <v>1.4E-3</v>
      </c>
      <c r="I99" s="18">
        <v>10950</v>
      </c>
      <c r="J99" s="20">
        <v>5</v>
      </c>
      <c r="K99" s="19">
        <f t="shared" si="23"/>
        <v>7.5000000000000002E-4</v>
      </c>
      <c r="L99" s="2">
        <f t="shared" si="21"/>
        <v>7.5000000000000002E-4</v>
      </c>
      <c r="M99" s="2">
        <f t="shared" si="24"/>
        <v>1.5E-3</v>
      </c>
      <c r="N99" s="2">
        <f t="shared" si="25"/>
        <v>2.2499999999999998E-3</v>
      </c>
      <c r="O99" s="2">
        <f t="shared" si="26"/>
        <v>3.0000000000000001E-3</v>
      </c>
      <c r="P99" s="2">
        <f t="shared" si="27"/>
        <v>3.7499999999999999E-3</v>
      </c>
      <c r="Q99" s="2">
        <f t="shared" si="28"/>
        <v>4.4999999999999997E-3</v>
      </c>
      <c r="R99" s="2">
        <f t="shared" si="29"/>
        <v>0.5357142857142857</v>
      </c>
      <c r="S99" s="2">
        <f t="shared" si="16"/>
        <v>0.5357142857142857</v>
      </c>
      <c r="T99" s="2">
        <f t="shared" si="30"/>
        <v>1.0714285714285714</v>
      </c>
      <c r="U99" s="2">
        <f t="shared" si="17"/>
        <v>1.607142857142857</v>
      </c>
      <c r="V99" s="2">
        <f t="shared" si="18"/>
        <v>2.1428571428571428</v>
      </c>
      <c r="W99" s="2">
        <f t="shared" si="19"/>
        <v>2.6785714285714284</v>
      </c>
      <c r="X99" s="2">
        <f t="shared" si="20"/>
        <v>3.214285714285714</v>
      </c>
      <c r="Y99" s="5" t="str">
        <f t="shared" si="32"/>
        <v>2</v>
      </c>
      <c r="Z99" s="5" t="str">
        <f t="shared" si="32"/>
        <v>2</v>
      </c>
      <c r="AA99" s="5" t="str">
        <f t="shared" si="32"/>
        <v>1</v>
      </c>
      <c r="AB99" s="5" t="str">
        <f t="shared" si="31"/>
        <v>1</v>
      </c>
      <c r="AC99" s="5" t="str">
        <f t="shared" si="31"/>
        <v>1</v>
      </c>
      <c r="AD99" s="5" t="str">
        <f t="shared" si="31"/>
        <v>1</v>
      </c>
      <c r="AE99" s="5" t="str">
        <f t="shared" si="31"/>
        <v>1</v>
      </c>
    </row>
    <row r="100" spans="1:31" ht="14.4" x14ac:dyDescent="0.3">
      <c r="A100" s="14">
        <v>97</v>
      </c>
      <c r="B100" s="15" t="s">
        <v>194</v>
      </c>
      <c r="C100" s="10">
        <v>12</v>
      </c>
      <c r="D100" s="10">
        <v>28</v>
      </c>
      <c r="E100" s="17">
        <v>365</v>
      </c>
      <c r="F100" s="22">
        <v>1E-4</v>
      </c>
      <c r="G100" s="10">
        <v>900</v>
      </c>
      <c r="H100" s="13">
        <v>1.4E-3</v>
      </c>
      <c r="I100" s="18">
        <v>10950</v>
      </c>
      <c r="J100" s="20">
        <v>12</v>
      </c>
      <c r="K100" s="19">
        <f t="shared" si="23"/>
        <v>1.2857142857142859E-3</v>
      </c>
      <c r="L100" s="2">
        <f t="shared" si="21"/>
        <v>5.3571428571428574E-4</v>
      </c>
      <c r="M100" s="2">
        <f t="shared" si="24"/>
        <v>1.0714285714285715E-3</v>
      </c>
      <c r="N100" s="2">
        <f t="shared" si="25"/>
        <v>1.6071428571428571E-3</v>
      </c>
      <c r="O100" s="2">
        <f t="shared" si="26"/>
        <v>2.142857142857143E-3</v>
      </c>
      <c r="P100" s="2">
        <f t="shared" si="27"/>
        <v>2.6785714285714286E-3</v>
      </c>
      <c r="Q100" s="2">
        <f t="shared" si="28"/>
        <v>3.2142857142857142E-3</v>
      </c>
      <c r="R100" s="2">
        <f t="shared" si="29"/>
        <v>0.91836734693877564</v>
      </c>
      <c r="S100" s="2">
        <f t="shared" si="16"/>
        <v>0.38265306122448983</v>
      </c>
      <c r="T100" s="2">
        <f t="shared" si="30"/>
        <v>0.76530612244897966</v>
      </c>
      <c r="U100" s="2">
        <f t="shared" si="17"/>
        <v>1.1479591836734693</v>
      </c>
      <c r="V100" s="2">
        <f t="shared" si="18"/>
        <v>1.5306122448979593</v>
      </c>
      <c r="W100" s="2">
        <f t="shared" si="19"/>
        <v>1.9132653061224489</v>
      </c>
      <c r="X100" s="2">
        <f t="shared" si="20"/>
        <v>2.2959183673469385</v>
      </c>
      <c r="Y100" s="5" t="str">
        <f t="shared" si="32"/>
        <v>2</v>
      </c>
      <c r="Z100" s="5" t="str">
        <f t="shared" si="32"/>
        <v>2</v>
      </c>
      <c r="AA100" s="5" t="str">
        <f t="shared" si="32"/>
        <v>2</v>
      </c>
      <c r="AB100" s="5" t="str">
        <f t="shared" si="31"/>
        <v>1</v>
      </c>
      <c r="AC100" s="5" t="str">
        <f t="shared" si="31"/>
        <v>1</v>
      </c>
      <c r="AD100" s="5" t="str">
        <f t="shared" si="31"/>
        <v>1</v>
      </c>
      <c r="AE100" s="5" t="str">
        <f t="shared" si="31"/>
        <v>1</v>
      </c>
    </row>
    <row r="101" spans="1:31" ht="14.4" x14ac:dyDescent="0.3">
      <c r="A101" s="14">
        <v>98</v>
      </c>
      <c r="B101" s="15" t="s">
        <v>193</v>
      </c>
      <c r="C101" s="10">
        <v>12</v>
      </c>
      <c r="D101" s="10">
        <v>40</v>
      </c>
      <c r="E101" s="17">
        <v>365</v>
      </c>
      <c r="F101" s="22">
        <v>1E-4</v>
      </c>
      <c r="G101" s="10">
        <v>1800</v>
      </c>
      <c r="H101" s="13">
        <v>1.4E-3</v>
      </c>
      <c r="I101" s="18">
        <v>10950</v>
      </c>
      <c r="J101" s="20">
        <v>5</v>
      </c>
      <c r="K101" s="19">
        <f t="shared" si="23"/>
        <v>7.5000000000000002E-4</v>
      </c>
      <c r="L101" s="2">
        <f t="shared" si="21"/>
        <v>7.5000000000000002E-4</v>
      </c>
      <c r="M101" s="2">
        <f t="shared" si="24"/>
        <v>1.5E-3</v>
      </c>
      <c r="N101" s="2">
        <f t="shared" si="25"/>
        <v>2.2499999999999998E-3</v>
      </c>
      <c r="O101" s="2">
        <f t="shared" si="26"/>
        <v>3.0000000000000001E-3</v>
      </c>
      <c r="P101" s="2">
        <f t="shared" si="27"/>
        <v>3.7499999999999999E-3</v>
      </c>
      <c r="Q101" s="2">
        <f t="shared" si="28"/>
        <v>4.4999999999999997E-3</v>
      </c>
      <c r="R101" s="2">
        <f t="shared" si="29"/>
        <v>0.5357142857142857</v>
      </c>
      <c r="S101" s="2">
        <f t="shared" si="16"/>
        <v>0.5357142857142857</v>
      </c>
      <c r="T101" s="2">
        <f t="shared" si="30"/>
        <v>1.0714285714285714</v>
      </c>
      <c r="U101" s="2">
        <f t="shared" si="17"/>
        <v>1.607142857142857</v>
      </c>
      <c r="V101" s="2">
        <f t="shared" si="18"/>
        <v>2.1428571428571428</v>
      </c>
      <c r="W101" s="2">
        <f t="shared" si="19"/>
        <v>2.6785714285714284</v>
      </c>
      <c r="X101" s="2">
        <f t="shared" si="20"/>
        <v>3.214285714285714</v>
      </c>
      <c r="Y101" s="5" t="str">
        <f t="shared" si="32"/>
        <v>2</v>
      </c>
      <c r="Z101" s="5" t="str">
        <f t="shared" si="32"/>
        <v>2</v>
      </c>
      <c r="AA101" s="5" t="str">
        <f t="shared" si="32"/>
        <v>1</v>
      </c>
      <c r="AB101" s="5" t="str">
        <f t="shared" si="31"/>
        <v>1</v>
      </c>
      <c r="AC101" s="5" t="str">
        <f t="shared" si="31"/>
        <v>1</v>
      </c>
      <c r="AD101" s="5" t="str">
        <f t="shared" si="31"/>
        <v>1</v>
      </c>
      <c r="AE101" s="5" t="str">
        <f t="shared" si="31"/>
        <v>1</v>
      </c>
    </row>
    <row r="102" spans="1:31" ht="14.4" x14ac:dyDescent="0.3">
      <c r="A102" s="14">
        <v>99</v>
      </c>
      <c r="B102" s="15" t="s">
        <v>195</v>
      </c>
      <c r="C102" s="10">
        <v>12</v>
      </c>
      <c r="D102" s="10">
        <v>28</v>
      </c>
      <c r="E102" s="17">
        <v>365</v>
      </c>
      <c r="F102" s="22">
        <v>1E-4</v>
      </c>
      <c r="G102" s="10">
        <v>1800</v>
      </c>
      <c r="H102" s="13">
        <v>1.4E-3</v>
      </c>
      <c r="I102" s="18">
        <v>10950</v>
      </c>
      <c r="J102" s="20">
        <v>12</v>
      </c>
      <c r="K102" s="19">
        <f t="shared" si="23"/>
        <v>2.5714285714285717E-3</v>
      </c>
      <c r="L102" s="2">
        <f t="shared" si="21"/>
        <v>1.0714285714285715E-3</v>
      </c>
      <c r="M102" s="2">
        <f t="shared" si="24"/>
        <v>2.142857142857143E-3</v>
      </c>
      <c r="N102" s="2">
        <f t="shared" si="25"/>
        <v>3.2142857142857142E-3</v>
      </c>
      <c r="O102" s="2">
        <f t="shared" si="26"/>
        <v>4.2857142857142859E-3</v>
      </c>
      <c r="P102" s="2">
        <f t="shared" si="27"/>
        <v>5.3571428571428572E-3</v>
      </c>
      <c r="Q102" s="2">
        <f t="shared" si="28"/>
        <v>6.4285714285714285E-3</v>
      </c>
      <c r="R102" s="2">
        <f t="shared" si="29"/>
        <v>1.8367346938775513</v>
      </c>
      <c r="S102" s="2">
        <f t="shared" si="16"/>
        <v>0.76530612244897966</v>
      </c>
      <c r="T102" s="2">
        <f t="shared" si="30"/>
        <v>1.5306122448979593</v>
      </c>
      <c r="U102" s="2">
        <f t="shared" si="17"/>
        <v>2.2959183673469385</v>
      </c>
      <c r="V102" s="2">
        <f t="shared" si="18"/>
        <v>3.0612244897959187</v>
      </c>
      <c r="W102" s="2">
        <f t="shared" si="19"/>
        <v>3.8265306122448979</v>
      </c>
      <c r="X102" s="2">
        <f t="shared" si="20"/>
        <v>4.5918367346938771</v>
      </c>
      <c r="Y102" s="5" t="str">
        <f t="shared" si="32"/>
        <v>1</v>
      </c>
      <c r="Z102" s="5" t="str">
        <f t="shared" si="32"/>
        <v>2</v>
      </c>
      <c r="AA102" s="5" t="str">
        <f t="shared" si="32"/>
        <v>1</v>
      </c>
      <c r="AB102" s="5" t="str">
        <f t="shared" si="31"/>
        <v>1</v>
      </c>
      <c r="AC102" s="5" t="str">
        <f t="shared" si="31"/>
        <v>1</v>
      </c>
      <c r="AD102" s="5" t="str">
        <f t="shared" si="31"/>
        <v>1</v>
      </c>
      <c r="AE102" s="5" t="str">
        <f t="shared" si="31"/>
        <v>1</v>
      </c>
    </row>
    <row r="103" spans="1:31" ht="14.4" x14ac:dyDescent="0.3">
      <c r="A103" s="14">
        <v>100</v>
      </c>
      <c r="B103" s="15" t="s">
        <v>196</v>
      </c>
      <c r="C103" s="10">
        <v>12</v>
      </c>
      <c r="D103" s="10">
        <v>28</v>
      </c>
      <c r="E103" s="17">
        <v>365</v>
      </c>
      <c r="F103" s="22">
        <v>1E-4</v>
      </c>
      <c r="G103" s="10">
        <v>900</v>
      </c>
      <c r="H103" s="13">
        <v>1.4E-3</v>
      </c>
      <c r="I103" s="18">
        <v>10950</v>
      </c>
      <c r="J103" s="20">
        <v>12</v>
      </c>
      <c r="K103" s="19">
        <f t="shared" si="23"/>
        <v>1.2857142857142859E-3</v>
      </c>
      <c r="L103" s="2">
        <f t="shared" si="21"/>
        <v>5.3571428571428574E-4</v>
      </c>
      <c r="M103" s="2">
        <f t="shared" si="24"/>
        <v>1.0714285714285715E-3</v>
      </c>
      <c r="N103" s="2">
        <f t="shared" si="25"/>
        <v>1.6071428571428571E-3</v>
      </c>
      <c r="O103" s="2">
        <f t="shared" si="26"/>
        <v>2.142857142857143E-3</v>
      </c>
      <c r="P103" s="2">
        <f t="shared" si="27"/>
        <v>2.6785714285714286E-3</v>
      </c>
      <c r="Q103" s="2">
        <f t="shared" si="28"/>
        <v>3.2142857142857142E-3</v>
      </c>
      <c r="R103" s="2">
        <f t="shared" si="29"/>
        <v>0.91836734693877564</v>
      </c>
      <c r="S103" s="2">
        <f t="shared" si="16"/>
        <v>0.38265306122448983</v>
      </c>
      <c r="T103" s="2">
        <f t="shared" si="30"/>
        <v>0.76530612244897966</v>
      </c>
      <c r="U103" s="2">
        <f t="shared" si="17"/>
        <v>1.1479591836734693</v>
      </c>
      <c r="V103" s="2">
        <f t="shared" si="18"/>
        <v>1.5306122448979593</v>
      </c>
      <c r="W103" s="2">
        <f t="shared" si="19"/>
        <v>1.9132653061224489</v>
      </c>
      <c r="X103" s="2">
        <f t="shared" si="20"/>
        <v>2.2959183673469385</v>
      </c>
      <c r="Y103" s="5" t="str">
        <f t="shared" si="32"/>
        <v>2</v>
      </c>
      <c r="Z103" s="5" t="str">
        <f t="shared" si="32"/>
        <v>2</v>
      </c>
      <c r="AA103" s="5" t="str">
        <f t="shared" si="32"/>
        <v>2</v>
      </c>
      <c r="AB103" s="5" t="str">
        <f t="shared" si="31"/>
        <v>1</v>
      </c>
      <c r="AC103" s="5" t="str">
        <f t="shared" si="31"/>
        <v>1</v>
      </c>
      <c r="AD103" s="5" t="str">
        <f t="shared" si="31"/>
        <v>1</v>
      </c>
      <c r="AE103" s="5" t="str">
        <f t="shared" si="31"/>
        <v>1</v>
      </c>
    </row>
    <row r="105" spans="1:31" x14ac:dyDescent="0.25">
      <c r="A105" s="3" t="s">
        <v>76</v>
      </c>
    </row>
    <row r="106" spans="1:31" x14ac:dyDescent="0.25">
      <c r="A106" s="3" t="s">
        <v>6</v>
      </c>
    </row>
    <row r="107" spans="1:31" x14ac:dyDescent="0.25">
      <c r="A107" s="3" t="s">
        <v>7</v>
      </c>
    </row>
  </sheetData>
  <mergeCells count="31">
    <mergeCell ref="AE1:AE2"/>
    <mergeCell ref="Y1:Y2"/>
    <mergeCell ref="Z1:Z2"/>
    <mergeCell ref="AA1:AA2"/>
    <mergeCell ref="AB1:AB2"/>
    <mergeCell ref="AC1:AC2"/>
    <mergeCell ref="AD1:AD2"/>
    <mergeCell ref="X1:X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ZF107"/>
  <sheetViews>
    <sheetView workbookViewId="0">
      <selection activeCell="I26" sqref="I26"/>
    </sheetView>
  </sheetViews>
  <sheetFormatPr defaultColWidth="9.109375" defaultRowHeight="13.8" x14ac:dyDescent="0.25"/>
  <cols>
    <col min="1" max="1" width="5.33203125" style="3" customWidth="1"/>
    <col min="2" max="2" width="15.6640625" style="3" customWidth="1"/>
    <col min="3" max="4" width="8.33203125" style="3" customWidth="1"/>
    <col min="5" max="5" width="5" style="6" customWidth="1"/>
    <col min="6" max="6" width="10.6640625" style="3" customWidth="1"/>
    <col min="7" max="10" width="9.109375" style="3"/>
    <col min="11" max="11" width="10" style="3" bestFit="1" customWidth="1"/>
    <col min="12" max="25" width="10.88671875" style="3" customWidth="1"/>
    <col min="26" max="26" width="9.5546875" style="3" bestFit="1" customWidth="1"/>
    <col min="27" max="16384" width="9.109375" style="3"/>
  </cols>
  <sheetData>
    <row r="1" spans="1:1358" ht="15" customHeight="1" x14ac:dyDescent="0.25">
      <c r="A1" s="24" t="s">
        <v>104</v>
      </c>
      <c r="B1" s="26" t="s">
        <v>4</v>
      </c>
      <c r="C1" s="27" t="s">
        <v>197</v>
      </c>
      <c r="D1" s="26" t="s">
        <v>0</v>
      </c>
      <c r="E1" s="26" t="s">
        <v>3</v>
      </c>
      <c r="F1" s="23" t="s">
        <v>52</v>
      </c>
      <c r="G1" s="23" t="s">
        <v>1</v>
      </c>
      <c r="H1" s="23" t="s">
        <v>53</v>
      </c>
      <c r="I1" s="26" t="s">
        <v>2</v>
      </c>
      <c r="J1" s="23" t="s">
        <v>96</v>
      </c>
      <c r="K1" s="23" t="s">
        <v>97</v>
      </c>
      <c r="L1" s="23" t="s">
        <v>59</v>
      </c>
      <c r="M1" s="23" t="s">
        <v>60</v>
      </c>
      <c r="N1" s="23" t="s">
        <v>61</v>
      </c>
      <c r="O1" s="23" t="s">
        <v>62</v>
      </c>
      <c r="P1" s="23" t="s">
        <v>63</v>
      </c>
      <c r="Q1" s="23" t="s">
        <v>64</v>
      </c>
      <c r="R1" s="23" t="s">
        <v>95</v>
      </c>
      <c r="S1" s="23" t="s">
        <v>65</v>
      </c>
      <c r="T1" s="23" t="s">
        <v>66</v>
      </c>
      <c r="U1" s="23" t="s">
        <v>67</v>
      </c>
      <c r="V1" s="23" t="s">
        <v>68</v>
      </c>
      <c r="W1" s="23" t="s">
        <v>69</v>
      </c>
      <c r="X1" s="23" t="s">
        <v>70</v>
      </c>
      <c r="Y1" s="23" t="s">
        <v>98</v>
      </c>
      <c r="Z1" s="23" t="s">
        <v>75</v>
      </c>
      <c r="AA1" s="23" t="s">
        <v>71</v>
      </c>
      <c r="AB1" s="23" t="s">
        <v>72</v>
      </c>
      <c r="AC1" s="23" t="s">
        <v>73</v>
      </c>
      <c r="AD1" s="23" t="s">
        <v>74</v>
      </c>
      <c r="AE1" s="23" t="s">
        <v>54</v>
      </c>
    </row>
    <row r="2" spans="1:1358" ht="30.75" customHeight="1" x14ac:dyDescent="0.25">
      <c r="A2" s="25"/>
      <c r="B2" s="26"/>
      <c r="C2" s="28"/>
      <c r="D2" s="26"/>
      <c r="E2" s="26"/>
      <c r="F2" s="23"/>
      <c r="G2" s="23"/>
      <c r="H2" s="23"/>
      <c r="I2" s="26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spans="1:1358" s="9" customFormat="1" ht="13.2" x14ac:dyDescent="0.25">
      <c r="A3" s="7">
        <v>1</v>
      </c>
      <c r="B3" s="8">
        <v>2</v>
      </c>
      <c r="C3" s="7">
        <v>3</v>
      </c>
      <c r="D3" s="8">
        <v>4</v>
      </c>
      <c r="E3" s="7">
        <v>5</v>
      </c>
      <c r="F3" s="8">
        <v>6</v>
      </c>
      <c r="G3" s="7">
        <v>7</v>
      </c>
      <c r="H3" s="8">
        <v>8</v>
      </c>
      <c r="I3" s="7">
        <v>9</v>
      </c>
      <c r="J3" s="8">
        <v>10</v>
      </c>
      <c r="K3" s="7">
        <v>11</v>
      </c>
      <c r="L3" s="8">
        <v>12</v>
      </c>
      <c r="M3" s="7">
        <v>13</v>
      </c>
      <c r="N3" s="8">
        <v>14</v>
      </c>
      <c r="O3" s="7">
        <v>15</v>
      </c>
      <c r="P3" s="8">
        <v>16</v>
      </c>
      <c r="Q3" s="7">
        <v>17</v>
      </c>
      <c r="R3" s="8">
        <v>18</v>
      </c>
      <c r="S3" s="7">
        <v>19</v>
      </c>
      <c r="T3" s="8">
        <v>20</v>
      </c>
      <c r="U3" s="7">
        <v>21</v>
      </c>
      <c r="V3" s="8">
        <v>22</v>
      </c>
      <c r="W3" s="7">
        <v>23</v>
      </c>
      <c r="X3" s="8">
        <v>24</v>
      </c>
      <c r="Y3" s="7">
        <v>25</v>
      </c>
      <c r="Z3" s="8">
        <v>26</v>
      </c>
      <c r="AA3" s="7">
        <v>27</v>
      </c>
      <c r="AB3" s="8">
        <v>28</v>
      </c>
      <c r="AC3" s="7">
        <v>29</v>
      </c>
      <c r="AD3" s="8">
        <v>30</v>
      </c>
      <c r="AE3" s="7">
        <v>31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  <c r="AMK3" s="11"/>
      <c r="AML3" s="11"/>
      <c r="AMM3" s="11"/>
      <c r="AMN3" s="11"/>
      <c r="AMO3" s="11"/>
      <c r="AMP3" s="11"/>
      <c r="AMQ3" s="11"/>
      <c r="AMR3" s="11"/>
      <c r="AMS3" s="11"/>
      <c r="AMT3" s="11"/>
      <c r="AMU3" s="11"/>
      <c r="AMV3" s="11"/>
      <c r="AMW3" s="11"/>
      <c r="AMX3" s="11"/>
      <c r="AMY3" s="11"/>
      <c r="AMZ3" s="11"/>
      <c r="ANA3" s="11"/>
      <c r="ANB3" s="11"/>
      <c r="ANC3" s="11"/>
      <c r="AND3" s="11"/>
      <c r="ANE3" s="11"/>
      <c r="ANF3" s="11"/>
      <c r="ANG3" s="11"/>
      <c r="ANH3" s="11"/>
      <c r="ANI3" s="11"/>
      <c r="ANJ3" s="11"/>
      <c r="ANK3" s="11"/>
      <c r="ANL3" s="11"/>
      <c r="ANM3" s="11"/>
      <c r="ANN3" s="11"/>
      <c r="ANO3" s="11"/>
      <c r="ANP3" s="11"/>
      <c r="ANQ3" s="11"/>
      <c r="ANR3" s="11"/>
      <c r="ANS3" s="11"/>
      <c r="ANT3" s="11"/>
      <c r="ANU3" s="11"/>
      <c r="ANV3" s="11"/>
      <c r="ANW3" s="11"/>
      <c r="ANX3" s="11"/>
      <c r="ANY3" s="11"/>
      <c r="ANZ3" s="11"/>
      <c r="AOA3" s="11"/>
      <c r="AOB3" s="11"/>
      <c r="AOC3" s="11"/>
      <c r="AOD3" s="11"/>
      <c r="AOE3" s="11"/>
      <c r="AOF3" s="11"/>
      <c r="AOG3" s="11"/>
      <c r="AOH3" s="11"/>
      <c r="AOI3" s="11"/>
      <c r="AOJ3" s="11"/>
      <c r="AOK3" s="11"/>
      <c r="AOL3" s="11"/>
      <c r="AOM3" s="11"/>
      <c r="AON3" s="11"/>
      <c r="AOO3" s="11"/>
      <c r="AOP3" s="11"/>
      <c r="AOQ3" s="11"/>
      <c r="AOR3" s="11"/>
      <c r="AOS3" s="11"/>
      <c r="AOT3" s="11"/>
      <c r="AOU3" s="11"/>
      <c r="AOV3" s="11"/>
      <c r="AOW3" s="11"/>
      <c r="AOX3" s="11"/>
      <c r="AOY3" s="11"/>
      <c r="AOZ3" s="11"/>
      <c r="APA3" s="11"/>
      <c r="APB3" s="11"/>
      <c r="APC3" s="11"/>
      <c r="APD3" s="11"/>
      <c r="APE3" s="11"/>
      <c r="APF3" s="11"/>
      <c r="APG3" s="11"/>
      <c r="APH3" s="11"/>
      <c r="API3" s="11"/>
      <c r="APJ3" s="11"/>
      <c r="APK3" s="11"/>
      <c r="APL3" s="11"/>
      <c r="APM3" s="11"/>
      <c r="APN3" s="11"/>
      <c r="APO3" s="11"/>
      <c r="APP3" s="11"/>
      <c r="APQ3" s="11"/>
      <c r="APR3" s="11"/>
      <c r="APS3" s="11"/>
      <c r="APT3" s="11"/>
      <c r="APU3" s="11"/>
      <c r="APV3" s="11"/>
      <c r="APW3" s="11"/>
      <c r="APX3" s="11"/>
      <c r="APY3" s="11"/>
      <c r="APZ3" s="11"/>
      <c r="AQA3" s="11"/>
      <c r="AQB3" s="11"/>
      <c r="AQC3" s="11"/>
      <c r="AQD3" s="11"/>
      <c r="AQE3" s="11"/>
      <c r="AQF3" s="11"/>
      <c r="AQG3" s="11"/>
      <c r="AQH3" s="11"/>
      <c r="AQI3" s="11"/>
      <c r="AQJ3" s="11"/>
      <c r="AQK3" s="11"/>
      <c r="AQL3" s="11"/>
      <c r="AQM3" s="11"/>
      <c r="AQN3" s="11"/>
      <c r="AQO3" s="11"/>
      <c r="AQP3" s="11"/>
      <c r="AQQ3" s="11"/>
      <c r="AQR3" s="11"/>
      <c r="AQS3" s="11"/>
      <c r="AQT3" s="11"/>
      <c r="AQU3" s="11"/>
      <c r="AQV3" s="11"/>
      <c r="AQW3" s="11"/>
      <c r="AQX3" s="11"/>
      <c r="AQY3" s="11"/>
      <c r="AQZ3" s="11"/>
      <c r="ARA3" s="11"/>
      <c r="ARB3" s="11"/>
      <c r="ARC3" s="11"/>
      <c r="ARD3" s="11"/>
      <c r="ARE3" s="11"/>
      <c r="ARF3" s="11"/>
      <c r="ARG3" s="11"/>
      <c r="ARH3" s="11"/>
      <c r="ARI3" s="11"/>
      <c r="ARJ3" s="11"/>
      <c r="ARK3" s="11"/>
      <c r="ARL3" s="11"/>
      <c r="ARM3" s="11"/>
      <c r="ARN3" s="11"/>
      <c r="ARO3" s="11"/>
      <c r="ARP3" s="11"/>
      <c r="ARQ3" s="11"/>
      <c r="ARR3" s="11"/>
      <c r="ARS3" s="11"/>
      <c r="ART3" s="11"/>
      <c r="ARU3" s="11"/>
      <c r="ARV3" s="11"/>
      <c r="ARW3" s="11"/>
      <c r="ARX3" s="11"/>
      <c r="ARY3" s="11"/>
      <c r="ARZ3" s="11"/>
      <c r="ASA3" s="11"/>
      <c r="ASB3" s="11"/>
      <c r="ASC3" s="11"/>
      <c r="ASD3" s="11"/>
      <c r="ASE3" s="11"/>
      <c r="ASF3" s="11"/>
      <c r="ASG3" s="11"/>
      <c r="ASH3" s="11"/>
      <c r="ASI3" s="11"/>
      <c r="ASJ3" s="11"/>
      <c r="ASK3" s="11"/>
      <c r="ASL3" s="11"/>
      <c r="ASM3" s="11"/>
      <c r="ASN3" s="11"/>
      <c r="ASO3" s="11"/>
      <c r="ASP3" s="11"/>
      <c r="ASQ3" s="11"/>
      <c r="ASR3" s="11"/>
      <c r="ASS3" s="11"/>
      <c r="AST3" s="11"/>
      <c r="ASU3" s="11"/>
      <c r="ASV3" s="11"/>
      <c r="ASW3" s="11"/>
      <c r="ASX3" s="11"/>
      <c r="ASY3" s="11"/>
      <c r="ASZ3" s="11"/>
      <c r="ATA3" s="11"/>
      <c r="ATB3" s="11"/>
      <c r="ATC3" s="11"/>
      <c r="ATD3" s="11"/>
      <c r="ATE3" s="11"/>
      <c r="ATF3" s="11"/>
      <c r="ATG3" s="11"/>
      <c r="ATH3" s="11"/>
      <c r="ATI3" s="11"/>
      <c r="ATJ3" s="11"/>
      <c r="ATK3" s="11"/>
      <c r="ATL3" s="11"/>
      <c r="ATM3" s="11"/>
      <c r="ATN3" s="11"/>
      <c r="ATO3" s="11"/>
      <c r="ATP3" s="11"/>
      <c r="ATQ3" s="11"/>
      <c r="ATR3" s="11"/>
      <c r="ATS3" s="11"/>
      <c r="ATT3" s="11"/>
      <c r="ATU3" s="11"/>
      <c r="ATV3" s="11"/>
      <c r="ATW3" s="11"/>
      <c r="ATX3" s="11"/>
      <c r="ATY3" s="11"/>
      <c r="ATZ3" s="11"/>
      <c r="AUA3" s="11"/>
      <c r="AUB3" s="11"/>
      <c r="AUC3" s="11"/>
      <c r="AUD3" s="11"/>
      <c r="AUE3" s="11"/>
      <c r="AUF3" s="11"/>
      <c r="AUG3" s="11"/>
      <c r="AUH3" s="11"/>
      <c r="AUI3" s="11"/>
      <c r="AUJ3" s="11"/>
      <c r="AUK3" s="11"/>
      <c r="AUL3" s="11"/>
      <c r="AUM3" s="11"/>
      <c r="AUN3" s="11"/>
      <c r="AUO3" s="11"/>
      <c r="AUP3" s="11"/>
      <c r="AUQ3" s="11"/>
      <c r="AUR3" s="11"/>
      <c r="AUS3" s="11"/>
      <c r="AUT3" s="11"/>
      <c r="AUU3" s="11"/>
      <c r="AUV3" s="11"/>
      <c r="AUW3" s="11"/>
      <c r="AUX3" s="11"/>
      <c r="AUY3" s="11"/>
      <c r="AUZ3" s="11"/>
      <c r="AVA3" s="11"/>
      <c r="AVB3" s="11"/>
      <c r="AVC3" s="11"/>
      <c r="AVD3" s="11"/>
      <c r="AVE3" s="11"/>
      <c r="AVF3" s="11"/>
      <c r="AVG3" s="11"/>
      <c r="AVH3" s="11"/>
      <c r="AVI3" s="11"/>
      <c r="AVJ3" s="11"/>
      <c r="AVK3" s="11"/>
      <c r="AVL3" s="11"/>
      <c r="AVM3" s="11"/>
      <c r="AVN3" s="11"/>
      <c r="AVO3" s="11"/>
      <c r="AVP3" s="11"/>
      <c r="AVQ3" s="11"/>
      <c r="AVR3" s="11"/>
      <c r="AVS3" s="11"/>
      <c r="AVT3" s="11"/>
      <c r="AVU3" s="11"/>
      <c r="AVV3" s="11"/>
      <c r="AVW3" s="11"/>
      <c r="AVX3" s="11"/>
      <c r="AVY3" s="11"/>
      <c r="AVZ3" s="11"/>
      <c r="AWA3" s="11"/>
      <c r="AWB3" s="11"/>
      <c r="AWC3" s="11"/>
      <c r="AWD3" s="11"/>
      <c r="AWE3" s="11"/>
      <c r="AWF3" s="11"/>
      <c r="AWG3" s="11"/>
      <c r="AWH3" s="11"/>
      <c r="AWI3" s="11"/>
      <c r="AWJ3" s="11"/>
      <c r="AWK3" s="11"/>
      <c r="AWL3" s="11"/>
      <c r="AWM3" s="11"/>
      <c r="AWN3" s="11"/>
      <c r="AWO3" s="11"/>
      <c r="AWP3" s="11"/>
      <c r="AWQ3" s="11"/>
      <c r="AWR3" s="11"/>
      <c r="AWS3" s="11"/>
      <c r="AWT3" s="11"/>
      <c r="AWU3" s="11"/>
      <c r="AWV3" s="11"/>
      <c r="AWW3" s="11"/>
      <c r="AWX3" s="11"/>
      <c r="AWY3" s="11"/>
      <c r="AWZ3" s="11"/>
      <c r="AXA3" s="11"/>
      <c r="AXB3" s="11"/>
      <c r="AXC3" s="11"/>
      <c r="AXD3" s="11"/>
      <c r="AXE3" s="11"/>
      <c r="AXF3" s="11"/>
      <c r="AXG3" s="11"/>
      <c r="AXH3" s="11"/>
      <c r="AXI3" s="11"/>
      <c r="AXJ3" s="11"/>
      <c r="AXK3" s="11"/>
      <c r="AXL3" s="11"/>
      <c r="AXM3" s="11"/>
      <c r="AXN3" s="11"/>
      <c r="AXO3" s="11"/>
      <c r="AXP3" s="11"/>
      <c r="AXQ3" s="11"/>
      <c r="AXR3" s="11"/>
      <c r="AXS3" s="11"/>
      <c r="AXT3" s="11"/>
      <c r="AXU3" s="11"/>
      <c r="AXV3" s="11"/>
      <c r="AXW3" s="11"/>
      <c r="AXX3" s="11"/>
      <c r="AXY3" s="11"/>
      <c r="AXZ3" s="11"/>
      <c r="AYA3" s="11"/>
      <c r="AYB3" s="11"/>
      <c r="AYC3" s="11"/>
      <c r="AYD3" s="11"/>
      <c r="AYE3" s="11"/>
      <c r="AYF3" s="11"/>
      <c r="AYG3" s="11"/>
      <c r="AYH3" s="11"/>
      <c r="AYI3" s="11"/>
      <c r="AYJ3" s="11"/>
      <c r="AYK3" s="11"/>
      <c r="AYL3" s="11"/>
      <c r="AYM3" s="11"/>
      <c r="AYN3" s="11"/>
      <c r="AYO3" s="11"/>
      <c r="AYP3" s="11"/>
      <c r="AYQ3" s="11"/>
      <c r="AYR3" s="11"/>
      <c r="AYS3" s="11"/>
      <c r="AYT3" s="11"/>
      <c r="AYU3" s="11"/>
      <c r="AYV3" s="11"/>
      <c r="AYW3" s="11"/>
      <c r="AYX3" s="11"/>
      <c r="AYY3" s="11"/>
      <c r="AYZ3" s="11"/>
      <c r="AZA3" s="11"/>
      <c r="AZB3" s="11"/>
      <c r="AZC3" s="11"/>
      <c r="AZD3" s="11"/>
      <c r="AZE3" s="11"/>
      <c r="AZF3" s="11"/>
    </row>
    <row r="4" spans="1:1358" ht="14.4" x14ac:dyDescent="0.3">
      <c r="A4" s="14">
        <v>1</v>
      </c>
      <c r="B4" s="15" t="s">
        <v>109</v>
      </c>
      <c r="C4" s="10">
        <v>9</v>
      </c>
      <c r="D4" s="10">
        <v>25</v>
      </c>
      <c r="E4" s="16">
        <v>365</v>
      </c>
      <c r="F4" s="21">
        <v>1.7100000000000001E-2</v>
      </c>
      <c r="G4" s="10">
        <v>1500</v>
      </c>
      <c r="H4" s="13">
        <v>0.02</v>
      </c>
      <c r="I4" s="18">
        <v>10950</v>
      </c>
      <c r="J4" s="20">
        <v>9</v>
      </c>
      <c r="K4" s="19">
        <f t="shared" ref="K4:K67" si="0">(F4*G4*E4*J4)/(D4*I4)</f>
        <v>0.30780000000000002</v>
      </c>
      <c r="L4" s="2">
        <f t="shared" ref="L4:L45" si="1">(F4*G4*E4*5)/(D4*I4)</f>
        <v>0.17100000000000001</v>
      </c>
      <c r="M4" s="2">
        <f t="shared" ref="M4:M67" si="2">(F4*G4*E4*10)/(D4*I4)</f>
        <v>0.34200000000000003</v>
      </c>
      <c r="N4" s="2">
        <f t="shared" ref="N4:N67" si="3">(F4*G4*E4*15)/(D4*I4)</f>
        <v>0.51300000000000001</v>
      </c>
      <c r="O4" s="2">
        <f t="shared" ref="O4:O67" si="4">(F4*G4*E4*20)/(D4*I4)</f>
        <v>0.68400000000000005</v>
      </c>
      <c r="P4" s="2">
        <f t="shared" ref="P4:P67" si="5">(F4*G4*E4*25)/(D4*I4)</f>
        <v>0.85499999999999998</v>
      </c>
      <c r="Q4" s="2">
        <f t="shared" ref="Q4:Q67" si="6">(F4*G4*E4*30)/(D4*I4)</f>
        <v>1.026</v>
      </c>
      <c r="R4" s="2">
        <f t="shared" ref="R4:R67" si="7">K4/H4</f>
        <v>15.39</v>
      </c>
      <c r="S4" s="2">
        <f t="shared" ref="S4:S42" si="8">L4/H4</f>
        <v>8.5500000000000007</v>
      </c>
      <c r="T4" s="2">
        <f t="shared" ref="T4:T67" si="9">M4/H4</f>
        <v>17.100000000000001</v>
      </c>
      <c r="U4" s="2">
        <f t="shared" ref="U4:U43" si="10">N4/H4</f>
        <v>25.65</v>
      </c>
      <c r="V4" s="2">
        <f t="shared" ref="V4:V43" si="11">O4/H4</f>
        <v>34.200000000000003</v>
      </c>
      <c r="W4" s="2">
        <f t="shared" ref="W4:W43" si="12">P4/H4</f>
        <v>42.75</v>
      </c>
      <c r="X4" s="2">
        <f t="shared" ref="X4:X43" si="13">Q4/H4</f>
        <v>51.3</v>
      </c>
      <c r="Y4" s="5" t="str">
        <f t="shared" ref="Y4:AE28" si="14">IF(R4&gt;1,"1","2")</f>
        <v>1</v>
      </c>
      <c r="Z4" s="5" t="str">
        <f t="shared" si="14"/>
        <v>1</v>
      </c>
      <c r="AA4" s="5" t="str">
        <f t="shared" si="14"/>
        <v>1</v>
      </c>
      <c r="AB4" s="5" t="str">
        <f t="shared" si="14"/>
        <v>1</v>
      </c>
      <c r="AC4" s="5" t="str">
        <f t="shared" si="14"/>
        <v>1</v>
      </c>
      <c r="AD4" s="5" t="str">
        <f t="shared" si="14"/>
        <v>1</v>
      </c>
      <c r="AE4" s="5" t="str">
        <f t="shared" si="14"/>
        <v>1</v>
      </c>
    </row>
    <row r="5" spans="1:1358" ht="14.4" x14ac:dyDescent="0.3">
      <c r="A5" s="14">
        <v>2</v>
      </c>
      <c r="B5" s="15" t="s">
        <v>110</v>
      </c>
      <c r="C5" s="10">
        <v>9</v>
      </c>
      <c r="D5" s="10">
        <v>25</v>
      </c>
      <c r="E5" s="16">
        <v>365</v>
      </c>
      <c r="F5" s="21">
        <v>1.24E-2</v>
      </c>
      <c r="G5" s="10">
        <v>900</v>
      </c>
      <c r="H5" s="13">
        <v>0.02</v>
      </c>
      <c r="I5" s="18">
        <v>10950</v>
      </c>
      <c r="J5" s="20">
        <v>9</v>
      </c>
      <c r="K5" s="19">
        <f t="shared" si="0"/>
        <v>0.13391999999999998</v>
      </c>
      <c r="L5" s="2">
        <f t="shared" si="1"/>
        <v>7.4399999999999994E-2</v>
      </c>
      <c r="M5" s="2">
        <f t="shared" si="2"/>
        <v>0.14879999999999999</v>
      </c>
      <c r="N5" s="2">
        <f t="shared" si="3"/>
        <v>0.22320000000000001</v>
      </c>
      <c r="O5" s="2">
        <f t="shared" si="4"/>
        <v>0.29759999999999998</v>
      </c>
      <c r="P5" s="2">
        <f t="shared" si="5"/>
        <v>0.372</v>
      </c>
      <c r="Q5" s="2">
        <f t="shared" si="6"/>
        <v>0.44640000000000002</v>
      </c>
      <c r="R5" s="2">
        <f t="shared" si="7"/>
        <v>6.6959999999999988</v>
      </c>
      <c r="S5" s="2">
        <f t="shared" si="8"/>
        <v>3.7199999999999998</v>
      </c>
      <c r="T5" s="2">
        <f t="shared" si="9"/>
        <v>7.4399999999999995</v>
      </c>
      <c r="U5" s="2">
        <f t="shared" si="10"/>
        <v>11.16</v>
      </c>
      <c r="V5" s="2">
        <f t="shared" si="11"/>
        <v>14.879999999999999</v>
      </c>
      <c r="W5" s="2">
        <f t="shared" si="12"/>
        <v>18.599999999999998</v>
      </c>
      <c r="X5" s="2">
        <f t="shared" si="13"/>
        <v>22.32</v>
      </c>
      <c r="Y5" s="5" t="str">
        <f t="shared" si="14"/>
        <v>1</v>
      </c>
      <c r="Z5" s="5" t="str">
        <f t="shared" si="14"/>
        <v>1</v>
      </c>
      <c r="AA5" s="5" t="str">
        <f t="shared" si="14"/>
        <v>1</v>
      </c>
      <c r="AB5" s="5" t="str">
        <f t="shared" si="14"/>
        <v>1</v>
      </c>
      <c r="AC5" s="5" t="str">
        <f t="shared" si="14"/>
        <v>1</v>
      </c>
      <c r="AD5" s="5" t="str">
        <f t="shared" si="14"/>
        <v>1</v>
      </c>
      <c r="AE5" s="5" t="str">
        <f t="shared" si="14"/>
        <v>1</v>
      </c>
    </row>
    <row r="6" spans="1:1358" ht="14.4" x14ac:dyDescent="0.3">
      <c r="A6" s="14">
        <v>3</v>
      </c>
      <c r="B6" s="15" t="s">
        <v>111</v>
      </c>
      <c r="C6" s="10">
        <v>9</v>
      </c>
      <c r="D6" s="10">
        <v>25</v>
      </c>
      <c r="E6" s="16">
        <v>365</v>
      </c>
      <c r="F6" s="21">
        <v>4.1999999999999997E-3</v>
      </c>
      <c r="G6" s="10">
        <v>900</v>
      </c>
      <c r="H6" s="13">
        <v>0.02</v>
      </c>
      <c r="I6" s="18">
        <v>10950</v>
      </c>
      <c r="J6" s="20">
        <v>9</v>
      </c>
      <c r="K6" s="19">
        <f t="shared" si="0"/>
        <v>4.5359999999999998E-2</v>
      </c>
      <c r="L6" s="2">
        <f>(F6*G6*E6*5)/(D6*I6)</f>
        <v>2.5199999999999997E-2</v>
      </c>
      <c r="M6" s="2">
        <f t="shared" si="2"/>
        <v>5.0399999999999993E-2</v>
      </c>
      <c r="N6" s="2">
        <f t="shared" si="3"/>
        <v>7.5599999999999987E-2</v>
      </c>
      <c r="O6" s="2">
        <f t="shared" si="4"/>
        <v>0.10079999999999999</v>
      </c>
      <c r="P6" s="2">
        <f t="shared" si="5"/>
        <v>0.12599999999999997</v>
      </c>
      <c r="Q6" s="2">
        <f t="shared" si="6"/>
        <v>0.15119999999999997</v>
      </c>
      <c r="R6" s="2">
        <f t="shared" si="7"/>
        <v>2.2679999999999998</v>
      </c>
      <c r="S6" s="2">
        <f t="shared" si="8"/>
        <v>1.2599999999999998</v>
      </c>
      <c r="T6" s="2">
        <f t="shared" si="9"/>
        <v>2.5199999999999996</v>
      </c>
      <c r="U6" s="2">
        <f t="shared" si="10"/>
        <v>3.7799999999999994</v>
      </c>
      <c r="V6" s="2">
        <f t="shared" si="11"/>
        <v>5.0399999999999991</v>
      </c>
      <c r="W6" s="2">
        <f t="shared" si="12"/>
        <v>6.2999999999999989</v>
      </c>
      <c r="X6" s="2">
        <f t="shared" si="13"/>
        <v>7.5599999999999987</v>
      </c>
      <c r="Y6" s="5" t="str">
        <f t="shared" si="14"/>
        <v>1</v>
      </c>
      <c r="Z6" s="5" t="str">
        <f t="shared" si="14"/>
        <v>1</v>
      </c>
      <c r="AA6" s="5" t="str">
        <f t="shared" si="14"/>
        <v>1</v>
      </c>
      <c r="AB6" s="5" t="str">
        <f t="shared" si="14"/>
        <v>1</v>
      </c>
      <c r="AC6" s="5" t="str">
        <f t="shared" si="14"/>
        <v>1</v>
      </c>
      <c r="AD6" s="5" t="str">
        <f t="shared" si="14"/>
        <v>1</v>
      </c>
      <c r="AE6" s="5" t="str">
        <f t="shared" si="14"/>
        <v>1</v>
      </c>
    </row>
    <row r="7" spans="1:1358" ht="14.4" x14ac:dyDescent="0.3">
      <c r="A7" s="14">
        <v>4</v>
      </c>
      <c r="B7" s="15" t="s">
        <v>112</v>
      </c>
      <c r="C7" s="10">
        <v>9</v>
      </c>
      <c r="D7" s="10">
        <v>23</v>
      </c>
      <c r="E7" s="16">
        <v>365</v>
      </c>
      <c r="F7" s="21">
        <v>9.9000000000000008E-3</v>
      </c>
      <c r="G7" s="10">
        <v>1500</v>
      </c>
      <c r="H7" s="13">
        <v>0.02</v>
      </c>
      <c r="I7" s="18">
        <v>10950</v>
      </c>
      <c r="J7" s="20">
        <v>9</v>
      </c>
      <c r="K7" s="19">
        <f t="shared" si="0"/>
        <v>0.19369565217391307</v>
      </c>
      <c r="L7" s="2">
        <f t="shared" si="1"/>
        <v>0.10760869565217393</v>
      </c>
      <c r="M7" s="2">
        <f t="shared" si="2"/>
        <v>0.21521739130434786</v>
      </c>
      <c r="N7" s="2">
        <f t="shared" si="3"/>
        <v>0.32282608695652182</v>
      </c>
      <c r="O7" s="2">
        <f t="shared" si="4"/>
        <v>0.43043478260869572</v>
      </c>
      <c r="P7" s="2">
        <f t="shared" si="5"/>
        <v>0.53804347826086973</v>
      </c>
      <c r="Q7" s="2">
        <f t="shared" si="6"/>
        <v>0.64565217391304364</v>
      </c>
      <c r="R7" s="2">
        <f t="shared" si="7"/>
        <v>9.6847826086956541</v>
      </c>
      <c r="S7" s="2">
        <f t="shared" si="8"/>
        <v>5.3804347826086962</v>
      </c>
      <c r="T7" s="2">
        <f t="shared" si="9"/>
        <v>10.760869565217392</v>
      </c>
      <c r="U7" s="2">
        <f t="shared" si="10"/>
        <v>16.14130434782609</v>
      </c>
      <c r="V7" s="2">
        <f t="shared" si="11"/>
        <v>21.521739130434785</v>
      </c>
      <c r="W7" s="2">
        <f t="shared" si="12"/>
        <v>26.902173913043487</v>
      </c>
      <c r="X7" s="2">
        <f t="shared" si="13"/>
        <v>32.282608695652179</v>
      </c>
      <c r="Y7" s="5" t="str">
        <f t="shared" si="14"/>
        <v>1</v>
      </c>
      <c r="Z7" s="5" t="str">
        <f t="shared" si="14"/>
        <v>1</v>
      </c>
      <c r="AA7" s="5" t="str">
        <f t="shared" si="14"/>
        <v>1</v>
      </c>
      <c r="AB7" s="5" t="str">
        <f t="shared" si="14"/>
        <v>1</v>
      </c>
      <c r="AC7" s="5" t="str">
        <f t="shared" si="14"/>
        <v>1</v>
      </c>
      <c r="AD7" s="5" t="str">
        <f t="shared" si="14"/>
        <v>1</v>
      </c>
      <c r="AE7" s="5" t="str">
        <f t="shared" si="14"/>
        <v>1</v>
      </c>
    </row>
    <row r="8" spans="1:1358" ht="14.4" x14ac:dyDescent="0.3">
      <c r="A8" s="14">
        <v>5</v>
      </c>
      <c r="B8" s="15" t="s">
        <v>113</v>
      </c>
      <c r="C8" s="10">
        <v>9</v>
      </c>
      <c r="D8" s="10">
        <v>20</v>
      </c>
      <c r="E8" s="16">
        <v>365</v>
      </c>
      <c r="F8" s="21">
        <v>9.9000000000000008E-3</v>
      </c>
      <c r="G8" s="10">
        <v>2100</v>
      </c>
      <c r="H8" s="13">
        <v>0.02</v>
      </c>
      <c r="I8" s="18">
        <v>10950</v>
      </c>
      <c r="J8" s="20">
        <v>9</v>
      </c>
      <c r="K8" s="19">
        <f t="shared" si="0"/>
        <v>0.31185000000000002</v>
      </c>
      <c r="L8" s="2">
        <f t="shared" si="1"/>
        <v>0.17325000000000004</v>
      </c>
      <c r="M8" s="2">
        <f t="shared" si="2"/>
        <v>0.34650000000000009</v>
      </c>
      <c r="N8" s="2">
        <f t="shared" si="3"/>
        <v>0.51975000000000005</v>
      </c>
      <c r="O8" s="2">
        <f t="shared" si="4"/>
        <v>0.69300000000000017</v>
      </c>
      <c r="P8" s="2">
        <f t="shared" si="5"/>
        <v>0.86625000000000019</v>
      </c>
      <c r="Q8" s="2">
        <f t="shared" si="6"/>
        <v>1.0395000000000001</v>
      </c>
      <c r="R8" s="2">
        <f t="shared" si="7"/>
        <v>15.592500000000001</v>
      </c>
      <c r="S8" s="2">
        <f t="shared" si="8"/>
        <v>8.6625000000000014</v>
      </c>
      <c r="T8" s="2">
        <f t="shared" si="9"/>
        <v>17.325000000000003</v>
      </c>
      <c r="U8" s="2">
        <f t="shared" si="10"/>
        <v>25.987500000000001</v>
      </c>
      <c r="V8" s="2">
        <f t="shared" si="11"/>
        <v>34.650000000000006</v>
      </c>
      <c r="W8" s="2">
        <f t="shared" si="12"/>
        <v>43.312500000000007</v>
      </c>
      <c r="X8" s="2">
        <f t="shared" si="13"/>
        <v>51.975000000000001</v>
      </c>
      <c r="Y8" s="5" t="str">
        <f t="shared" si="14"/>
        <v>1</v>
      </c>
      <c r="Z8" s="5" t="str">
        <f t="shared" si="14"/>
        <v>1</v>
      </c>
      <c r="AA8" s="5" t="str">
        <f t="shared" si="14"/>
        <v>1</v>
      </c>
      <c r="AB8" s="5" t="str">
        <f t="shared" si="14"/>
        <v>1</v>
      </c>
      <c r="AC8" s="5" t="str">
        <f t="shared" si="14"/>
        <v>1</v>
      </c>
      <c r="AD8" s="5" t="str">
        <f t="shared" si="14"/>
        <v>1</v>
      </c>
      <c r="AE8" s="5" t="str">
        <f t="shared" si="14"/>
        <v>1</v>
      </c>
    </row>
    <row r="9" spans="1:1358" ht="14.4" x14ac:dyDescent="0.3">
      <c r="A9" s="14">
        <v>6</v>
      </c>
      <c r="B9" s="15" t="s">
        <v>114</v>
      </c>
      <c r="C9" s="10">
        <v>9</v>
      </c>
      <c r="D9" s="10">
        <v>40</v>
      </c>
      <c r="E9" s="16">
        <v>365</v>
      </c>
      <c r="F9" s="21">
        <v>6.1000000000000004E-3</v>
      </c>
      <c r="G9" s="10">
        <v>900</v>
      </c>
      <c r="H9" s="13">
        <v>0.02</v>
      </c>
      <c r="I9" s="18">
        <v>10950</v>
      </c>
      <c r="J9" s="20">
        <v>5</v>
      </c>
      <c r="K9" s="19">
        <f t="shared" si="0"/>
        <v>2.2875E-2</v>
      </c>
      <c r="L9" s="2">
        <f t="shared" si="1"/>
        <v>2.2875E-2</v>
      </c>
      <c r="M9" s="2">
        <f t="shared" si="2"/>
        <v>4.5749999999999999E-2</v>
      </c>
      <c r="N9" s="2">
        <f t="shared" si="3"/>
        <v>6.8625000000000005E-2</v>
      </c>
      <c r="O9" s="2">
        <f t="shared" si="4"/>
        <v>9.1499999999999998E-2</v>
      </c>
      <c r="P9" s="2">
        <f t="shared" si="5"/>
        <v>0.114375</v>
      </c>
      <c r="Q9" s="2">
        <f t="shared" si="6"/>
        <v>0.13725000000000001</v>
      </c>
      <c r="R9" s="2">
        <f t="shared" si="7"/>
        <v>1.14375</v>
      </c>
      <c r="S9" s="2">
        <f t="shared" si="8"/>
        <v>1.14375</v>
      </c>
      <c r="T9" s="2">
        <f t="shared" si="9"/>
        <v>2.2875000000000001</v>
      </c>
      <c r="U9" s="2">
        <f t="shared" si="10"/>
        <v>3.4312500000000004</v>
      </c>
      <c r="V9" s="2">
        <f t="shared" si="11"/>
        <v>4.5750000000000002</v>
      </c>
      <c r="W9" s="2">
        <f t="shared" si="12"/>
        <v>5.71875</v>
      </c>
      <c r="X9" s="2">
        <f t="shared" si="13"/>
        <v>6.8625000000000007</v>
      </c>
      <c r="Y9" s="5" t="str">
        <f t="shared" si="14"/>
        <v>1</v>
      </c>
      <c r="Z9" s="5" t="str">
        <f t="shared" si="14"/>
        <v>1</v>
      </c>
      <c r="AA9" s="5" t="str">
        <f t="shared" si="14"/>
        <v>1</v>
      </c>
      <c r="AB9" s="5" t="str">
        <f t="shared" si="14"/>
        <v>1</v>
      </c>
      <c r="AC9" s="5" t="str">
        <f t="shared" si="14"/>
        <v>1</v>
      </c>
      <c r="AD9" s="5" t="str">
        <f t="shared" si="14"/>
        <v>1</v>
      </c>
      <c r="AE9" s="5" t="str">
        <f t="shared" si="14"/>
        <v>1</v>
      </c>
    </row>
    <row r="10" spans="1:1358" ht="14.4" x14ac:dyDescent="0.3">
      <c r="A10" s="14">
        <v>7</v>
      </c>
      <c r="B10" s="15" t="s">
        <v>115</v>
      </c>
      <c r="C10" s="10">
        <v>9</v>
      </c>
      <c r="D10" s="10">
        <v>22</v>
      </c>
      <c r="E10" s="16">
        <v>365</v>
      </c>
      <c r="F10" s="21">
        <v>3.2300000000000002E-2</v>
      </c>
      <c r="G10" s="10">
        <v>900</v>
      </c>
      <c r="H10" s="13">
        <v>0.02</v>
      </c>
      <c r="I10" s="18">
        <v>10950</v>
      </c>
      <c r="J10" s="20">
        <v>9</v>
      </c>
      <c r="K10" s="19">
        <f t="shared" si="0"/>
        <v>0.39640909090909093</v>
      </c>
      <c r="L10" s="2">
        <f t="shared" si="1"/>
        <v>0.22022727272727274</v>
      </c>
      <c r="M10" s="2">
        <f t="shared" si="2"/>
        <v>0.44045454545454549</v>
      </c>
      <c r="N10" s="2">
        <f t="shared" si="3"/>
        <v>0.66068181818181826</v>
      </c>
      <c r="O10" s="2">
        <f t="shared" si="4"/>
        <v>0.88090909090909097</v>
      </c>
      <c r="P10" s="2">
        <f t="shared" si="5"/>
        <v>1.1011363636363636</v>
      </c>
      <c r="Q10" s="2">
        <f t="shared" si="6"/>
        <v>1.3213636363636365</v>
      </c>
      <c r="R10" s="2">
        <f t="shared" si="7"/>
        <v>19.820454545454545</v>
      </c>
      <c r="S10" s="2">
        <f t="shared" si="8"/>
        <v>11.011363636363637</v>
      </c>
      <c r="T10" s="2">
        <f t="shared" si="9"/>
        <v>22.022727272727273</v>
      </c>
      <c r="U10" s="2">
        <f t="shared" si="10"/>
        <v>33.034090909090914</v>
      </c>
      <c r="V10" s="2">
        <f t="shared" si="11"/>
        <v>44.045454545454547</v>
      </c>
      <c r="W10" s="2">
        <f t="shared" si="12"/>
        <v>55.05681818181818</v>
      </c>
      <c r="X10" s="2">
        <f t="shared" si="13"/>
        <v>66.068181818181827</v>
      </c>
      <c r="Y10" s="5" t="str">
        <f t="shared" si="14"/>
        <v>1</v>
      </c>
      <c r="Z10" s="5" t="str">
        <f t="shared" si="14"/>
        <v>1</v>
      </c>
      <c r="AA10" s="5" t="str">
        <f t="shared" si="14"/>
        <v>1</v>
      </c>
      <c r="AB10" s="5" t="str">
        <f t="shared" si="14"/>
        <v>1</v>
      </c>
      <c r="AC10" s="5" t="str">
        <f t="shared" si="14"/>
        <v>1</v>
      </c>
      <c r="AD10" s="5" t="str">
        <f t="shared" si="14"/>
        <v>1</v>
      </c>
      <c r="AE10" s="5" t="str">
        <f t="shared" si="14"/>
        <v>1</v>
      </c>
    </row>
    <row r="11" spans="1:1358" ht="14.4" x14ac:dyDescent="0.3">
      <c r="A11" s="14">
        <v>8</v>
      </c>
      <c r="B11" s="15" t="s">
        <v>116</v>
      </c>
      <c r="C11" s="10">
        <v>9</v>
      </c>
      <c r="D11" s="10">
        <v>20</v>
      </c>
      <c r="E11" s="16">
        <v>365</v>
      </c>
      <c r="F11" s="21">
        <v>3.2300000000000002E-2</v>
      </c>
      <c r="G11" s="10">
        <v>900</v>
      </c>
      <c r="H11" s="13">
        <v>0.02</v>
      </c>
      <c r="I11" s="18">
        <v>10950</v>
      </c>
      <c r="J11" s="20">
        <v>6</v>
      </c>
      <c r="K11" s="19">
        <f t="shared" si="0"/>
        <v>0.29070000000000001</v>
      </c>
      <c r="L11" s="2">
        <f t="shared" si="1"/>
        <v>0.24225000000000002</v>
      </c>
      <c r="M11" s="2">
        <f t="shared" si="2"/>
        <v>0.48450000000000004</v>
      </c>
      <c r="N11" s="2">
        <f t="shared" si="3"/>
        <v>0.72675000000000012</v>
      </c>
      <c r="O11" s="2">
        <f t="shared" si="4"/>
        <v>0.96900000000000008</v>
      </c>
      <c r="P11" s="2">
        <f t="shared" si="5"/>
        <v>1.2112499999999999</v>
      </c>
      <c r="Q11" s="2">
        <f t="shared" si="6"/>
        <v>1.4535000000000002</v>
      </c>
      <c r="R11" s="2">
        <f t="shared" si="7"/>
        <v>14.535</v>
      </c>
      <c r="S11" s="2">
        <f t="shared" si="8"/>
        <v>12.112500000000001</v>
      </c>
      <c r="T11" s="2">
        <f t="shared" si="9"/>
        <v>24.225000000000001</v>
      </c>
      <c r="U11" s="2">
        <f t="shared" si="10"/>
        <v>36.337500000000006</v>
      </c>
      <c r="V11" s="2">
        <f t="shared" si="11"/>
        <v>48.45</v>
      </c>
      <c r="W11" s="2">
        <f t="shared" si="12"/>
        <v>60.562499999999993</v>
      </c>
      <c r="X11" s="2">
        <f t="shared" si="13"/>
        <v>72.675000000000011</v>
      </c>
      <c r="Y11" s="5" t="str">
        <f t="shared" si="14"/>
        <v>1</v>
      </c>
      <c r="Z11" s="5" t="str">
        <f t="shared" si="14"/>
        <v>1</v>
      </c>
      <c r="AA11" s="5" t="str">
        <f t="shared" si="14"/>
        <v>1</v>
      </c>
      <c r="AB11" s="5" t="str">
        <f t="shared" si="14"/>
        <v>1</v>
      </c>
      <c r="AC11" s="5" t="str">
        <f t="shared" si="14"/>
        <v>1</v>
      </c>
      <c r="AD11" s="5" t="str">
        <f t="shared" si="14"/>
        <v>1</v>
      </c>
      <c r="AE11" s="5" t="str">
        <f t="shared" si="14"/>
        <v>1</v>
      </c>
    </row>
    <row r="12" spans="1:1358" ht="14.4" x14ac:dyDescent="0.3">
      <c r="A12" s="14">
        <v>9</v>
      </c>
      <c r="B12" s="15" t="s">
        <v>117</v>
      </c>
      <c r="C12" s="10">
        <v>9</v>
      </c>
      <c r="D12" s="10">
        <v>39</v>
      </c>
      <c r="E12" s="16">
        <v>365</v>
      </c>
      <c r="F12" s="21">
        <v>3.3099999999999997E-2</v>
      </c>
      <c r="G12" s="10">
        <v>900</v>
      </c>
      <c r="H12" s="13">
        <v>0.02</v>
      </c>
      <c r="I12" s="18">
        <v>10950</v>
      </c>
      <c r="J12" s="20">
        <v>1</v>
      </c>
      <c r="K12" s="19">
        <f t="shared" si="0"/>
        <v>2.5461538461538463E-2</v>
      </c>
      <c r="L12" s="2">
        <f t="shared" si="1"/>
        <v>0.12730769230769232</v>
      </c>
      <c r="M12" s="2">
        <f t="shared" si="2"/>
        <v>0.25461538461538463</v>
      </c>
      <c r="N12" s="2">
        <f t="shared" si="3"/>
        <v>0.38192307692307692</v>
      </c>
      <c r="O12" s="2">
        <f t="shared" si="4"/>
        <v>0.50923076923076926</v>
      </c>
      <c r="P12" s="2">
        <f t="shared" si="5"/>
        <v>0.6365384615384615</v>
      </c>
      <c r="Q12" s="2">
        <f t="shared" si="6"/>
        <v>0.76384615384615384</v>
      </c>
      <c r="R12" s="2">
        <f t="shared" si="7"/>
        <v>1.273076923076923</v>
      </c>
      <c r="S12" s="2">
        <f t="shared" si="8"/>
        <v>6.3653846153846159</v>
      </c>
      <c r="T12" s="2">
        <f t="shared" si="9"/>
        <v>12.730769230769232</v>
      </c>
      <c r="U12" s="2">
        <f t="shared" si="10"/>
        <v>19.096153846153847</v>
      </c>
      <c r="V12" s="2">
        <f t="shared" si="11"/>
        <v>25.461538461538463</v>
      </c>
      <c r="W12" s="2">
        <f t="shared" si="12"/>
        <v>31.826923076923073</v>
      </c>
      <c r="X12" s="2">
        <f t="shared" si="13"/>
        <v>38.192307692307693</v>
      </c>
      <c r="Y12" s="5" t="str">
        <f t="shared" si="14"/>
        <v>1</v>
      </c>
      <c r="Z12" s="5" t="str">
        <f t="shared" si="14"/>
        <v>1</v>
      </c>
      <c r="AA12" s="5" t="str">
        <f t="shared" si="14"/>
        <v>1</v>
      </c>
      <c r="AB12" s="5" t="str">
        <f t="shared" si="14"/>
        <v>1</v>
      </c>
      <c r="AC12" s="5" t="str">
        <f t="shared" si="14"/>
        <v>1</v>
      </c>
      <c r="AD12" s="5" t="str">
        <f t="shared" si="14"/>
        <v>1</v>
      </c>
      <c r="AE12" s="5" t="str">
        <f t="shared" si="14"/>
        <v>1</v>
      </c>
    </row>
    <row r="13" spans="1:1358" ht="14.4" x14ac:dyDescent="0.3">
      <c r="A13" s="14">
        <v>10</v>
      </c>
      <c r="B13" s="15" t="s">
        <v>118</v>
      </c>
      <c r="C13" s="10">
        <v>9</v>
      </c>
      <c r="D13" s="10">
        <v>26</v>
      </c>
      <c r="E13" s="16">
        <v>365</v>
      </c>
      <c r="F13" s="21">
        <v>3.3099999999999997E-2</v>
      </c>
      <c r="G13" s="10">
        <v>900</v>
      </c>
      <c r="H13" s="13">
        <v>0.02</v>
      </c>
      <c r="I13" s="18">
        <v>10950</v>
      </c>
      <c r="J13" s="20">
        <v>9</v>
      </c>
      <c r="K13" s="19">
        <f t="shared" si="0"/>
        <v>0.34373076923076928</v>
      </c>
      <c r="L13" s="2">
        <f t="shared" si="1"/>
        <v>0.19096153846153846</v>
      </c>
      <c r="M13" s="2">
        <f t="shared" si="2"/>
        <v>0.38192307692307692</v>
      </c>
      <c r="N13" s="2">
        <f t="shared" si="3"/>
        <v>0.57288461538461544</v>
      </c>
      <c r="O13" s="2">
        <f t="shared" si="4"/>
        <v>0.76384615384615384</v>
      </c>
      <c r="P13" s="2">
        <f t="shared" si="5"/>
        <v>0.95480769230769236</v>
      </c>
      <c r="Q13" s="2">
        <f t="shared" si="6"/>
        <v>1.1457692307692309</v>
      </c>
      <c r="R13" s="2">
        <f t="shared" si="7"/>
        <v>17.186538461538465</v>
      </c>
      <c r="S13" s="2">
        <f t="shared" si="8"/>
        <v>9.5480769230769234</v>
      </c>
      <c r="T13" s="2">
        <f t="shared" si="9"/>
        <v>19.096153846153847</v>
      </c>
      <c r="U13" s="2">
        <f t="shared" si="10"/>
        <v>28.64423076923077</v>
      </c>
      <c r="V13" s="2">
        <f t="shared" si="11"/>
        <v>38.192307692307693</v>
      </c>
      <c r="W13" s="2">
        <f t="shared" si="12"/>
        <v>47.74038461538462</v>
      </c>
      <c r="X13" s="2">
        <f t="shared" si="13"/>
        <v>57.28846153846154</v>
      </c>
      <c r="Y13" s="5" t="str">
        <f t="shared" si="14"/>
        <v>1</v>
      </c>
      <c r="Z13" s="5" t="str">
        <f t="shared" si="14"/>
        <v>1</v>
      </c>
      <c r="AA13" s="5" t="str">
        <f t="shared" si="14"/>
        <v>1</v>
      </c>
      <c r="AB13" s="5" t="str">
        <f t="shared" si="14"/>
        <v>1</v>
      </c>
      <c r="AC13" s="5" t="str">
        <f t="shared" si="14"/>
        <v>1</v>
      </c>
      <c r="AD13" s="5" t="str">
        <f t="shared" si="14"/>
        <v>1</v>
      </c>
      <c r="AE13" s="5" t="str">
        <f t="shared" si="14"/>
        <v>1</v>
      </c>
    </row>
    <row r="14" spans="1:1358" ht="14.4" x14ac:dyDescent="0.3">
      <c r="A14" s="14">
        <v>11</v>
      </c>
      <c r="B14" s="15" t="s">
        <v>119</v>
      </c>
      <c r="C14" s="10">
        <v>9</v>
      </c>
      <c r="D14" s="10">
        <v>25</v>
      </c>
      <c r="E14" s="16">
        <v>365</v>
      </c>
      <c r="F14" s="21">
        <v>3.3099999999999997E-2</v>
      </c>
      <c r="G14" s="10">
        <v>900</v>
      </c>
      <c r="H14" s="13">
        <v>0.02</v>
      </c>
      <c r="I14" s="18">
        <v>10950</v>
      </c>
      <c r="J14" s="20">
        <v>1</v>
      </c>
      <c r="K14" s="19">
        <f t="shared" si="0"/>
        <v>3.9719999999999998E-2</v>
      </c>
      <c r="L14" s="2">
        <f t="shared" si="1"/>
        <v>0.1986</v>
      </c>
      <c r="M14" s="2">
        <f t="shared" si="2"/>
        <v>0.3972</v>
      </c>
      <c r="N14" s="2">
        <f t="shared" si="3"/>
        <v>0.5958</v>
      </c>
      <c r="O14" s="2">
        <f t="shared" si="4"/>
        <v>0.7944</v>
      </c>
      <c r="P14" s="2">
        <f t="shared" si="5"/>
        <v>0.99299999999999999</v>
      </c>
      <c r="Q14" s="2">
        <f t="shared" si="6"/>
        <v>1.1916</v>
      </c>
      <c r="R14" s="2">
        <f t="shared" si="7"/>
        <v>1.986</v>
      </c>
      <c r="S14" s="2">
        <f t="shared" si="8"/>
        <v>9.93</v>
      </c>
      <c r="T14" s="2">
        <f t="shared" si="9"/>
        <v>19.86</v>
      </c>
      <c r="U14" s="2">
        <f t="shared" si="10"/>
        <v>29.79</v>
      </c>
      <c r="V14" s="2">
        <f t="shared" si="11"/>
        <v>39.72</v>
      </c>
      <c r="W14" s="2">
        <f t="shared" si="12"/>
        <v>49.65</v>
      </c>
      <c r="X14" s="2">
        <f t="shared" si="13"/>
        <v>59.58</v>
      </c>
      <c r="Y14" s="5" t="str">
        <f t="shared" si="14"/>
        <v>1</v>
      </c>
      <c r="Z14" s="5" t="str">
        <f t="shared" si="14"/>
        <v>1</v>
      </c>
      <c r="AA14" s="5" t="str">
        <f t="shared" si="14"/>
        <v>1</v>
      </c>
      <c r="AB14" s="5" t="str">
        <f t="shared" si="14"/>
        <v>1</v>
      </c>
      <c r="AC14" s="5" t="str">
        <f t="shared" si="14"/>
        <v>1</v>
      </c>
      <c r="AD14" s="5" t="str">
        <f t="shared" si="14"/>
        <v>1</v>
      </c>
      <c r="AE14" s="5" t="str">
        <f t="shared" si="14"/>
        <v>1</v>
      </c>
    </row>
    <row r="15" spans="1:1358" ht="14.4" x14ac:dyDescent="0.3">
      <c r="A15" s="14">
        <v>12</v>
      </c>
      <c r="B15" s="15" t="s">
        <v>120</v>
      </c>
      <c r="C15" s="10">
        <v>9</v>
      </c>
      <c r="D15" s="10">
        <v>32</v>
      </c>
      <c r="E15" s="16">
        <v>365</v>
      </c>
      <c r="F15" s="21">
        <v>3.1399999999999997E-2</v>
      </c>
      <c r="G15" s="10">
        <v>900</v>
      </c>
      <c r="H15" s="13">
        <v>0.02</v>
      </c>
      <c r="I15" s="18">
        <v>10950</v>
      </c>
      <c r="J15" s="20">
        <v>9</v>
      </c>
      <c r="K15" s="19">
        <f t="shared" si="0"/>
        <v>0.26493749999999999</v>
      </c>
      <c r="L15" s="2">
        <f t="shared" si="1"/>
        <v>0.1471875</v>
      </c>
      <c r="M15" s="2">
        <f t="shared" si="2"/>
        <v>0.294375</v>
      </c>
      <c r="N15" s="2">
        <f t="shared" si="3"/>
        <v>0.44156250000000002</v>
      </c>
      <c r="O15" s="2">
        <f t="shared" si="4"/>
        <v>0.58875</v>
      </c>
      <c r="P15" s="2">
        <f t="shared" si="5"/>
        <v>0.73593750000000002</v>
      </c>
      <c r="Q15" s="2">
        <f t="shared" si="6"/>
        <v>0.88312500000000005</v>
      </c>
      <c r="R15" s="2">
        <f t="shared" si="7"/>
        <v>13.246874999999999</v>
      </c>
      <c r="S15" s="2">
        <f t="shared" si="8"/>
        <v>7.359375</v>
      </c>
      <c r="T15" s="2">
        <f t="shared" si="9"/>
        <v>14.71875</v>
      </c>
      <c r="U15" s="2">
        <f t="shared" si="10"/>
        <v>22.078125</v>
      </c>
      <c r="V15" s="2">
        <f t="shared" si="11"/>
        <v>29.4375</v>
      </c>
      <c r="W15" s="2">
        <f t="shared" si="12"/>
        <v>36.796875</v>
      </c>
      <c r="X15" s="2">
        <f t="shared" si="13"/>
        <v>44.15625</v>
      </c>
      <c r="Y15" s="5" t="str">
        <f t="shared" si="14"/>
        <v>1</v>
      </c>
      <c r="Z15" s="5" t="str">
        <f t="shared" si="14"/>
        <v>1</v>
      </c>
      <c r="AA15" s="5" t="str">
        <f t="shared" si="14"/>
        <v>1</v>
      </c>
      <c r="AB15" s="5" t="str">
        <f t="shared" si="14"/>
        <v>1</v>
      </c>
      <c r="AC15" s="5" t="str">
        <f t="shared" si="14"/>
        <v>1</v>
      </c>
      <c r="AD15" s="5" t="str">
        <f t="shared" si="14"/>
        <v>1</v>
      </c>
      <c r="AE15" s="5" t="str">
        <f t="shared" si="14"/>
        <v>1</v>
      </c>
    </row>
    <row r="16" spans="1:1358" ht="14.4" x14ac:dyDescent="0.3">
      <c r="A16" s="14">
        <v>13</v>
      </c>
      <c r="B16" s="15" t="s">
        <v>121</v>
      </c>
      <c r="C16" s="10">
        <v>9</v>
      </c>
      <c r="D16" s="10">
        <v>24</v>
      </c>
      <c r="E16" s="16">
        <v>365</v>
      </c>
      <c r="F16" s="21">
        <v>3.1099999999999999E-2</v>
      </c>
      <c r="G16" s="10">
        <v>900</v>
      </c>
      <c r="H16" s="13">
        <v>0.02</v>
      </c>
      <c r="I16" s="18">
        <v>10950</v>
      </c>
      <c r="J16" s="20">
        <v>9</v>
      </c>
      <c r="K16" s="19">
        <f t="shared" si="0"/>
        <v>0.34987499999999999</v>
      </c>
      <c r="L16" s="2">
        <f t="shared" si="1"/>
        <v>0.19437499999999996</v>
      </c>
      <c r="M16" s="2">
        <f t="shared" si="2"/>
        <v>0.38874999999999993</v>
      </c>
      <c r="N16" s="2">
        <f t="shared" si="3"/>
        <v>0.58312499999999989</v>
      </c>
      <c r="O16" s="2">
        <f t="shared" si="4"/>
        <v>0.77749999999999986</v>
      </c>
      <c r="P16" s="2">
        <f t="shared" si="5"/>
        <v>0.97187499999999993</v>
      </c>
      <c r="Q16" s="2">
        <f t="shared" si="6"/>
        <v>1.1662499999999998</v>
      </c>
      <c r="R16" s="2">
        <f t="shared" si="7"/>
        <v>17.493749999999999</v>
      </c>
      <c r="S16" s="2">
        <f t="shared" si="8"/>
        <v>9.7187499999999982</v>
      </c>
      <c r="T16" s="2">
        <f t="shared" si="9"/>
        <v>19.437499999999996</v>
      </c>
      <c r="U16" s="2">
        <f t="shared" si="10"/>
        <v>29.156249999999993</v>
      </c>
      <c r="V16" s="2">
        <f t="shared" si="11"/>
        <v>38.874999999999993</v>
      </c>
      <c r="W16" s="2">
        <f t="shared" si="12"/>
        <v>48.593749999999993</v>
      </c>
      <c r="X16" s="2">
        <f t="shared" si="13"/>
        <v>58.312499999999986</v>
      </c>
      <c r="Y16" s="5" t="str">
        <f t="shared" si="14"/>
        <v>1</v>
      </c>
      <c r="Z16" s="5" t="str">
        <f t="shared" si="14"/>
        <v>1</v>
      </c>
      <c r="AA16" s="5" t="str">
        <f t="shared" si="14"/>
        <v>1</v>
      </c>
      <c r="AB16" s="5" t="str">
        <f t="shared" si="14"/>
        <v>1</v>
      </c>
      <c r="AC16" s="5" t="str">
        <f t="shared" si="14"/>
        <v>1</v>
      </c>
      <c r="AD16" s="5" t="str">
        <f t="shared" si="14"/>
        <v>1</v>
      </c>
      <c r="AE16" s="5" t="str">
        <f t="shared" si="14"/>
        <v>1</v>
      </c>
    </row>
    <row r="17" spans="1:31" ht="14.4" x14ac:dyDescent="0.3">
      <c r="A17" s="14">
        <v>14</v>
      </c>
      <c r="B17" s="15" t="s">
        <v>107</v>
      </c>
      <c r="C17" s="10">
        <v>9</v>
      </c>
      <c r="D17" s="10">
        <v>28</v>
      </c>
      <c r="E17" s="16">
        <v>365</v>
      </c>
      <c r="F17" s="21">
        <v>3.1099999999999999E-2</v>
      </c>
      <c r="G17" s="10">
        <v>900</v>
      </c>
      <c r="H17" s="13">
        <v>0.02</v>
      </c>
      <c r="I17" s="18">
        <v>10950</v>
      </c>
      <c r="J17" s="20">
        <v>4</v>
      </c>
      <c r="K17" s="19">
        <f t="shared" si="0"/>
        <v>0.13328571428571426</v>
      </c>
      <c r="L17" s="2">
        <f t="shared" si="1"/>
        <v>0.16660714285714284</v>
      </c>
      <c r="M17" s="2">
        <f t="shared" si="2"/>
        <v>0.33321428571428569</v>
      </c>
      <c r="N17" s="2">
        <f t="shared" si="3"/>
        <v>0.49982142857142847</v>
      </c>
      <c r="O17" s="2">
        <f t="shared" si="4"/>
        <v>0.66642857142857137</v>
      </c>
      <c r="P17" s="2">
        <f t="shared" si="5"/>
        <v>0.83303571428571421</v>
      </c>
      <c r="Q17" s="2">
        <f t="shared" si="6"/>
        <v>0.99964285714285694</v>
      </c>
      <c r="R17" s="2">
        <f t="shared" si="7"/>
        <v>6.6642857142857128</v>
      </c>
      <c r="S17" s="2">
        <f t="shared" si="8"/>
        <v>8.3303571428571423</v>
      </c>
      <c r="T17" s="2">
        <f t="shared" si="9"/>
        <v>16.660714285714285</v>
      </c>
      <c r="U17" s="2">
        <f t="shared" si="10"/>
        <v>24.991071428571423</v>
      </c>
      <c r="V17" s="2">
        <f t="shared" si="11"/>
        <v>33.321428571428569</v>
      </c>
      <c r="W17" s="2">
        <f t="shared" si="12"/>
        <v>41.651785714285708</v>
      </c>
      <c r="X17" s="2">
        <f t="shared" si="13"/>
        <v>49.982142857142847</v>
      </c>
      <c r="Y17" s="5" t="str">
        <f t="shared" si="14"/>
        <v>1</v>
      </c>
      <c r="Z17" s="5" t="str">
        <f t="shared" si="14"/>
        <v>1</v>
      </c>
      <c r="AA17" s="5" t="str">
        <f t="shared" si="14"/>
        <v>1</v>
      </c>
      <c r="AB17" s="5" t="str">
        <f t="shared" si="14"/>
        <v>1</v>
      </c>
      <c r="AC17" s="5" t="str">
        <f t="shared" si="14"/>
        <v>1</v>
      </c>
      <c r="AD17" s="5" t="str">
        <f t="shared" si="14"/>
        <v>1</v>
      </c>
      <c r="AE17" s="5" t="str">
        <f t="shared" si="14"/>
        <v>1</v>
      </c>
    </row>
    <row r="18" spans="1:31" ht="14.4" x14ac:dyDescent="0.3">
      <c r="A18" s="14">
        <v>15</v>
      </c>
      <c r="B18" s="15" t="s">
        <v>122</v>
      </c>
      <c r="C18" s="10">
        <v>9</v>
      </c>
      <c r="D18" s="10">
        <v>29</v>
      </c>
      <c r="E18" s="16">
        <v>365</v>
      </c>
      <c r="F18" s="21">
        <v>3.61E-2</v>
      </c>
      <c r="G18" s="10">
        <v>900</v>
      </c>
      <c r="H18" s="13">
        <v>0.02</v>
      </c>
      <c r="I18" s="18">
        <v>10950</v>
      </c>
      <c r="J18" s="20">
        <v>9</v>
      </c>
      <c r="K18" s="19">
        <f t="shared" si="0"/>
        <v>0.33610344827586208</v>
      </c>
      <c r="L18" s="2">
        <f t="shared" si="1"/>
        <v>0.18672413793103448</v>
      </c>
      <c r="M18" s="2">
        <f t="shared" si="2"/>
        <v>0.37344827586206897</v>
      </c>
      <c r="N18" s="2">
        <f t="shared" si="3"/>
        <v>0.56017241379310345</v>
      </c>
      <c r="O18" s="2">
        <f t="shared" si="4"/>
        <v>0.74689655172413794</v>
      </c>
      <c r="P18" s="2">
        <f t="shared" si="5"/>
        <v>0.93362068965517242</v>
      </c>
      <c r="Q18" s="2">
        <f t="shared" si="6"/>
        <v>1.1203448275862069</v>
      </c>
      <c r="R18" s="2">
        <f t="shared" si="7"/>
        <v>16.805172413793105</v>
      </c>
      <c r="S18" s="2">
        <f t="shared" si="8"/>
        <v>9.3362068965517242</v>
      </c>
      <c r="T18" s="2">
        <f t="shared" si="9"/>
        <v>18.672413793103448</v>
      </c>
      <c r="U18" s="2">
        <f t="shared" si="10"/>
        <v>28.008620689655171</v>
      </c>
      <c r="V18" s="2">
        <f t="shared" si="11"/>
        <v>37.344827586206897</v>
      </c>
      <c r="W18" s="2">
        <f t="shared" si="12"/>
        <v>46.681034482758619</v>
      </c>
      <c r="X18" s="2">
        <f t="shared" si="13"/>
        <v>56.017241379310342</v>
      </c>
      <c r="Y18" s="5" t="str">
        <f t="shared" si="14"/>
        <v>1</v>
      </c>
      <c r="Z18" s="5" t="str">
        <f t="shared" si="14"/>
        <v>1</v>
      </c>
      <c r="AA18" s="5" t="str">
        <f t="shared" si="14"/>
        <v>1</v>
      </c>
      <c r="AB18" s="5" t="str">
        <f t="shared" si="14"/>
        <v>1</v>
      </c>
      <c r="AC18" s="5" t="str">
        <f t="shared" si="14"/>
        <v>1</v>
      </c>
      <c r="AD18" s="5" t="str">
        <f t="shared" si="14"/>
        <v>1</v>
      </c>
      <c r="AE18" s="5" t="str">
        <f t="shared" si="14"/>
        <v>1</v>
      </c>
    </row>
    <row r="19" spans="1:31" ht="14.4" x14ac:dyDescent="0.3">
      <c r="A19" s="14">
        <v>16</v>
      </c>
      <c r="B19" s="15" t="s">
        <v>111</v>
      </c>
      <c r="C19" s="10">
        <v>9</v>
      </c>
      <c r="D19" s="10">
        <v>25</v>
      </c>
      <c r="E19" s="16">
        <v>365</v>
      </c>
      <c r="F19" s="21">
        <v>3.4599999999999999E-2</v>
      </c>
      <c r="G19" s="10">
        <v>900</v>
      </c>
      <c r="H19" s="13">
        <v>0.02</v>
      </c>
      <c r="I19" s="18">
        <v>10950</v>
      </c>
      <c r="J19" s="20">
        <v>9</v>
      </c>
      <c r="K19" s="19">
        <f t="shared" si="0"/>
        <v>0.37368000000000001</v>
      </c>
      <c r="L19" s="2">
        <f t="shared" si="1"/>
        <v>0.20760000000000001</v>
      </c>
      <c r="M19" s="2">
        <f t="shared" si="2"/>
        <v>0.41520000000000001</v>
      </c>
      <c r="N19" s="2">
        <f t="shared" si="3"/>
        <v>0.62280000000000002</v>
      </c>
      <c r="O19" s="2">
        <f t="shared" si="4"/>
        <v>0.83040000000000003</v>
      </c>
      <c r="P19" s="2">
        <f t="shared" si="5"/>
        <v>1.038</v>
      </c>
      <c r="Q19" s="2">
        <f t="shared" si="6"/>
        <v>1.2456</v>
      </c>
      <c r="R19" s="2">
        <f t="shared" si="7"/>
        <v>18.684000000000001</v>
      </c>
      <c r="S19" s="2">
        <f t="shared" si="8"/>
        <v>10.38</v>
      </c>
      <c r="T19" s="2">
        <f t="shared" si="9"/>
        <v>20.76</v>
      </c>
      <c r="U19" s="2">
        <f t="shared" si="10"/>
        <v>31.14</v>
      </c>
      <c r="V19" s="2">
        <f t="shared" si="11"/>
        <v>41.52</v>
      </c>
      <c r="W19" s="2">
        <f t="shared" si="12"/>
        <v>51.9</v>
      </c>
      <c r="X19" s="2">
        <f t="shared" si="13"/>
        <v>62.28</v>
      </c>
      <c r="Y19" s="5" t="str">
        <f t="shared" si="14"/>
        <v>1</v>
      </c>
      <c r="Z19" s="5" t="str">
        <f t="shared" si="14"/>
        <v>1</v>
      </c>
      <c r="AA19" s="5" t="str">
        <f t="shared" si="14"/>
        <v>1</v>
      </c>
      <c r="AB19" s="5" t="str">
        <f t="shared" si="14"/>
        <v>1</v>
      </c>
      <c r="AC19" s="5" t="str">
        <f t="shared" si="14"/>
        <v>1</v>
      </c>
      <c r="AD19" s="5" t="str">
        <f t="shared" si="14"/>
        <v>1</v>
      </c>
      <c r="AE19" s="5" t="str">
        <f t="shared" si="14"/>
        <v>1</v>
      </c>
    </row>
    <row r="20" spans="1:31" ht="14.4" x14ac:dyDescent="0.3">
      <c r="A20" s="14">
        <v>17</v>
      </c>
      <c r="B20" s="15" t="s">
        <v>123</v>
      </c>
      <c r="C20" s="10">
        <v>9</v>
      </c>
      <c r="D20" s="10">
        <v>25</v>
      </c>
      <c r="E20" s="16">
        <v>365</v>
      </c>
      <c r="F20" s="21">
        <v>3.2500000000000001E-2</v>
      </c>
      <c r="G20" s="10">
        <v>1500</v>
      </c>
      <c r="H20" s="13">
        <v>0.02</v>
      </c>
      <c r="I20" s="18">
        <v>10950</v>
      </c>
      <c r="J20" s="20">
        <v>9</v>
      </c>
      <c r="K20" s="19">
        <f t="shared" si="0"/>
        <v>0.58499999999999996</v>
      </c>
      <c r="L20" s="2">
        <f t="shared" si="1"/>
        <v>0.32500000000000001</v>
      </c>
      <c r="M20" s="2">
        <f t="shared" si="2"/>
        <v>0.65</v>
      </c>
      <c r="N20" s="2">
        <f t="shared" si="3"/>
        <v>0.97499999999999998</v>
      </c>
      <c r="O20" s="2">
        <f t="shared" si="4"/>
        <v>1.3</v>
      </c>
      <c r="P20" s="2">
        <f t="shared" si="5"/>
        <v>1.625</v>
      </c>
      <c r="Q20" s="2">
        <f t="shared" si="6"/>
        <v>1.95</v>
      </c>
      <c r="R20" s="2">
        <f t="shared" si="7"/>
        <v>29.249999999999996</v>
      </c>
      <c r="S20" s="2">
        <f t="shared" si="8"/>
        <v>16.25</v>
      </c>
      <c r="T20" s="2">
        <f t="shared" si="9"/>
        <v>32.5</v>
      </c>
      <c r="U20" s="2">
        <f t="shared" si="10"/>
        <v>48.75</v>
      </c>
      <c r="V20" s="2">
        <f t="shared" si="11"/>
        <v>65</v>
      </c>
      <c r="W20" s="2">
        <f t="shared" si="12"/>
        <v>81.25</v>
      </c>
      <c r="X20" s="2">
        <f t="shared" si="13"/>
        <v>97.5</v>
      </c>
      <c r="Y20" s="5" t="str">
        <f t="shared" si="14"/>
        <v>1</v>
      </c>
      <c r="Z20" s="5" t="str">
        <f t="shared" si="14"/>
        <v>1</v>
      </c>
      <c r="AA20" s="5" t="str">
        <f t="shared" si="14"/>
        <v>1</v>
      </c>
      <c r="AB20" s="5" t="str">
        <f t="shared" si="14"/>
        <v>1</v>
      </c>
      <c r="AC20" s="5" t="str">
        <f t="shared" si="14"/>
        <v>1</v>
      </c>
      <c r="AD20" s="5" t="str">
        <f t="shared" si="14"/>
        <v>1</v>
      </c>
      <c r="AE20" s="5" t="str">
        <f t="shared" si="14"/>
        <v>1</v>
      </c>
    </row>
    <row r="21" spans="1:31" ht="14.4" x14ac:dyDescent="0.3">
      <c r="A21" s="14">
        <v>18</v>
      </c>
      <c r="B21" s="15" t="s">
        <v>124</v>
      </c>
      <c r="C21" s="10">
        <v>9</v>
      </c>
      <c r="D21" s="10">
        <v>25</v>
      </c>
      <c r="E21" s="16">
        <v>365</v>
      </c>
      <c r="F21" s="21">
        <v>3.2500000000000001E-2</v>
      </c>
      <c r="G21" s="10">
        <v>900</v>
      </c>
      <c r="H21" s="13">
        <v>0.02</v>
      </c>
      <c r="I21" s="18">
        <v>10950</v>
      </c>
      <c r="J21" s="20">
        <v>9</v>
      </c>
      <c r="K21" s="19">
        <f t="shared" si="0"/>
        <v>0.35099999999999998</v>
      </c>
      <c r="L21" s="2">
        <f t="shared" si="1"/>
        <v>0.19500000000000001</v>
      </c>
      <c r="M21" s="2">
        <f t="shared" si="2"/>
        <v>0.39</v>
      </c>
      <c r="N21" s="2">
        <f t="shared" si="3"/>
        <v>0.58499999999999996</v>
      </c>
      <c r="O21" s="2">
        <f t="shared" si="4"/>
        <v>0.78</v>
      </c>
      <c r="P21" s="2">
        <f t="shared" si="5"/>
        <v>0.97499999999999998</v>
      </c>
      <c r="Q21" s="2">
        <f t="shared" si="6"/>
        <v>1.17</v>
      </c>
      <c r="R21" s="2">
        <f t="shared" si="7"/>
        <v>17.549999999999997</v>
      </c>
      <c r="S21" s="2">
        <f t="shared" si="8"/>
        <v>9.75</v>
      </c>
      <c r="T21" s="2">
        <f t="shared" si="9"/>
        <v>19.5</v>
      </c>
      <c r="U21" s="2">
        <f t="shared" si="10"/>
        <v>29.249999999999996</v>
      </c>
      <c r="V21" s="2">
        <f t="shared" si="11"/>
        <v>39</v>
      </c>
      <c r="W21" s="2">
        <f t="shared" si="12"/>
        <v>48.75</v>
      </c>
      <c r="X21" s="2">
        <f t="shared" si="13"/>
        <v>58.499999999999993</v>
      </c>
      <c r="Y21" s="5" t="str">
        <f t="shared" si="14"/>
        <v>1</v>
      </c>
      <c r="Z21" s="5" t="str">
        <f t="shared" si="14"/>
        <v>1</v>
      </c>
      <c r="AA21" s="5" t="str">
        <f t="shared" si="14"/>
        <v>1</v>
      </c>
      <c r="AB21" s="5" t="str">
        <f t="shared" si="14"/>
        <v>1</v>
      </c>
      <c r="AC21" s="5" t="str">
        <f t="shared" si="14"/>
        <v>1</v>
      </c>
      <c r="AD21" s="5" t="str">
        <f t="shared" si="14"/>
        <v>1</v>
      </c>
      <c r="AE21" s="5" t="str">
        <f t="shared" si="14"/>
        <v>1</v>
      </c>
    </row>
    <row r="22" spans="1:31" ht="14.4" x14ac:dyDescent="0.3">
      <c r="A22" s="14">
        <v>19</v>
      </c>
      <c r="B22" s="15" t="s">
        <v>125</v>
      </c>
      <c r="C22" s="10">
        <v>9</v>
      </c>
      <c r="D22" s="10">
        <v>25</v>
      </c>
      <c r="E22" s="16">
        <v>365</v>
      </c>
      <c r="F22" s="21">
        <v>3.3099999999999997E-2</v>
      </c>
      <c r="G22" s="10">
        <v>900</v>
      </c>
      <c r="H22" s="13">
        <v>0.02</v>
      </c>
      <c r="I22" s="18">
        <v>10950</v>
      </c>
      <c r="J22" s="20">
        <v>9</v>
      </c>
      <c r="K22" s="19">
        <f t="shared" si="0"/>
        <v>0.35748000000000002</v>
      </c>
      <c r="L22" s="2">
        <f t="shared" si="1"/>
        <v>0.1986</v>
      </c>
      <c r="M22" s="2">
        <f t="shared" si="2"/>
        <v>0.3972</v>
      </c>
      <c r="N22" s="2">
        <f t="shared" si="3"/>
        <v>0.5958</v>
      </c>
      <c r="O22" s="2">
        <f t="shared" si="4"/>
        <v>0.7944</v>
      </c>
      <c r="P22" s="2">
        <f t="shared" si="5"/>
        <v>0.99299999999999999</v>
      </c>
      <c r="Q22" s="2">
        <f t="shared" si="6"/>
        <v>1.1916</v>
      </c>
      <c r="R22" s="2">
        <f t="shared" si="7"/>
        <v>17.874000000000002</v>
      </c>
      <c r="S22" s="2">
        <f t="shared" si="8"/>
        <v>9.93</v>
      </c>
      <c r="T22" s="2">
        <f t="shared" si="9"/>
        <v>19.86</v>
      </c>
      <c r="U22" s="2">
        <f t="shared" si="10"/>
        <v>29.79</v>
      </c>
      <c r="V22" s="2">
        <f t="shared" si="11"/>
        <v>39.72</v>
      </c>
      <c r="W22" s="2">
        <f t="shared" si="12"/>
        <v>49.65</v>
      </c>
      <c r="X22" s="2">
        <f t="shared" si="13"/>
        <v>59.58</v>
      </c>
      <c r="Y22" s="5" t="str">
        <f t="shared" si="14"/>
        <v>1</v>
      </c>
      <c r="Z22" s="5" t="str">
        <f t="shared" si="14"/>
        <v>1</v>
      </c>
      <c r="AA22" s="5" t="str">
        <f t="shared" si="14"/>
        <v>1</v>
      </c>
      <c r="AB22" s="5" t="str">
        <f t="shared" si="14"/>
        <v>1</v>
      </c>
      <c r="AC22" s="5" t="str">
        <f t="shared" si="14"/>
        <v>1</v>
      </c>
      <c r="AD22" s="5" t="str">
        <f t="shared" si="14"/>
        <v>1</v>
      </c>
      <c r="AE22" s="5" t="str">
        <f t="shared" si="14"/>
        <v>1</v>
      </c>
    </row>
    <row r="23" spans="1:31" ht="14.4" x14ac:dyDescent="0.3">
      <c r="A23" s="14">
        <v>20</v>
      </c>
      <c r="B23" s="15" t="s">
        <v>126</v>
      </c>
      <c r="C23" s="10">
        <v>9</v>
      </c>
      <c r="D23" s="10">
        <v>29</v>
      </c>
      <c r="E23" s="16">
        <v>365</v>
      </c>
      <c r="F23" s="21">
        <v>4.99E-2</v>
      </c>
      <c r="G23" s="10">
        <v>900</v>
      </c>
      <c r="H23" s="13">
        <v>0.02</v>
      </c>
      <c r="I23" s="18">
        <v>10950</v>
      </c>
      <c r="J23" s="20">
        <v>9</v>
      </c>
      <c r="K23" s="19">
        <f t="shared" si="0"/>
        <v>0.46458620689655167</v>
      </c>
      <c r="L23" s="2">
        <f t="shared" si="1"/>
        <v>0.25810344827586201</v>
      </c>
      <c r="M23" s="2">
        <f t="shared" si="2"/>
        <v>0.51620689655172403</v>
      </c>
      <c r="N23" s="2">
        <f t="shared" si="3"/>
        <v>0.77431034482758609</v>
      </c>
      <c r="O23" s="2">
        <f t="shared" si="4"/>
        <v>1.0324137931034481</v>
      </c>
      <c r="P23" s="2">
        <f t="shared" si="5"/>
        <v>1.2905172413793102</v>
      </c>
      <c r="Q23" s="2">
        <f t="shared" si="6"/>
        <v>1.5486206896551722</v>
      </c>
      <c r="R23" s="2">
        <f t="shared" si="7"/>
        <v>23.229310344827582</v>
      </c>
      <c r="S23" s="2">
        <f t="shared" si="8"/>
        <v>12.9051724137931</v>
      </c>
      <c r="T23" s="2">
        <f t="shared" si="9"/>
        <v>25.810344827586199</v>
      </c>
      <c r="U23" s="2">
        <f t="shared" si="10"/>
        <v>38.715517241379303</v>
      </c>
      <c r="V23" s="2">
        <f t="shared" si="11"/>
        <v>51.620689655172399</v>
      </c>
      <c r="W23" s="2">
        <f t="shared" si="12"/>
        <v>64.525862068965509</v>
      </c>
      <c r="X23" s="2">
        <f t="shared" si="13"/>
        <v>77.431034482758605</v>
      </c>
      <c r="Y23" s="5" t="str">
        <f t="shared" si="14"/>
        <v>1</v>
      </c>
      <c r="Z23" s="5" t="str">
        <f t="shared" si="14"/>
        <v>1</v>
      </c>
      <c r="AA23" s="5" t="str">
        <f t="shared" si="14"/>
        <v>1</v>
      </c>
      <c r="AB23" s="5" t="str">
        <f t="shared" si="14"/>
        <v>1</v>
      </c>
      <c r="AC23" s="5" t="str">
        <f t="shared" si="14"/>
        <v>1</v>
      </c>
      <c r="AD23" s="5" t="str">
        <f t="shared" si="14"/>
        <v>1</v>
      </c>
      <c r="AE23" s="5" t="str">
        <f t="shared" si="14"/>
        <v>1</v>
      </c>
    </row>
    <row r="24" spans="1:31" ht="14.4" x14ac:dyDescent="0.3">
      <c r="A24" s="14">
        <v>21</v>
      </c>
      <c r="B24" s="15" t="s">
        <v>127</v>
      </c>
      <c r="C24" s="10">
        <v>9</v>
      </c>
      <c r="D24" s="10">
        <v>25</v>
      </c>
      <c r="E24" s="16">
        <v>365</v>
      </c>
      <c r="F24" s="21">
        <v>3.9100000000000003E-2</v>
      </c>
      <c r="G24" s="10">
        <v>1500</v>
      </c>
      <c r="H24" s="13">
        <v>0.02</v>
      </c>
      <c r="I24" s="18">
        <v>10950</v>
      </c>
      <c r="J24" s="20">
        <v>9</v>
      </c>
      <c r="K24" s="19">
        <f t="shared" si="0"/>
        <v>0.70380000000000009</v>
      </c>
      <c r="L24" s="2">
        <f t="shared" si="1"/>
        <v>0.39100000000000007</v>
      </c>
      <c r="M24" s="2">
        <f t="shared" si="2"/>
        <v>0.78200000000000014</v>
      </c>
      <c r="N24" s="2">
        <f t="shared" si="3"/>
        <v>1.1730000000000003</v>
      </c>
      <c r="O24" s="2">
        <f t="shared" si="4"/>
        <v>1.5640000000000003</v>
      </c>
      <c r="P24" s="2">
        <f t="shared" si="5"/>
        <v>1.9550000000000005</v>
      </c>
      <c r="Q24" s="2">
        <f t="shared" si="6"/>
        <v>2.3460000000000005</v>
      </c>
      <c r="R24" s="2">
        <f t="shared" si="7"/>
        <v>35.190000000000005</v>
      </c>
      <c r="S24" s="2">
        <f t="shared" si="8"/>
        <v>19.550000000000004</v>
      </c>
      <c r="T24" s="2">
        <f t="shared" si="9"/>
        <v>39.100000000000009</v>
      </c>
      <c r="U24" s="2">
        <f t="shared" si="10"/>
        <v>58.650000000000013</v>
      </c>
      <c r="V24" s="2">
        <f t="shared" si="11"/>
        <v>78.200000000000017</v>
      </c>
      <c r="W24" s="2">
        <f t="shared" si="12"/>
        <v>97.750000000000028</v>
      </c>
      <c r="X24" s="2">
        <f t="shared" si="13"/>
        <v>117.30000000000003</v>
      </c>
      <c r="Y24" s="5" t="str">
        <f t="shared" si="14"/>
        <v>1</v>
      </c>
      <c r="Z24" s="5" t="str">
        <f t="shared" si="14"/>
        <v>1</v>
      </c>
      <c r="AA24" s="5" t="str">
        <f t="shared" si="14"/>
        <v>1</v>
      </c>
      <c r="AB24" s="5" t="str">
        <f t="shared" si="14"/>
        <v>1</v>
      </c>
      <c r="AC24" s="5" t="str">
        <f t="shared" si="14"/>
        <v>1</v>
      </c>
      <c r="AD24" s="5" t="str">
        <f t="shared" si="14"/>
        <v>1</v>
      </c>
      <c r="AE24" s="5" t="str">
        <f t="shared" si="14"/>
        <v>1</v>
      </c>
    </row>
    <row r="25" spans="1:31" ht="14.4" x14ac:dyDescent="0.3">
      <c r="A25" s="14">
        <v>22</v>
      </c>
      <c r="B25" s="15" t="s">
        <v>128</v>
      </c>
      <c r="C25" s="10">
        <v>9</v>
      </c>
      <c r="D25" s="10">
        <v>25</v>
      </c>
      <c r="E25" s="16">
        <v>365</v>
      </c>
      <c r="F25" s="21">
        <v>3.9100000000000003E-2</v>
      </c>
      <c r="G25" s="10">
        <v>900</v>
      </c>
      <c r="H25" s="13">
        <v>0.02</v>
      </c>
      <c r="I25" s="18">
        <v>10950</v>
      </c>
      <c r="J25" s="20">
        <v>9</v>
      </c>
      <c r="K25" s="19">
        <f t="shared" si="0"/>
        <v>0.4222800000000001</v>
      </c>
      <c r="L25" s="2">
        <f t="shared" si="1"/>
        <v>0.23460000000000006</v>
      </c>
      <c r="M25" s="2">
        <f t="shared" si="2"/>
        <v>0.46920000000000012</v>
      </c>
      <c r="N25" s="2">
        <f t="shared" si="3"/>
        <v>0.70380000000000009</v>
      </c>
      <c r="O25" s="2">
        <f t="shared" si="4"/>
        <v>0.93840000000000023</v>
      </c>
      <c r="P25" s="2">
        <f t="shared" si="5"/>
        <v>1.1730000000000003</v>
      </c>
      <c r="Q25" s="2">
        <f t="shared" si="6"/>
        <v>1.4076000000000002</v>
      </c>
      <c r="R25" s="2">
        <f t="shared" si="7"/>
        <v>21.114000000000004</v>
      </c>
      <c r="S25" s="2">
        <f t="shared" si="8"/>
        <v>11.730000000000002</v>
      </c>
      <c r="T25" s="2">
        <f t="shared" si="9"/>
        <v>23.460000000000004</v>
      </c>
      <c r="U25" s="2">
        <f t="shared" si="10"/>
        <v>35.190000000000005</v>
      </c>
      <c r="V25" s="2">
        <f t="shared" si="11"/>
        <v>46.920000000000009</v>
      </c>
      <c r="W25" s="2">
        <f t="shared" si="12"/>
        <v>58.650000000000013</v>
      </c>
      <c r="X25" s="2">
        <f t="shared" si="13"/>
        <v>70.38000000000001</v>
      </c>
      <c r="Y25" s="5" t="str">
        <f t="shared" si="14"/>
        <v>1</v>
      </c>
      <c r="Z25" s="5" t="str">
        <f t="shared" si="14"/>
        <v>1</v>
      </c>
      <c r="AA25" s="5" t="str">
        <f t="shared" si="14"/>
        <v>1</v>
      </c>
      <c r="AB25" s="5" t="str">
        <f t="shared" si="14"/>
        <v>1</v>
      </c>
      <c r="AC25" s="5" t="str">
        <f t="shared" si="14"/>
        <v>1</v>
      </c>
      <c r="AD25" s="5" t="str">
        <f t="shared" si="14"/>
        <v>1</v>
      </c>
      <c r="AE25" s="5" t="str">
        <f t="shared" si="14"/>
        <v>1</v>
      </c>
    </row>
    <row r="26" spans="1:31" ht="14.4" x14ac:dyDescent="0.3">
      <c r="A26" s="14">
        <v>23</v>
      </c>
      <c r="B26" s="15" t="s">
        <v>129</v>
      </c>
      <c r="C26" s="10">
        <v>9</v>
      </c>
      <c r="D26" s="10">
        <v>39</v>
      </c>
      <c r="E26" s="16">
        <v>365</v>
      </c>
      <c r="F26" s="21">
        <v>4.1200000000000001E-2</v>
      </c>
      <c r="G26" s="10">
        <v>900</v>
      </c>
      <c r="H26" s="13">
        <v>0.02</v>
      </c>
      <c r="I26" s="18">
        <v>10950</v>
      </c>
      <c r="J26" s="20">
        <v>1</v>
      </c>
      <c r="K26" s="19">
        <f t="shared" si="0"/>
        <v>3.1692307692307686E-2</v>
      </c>
      <c r="L26" s="2">
        <f t="shared" si="1"/>
        <v>0.15846153846153846</v>
      </c>
      <c r="M26" s="2">
        <f t="shared" si="2"/>
        <v>0.31692307692307692</v>
      </c>
      <c r="N26" s="2">
        <f t="shared" si="3"/>
        <v>0.47538461538461529</v>
      </c>
      <c r="O26" s="2">
        <f t="shared" si="4"/>
        <v>0.63384615384615384</v>
      </c>
      <c r="P26" s="2">
        <f t="shared" si="5"/>
        <v>0.79230769230769227</v>
      </c>
      <c r="Q26" s="2">
        <f t="shared" si="6"/>
        <v>0.95076923076923059</v>
      </c>
      <c r="R26" s="2">
        <f t="shared" si="7"/>
        <v>1.5846153846153843</v>
      </c>
      <c r="S26" s="2">
        <f t="shared" si="8"/>
        <v>7.9230769230769225</v>
      </c>
      <c r="T26" s="2">
        <f t="shared" si="9"/>
        <v>15.846153846153845</v>
      </c>
      <c r="U26" s="2">
        <f t="shared" si="10"/>
        <v>23.769230769230763</v>
      </c>
      <c r="V26" s="2">
        <f t="shared" si="11"/>
        <v>31.69230769230769</v>
      </c>
      <c r="W26" s="2">
        <f t="shared" si="12"/>
        <v>39.615384615384613</v>
      </c>
      <c r="X26" s="2">
        <f t="shared" si="13"/>
        <v>47.538461538461526</v>
      </c>
      <c r="Y26" s="5" t="str">
        <f t="shared" si="14"/>
        <v>1</v>
      </c>
      <c r="Z26" s="5" t="str">
        <f t="shared" si="14"/>
        <v>1</v>
      </c>
      <c r="AA26" s="5" t="str">
        <f t="shared" si="14"/>
        <v>1</v>
      </c>
      <c r="AB26" s="5" t="str">
        <f t="shared" si="14"/>
        <v>1</v>
      </c>
      <c r="AC26" s="5" t="str">
        <f t="shared" si="14"/>
        <v>1</v>
      </c>
      <c r="AD26" s="5" t="str">
        <f t="shared" si="14"/>
        <v>1</v>
      </c>
      <c r="AE26" s="5" t="str">
        <f t="shared" si="14"/>
        <v>1</v>
      </c>
    </row>
    <row r="27" spans="1:31" ht="14.4" x14ac:dyDescent="0.3">
      <c r="A27" s="14">
        <v>24</v>
      </c>
      <c r="B27" s="15" t="s">
        <v>130</v>
      </c>
      <c r="C27" s="10">
        <v>9</v>
      </c>
      <c r="D27" s="10">
        <v>26</v>
      </c>
      <c r="E27" s="16">
        <v>365</v>
      </c>
      <c r="F27" s="21">
        <v>4.1200000000000001E-2</v>
      </c>
      <c r="G27" s="10">
        <v>900</v>
      </c>
      <c r="H27" s="13">
        <v>0.02</v>
      </c>
      <c r="I27" s="18">
        <v>10950</v>
      </c>
      <c r="J27" s="20">
        <v>9</v>
      </c>
      <c r="K27" s="19">
        <f t="shared" si="0"/>
        <v>0.42784615384615382</v>
      </c>
      <c r="L27" s="2">
        <f t="shared" si="1"/>
        <v>0.2376923076923077</v>
      </c>
      <c r="M27" s="2">
        <f t="shared" si="2"/>
        <v>0.47538461538461541</v>
      </c>
      <c r="N27" s="2">
        <f t="shared" si="3"/>
        <v>0.71307692307692294</v>
      </c>
      <c r="O27" s="2">
        <f t="shared" si="4"/>
        <v>0.95076923076923081</v>
      </c>
      <c r="P27" s="2">
        <f t="shared" si="5"/>
        <v>1.1884615384615385</v>
      </c>
      <c r="Q27" s="2">
        <f t="shared" si="6"/>
        <v>1.4261538461538459</v>
      </c>
      <c r="R27" s="2">
        <f t="shared" si="7"/>
        <v>21.392307692307689</v>
      </c>
      <c r="S27" s="2">
        <f t="shared" si="8"/>
        <v>11.884615384615385</v>
      </c>
      <c r="T27" s="2">
        <f t="shared" si="9"/>
        <v>23.76923076923077</v>
      </c>
      <c r="U27" s="2">
        <f t="shared" si="10"/>
        <v>35.653846153846146</v>
      </c>
      <c r="V27" s="2">
        <f t="shared" si="11"/>
        <v>47.53846153846154</v>
      </c>
      <c r="W27" s="2">
        <f t="shared" si="12"/>
        <v>59.42307692307692</v>
      </c>
      <c r="X27" s="2">
        <f t="shared" si="13"/>
        <v>71.307692307692292</v>
      </c>
      <c r="Y27" s="5" t="str">
        <f t="shared" si="14"/>
        <v>1</v>
      </c>
      <c r="Z27" s="5" t="str">
        <f t="shared" si="14"/>
        <v>1</v>
      </c>
      <c r="AA27" s="5" t="str">
        <f t="shared" si="14"/>
        <v>1</v>
      </c>
      <c r="AB27" s="5" t="str">
        <f t="shared" si="14"/>
        <v>1</v>
      </c>
      <c r="AC27" s="5" t="str">
        <f t="shared" si="14"/>
        <v>1</v>
      </c>
      <c r="AD27" s="5" t="str">
        <f t="shared" si="14"/>
        <v>1</v>
      </c>
      <c r="AE27" s="5" t="str">
        <f t="shared" si="14"/>
        <v>1</v>
      </c>
    </row>
    <row r="28" spans="1:31" ht="14.4" x14ac:dyDescent="0.3">
      <c r="A28" s="14">
        <v>25</v>
      </c>
      <c r="B28" s="15" t="s">
        <v>131</v>
      </c>
      <c r="C28" s="10">
        <v>9</v>
      </c>
      <c r="D28" s="10">
        <v>20</v>
      </c>
      <c r="E28" s="16">
        <v>365</v>
      </c>
      <c r="F28" s="21">
        <v>4.1200000000000001E-2</v>
      </c>
      <c r="G28" s="10">
        <v>2100</v>
      </c>
      <c r="H28" s="13">
        <v>0.02</v>
      </c>
      <c r="I28" s="18">
        <v>10950</v>
      </c>
      <c r="J28" s="20">
        <v>9</v>
      </c>
      <c r="K28" s="19">
        <f t="shared" si="0"/>
        <v>1.2978000000000001</v>
      </c>
      <c r="L28" s="2">
        <f t="shared" si="1"/>
        <v>0.72099999999999997</v>
      </c>
      <c r="M28" s="2">
        <f t="shared" si="2"/>
        <v>1.4419999999999999</v>
      </c>
      <c r="N28" s="2">
        <f t="shared" si="3"/>
        <v>2.1629999999999998</v>
      </c>
      <c r="O28" s="2">
        <f t="shared" si="4"/>
        <v>2.8839999999999999</v>
      </c>
      <c r="P28" s="2">
        <f t="shared" si="5"/>
        <v>3.605</v>
      </c>
      <c r="Q28" s="2">
        <f t="shared" si="6"/>
        <v>4.3259999999999996</v>
      </c>
      <c r="R28" s="2">
        <f t="shared" si="7"/>
        <v>64.89</v>
      </c>
      <c r="S28" s="2">
        <f t="shared" si="8"/>
        <v>36.049999999999997</v>
      </c>
      <c r="T28" s="2">
        <f t="shared" si="9"/>
        <v>72.099999999999994</v>
      </c>
      <c r="U28" s="2">
        <f t="shared" si="10"/>
        <v>108.14999999999999</v>
      </c>
      <c r="V28" s="2">
        <f t="shared" si="11"/>
        <v>144.19999999999999</v>
      </c>
      <c r="W28" s="2">
        <f t="shared" si="12"/>
        <v>180.25</v>
      </c>
      <c r="X28" s="2">
        <f t="shared" si="13"/>
        <v>216.29999999999998</v>
      </c>
      <c r="Y28" s="5" t="str">
        <f t="shared" si="14"/>
        <v>1</v>
      </c>
      <c r="Z28" s="5" t="str">
        <f t="shared" si="14"/>
        <v>1</v>
      </c>
      <c r="AA28" s="5" t="str">
        <f t="shared" si="14"/>
        <v>1</v>
      </c>
      <c r="AB28" s="5" t="str">
        <f t="shared" si="14"/>
        <v>1</v>
      </c>
      <c r="AC28" s="5" t="str">
        <f t="shared" si="14"/>
        <v>1</v>
      </c>
      <c r="AD28" s="5" t="str">
        <f t="shared" si="14"/>
        <v>1</v>
      </c>
      <c r="AE28" s="5" t="str">
        <f t="shared" si="14"/>
        <v>1</v>
      </c>
    </row>
    <row r="29" spans="1:31" ht="14.4" x14ac:dyDescent="0.3">
      <c r="A29" s="14">
        <v>26</v>
      </c>
      <c r="B29" s="15" t="s">
        <v>132</v>
      </c>
      <c r="C29" s="10">
        <v>9</v>
      </c>
      <c r="D29" s="10">
        <v>40</v>
      </c>
      <c r="E29" s="16">
        <v>365</v>
      </c>
      <c r="F29" s="21">
        <v>4.1200000000000001E-2</v>
      </c>
      <c r="G29" s="10">
        <v>900</v>
      </c>
      <c r="H29" s="13">
        <v>0.02</v>
      </c>
      <c r="I29" s="18">
        <v>10950</v>
      </c>
      <c r="J29" s="20">
        <v>5</v>
      </c>
      <c r="K29" s="19">
        <f t="shared" si="0"/>
        <v>0.1545</v>
      </c>
      <c r="L29" s="2">
        <f t="shared" si="1"/>
        <v>0.1545</v>
      </c>
      <c r="M29" s="2">
        <f t="shared" si="2"/>
        <v>0.309</v>
      </c>
      <c r="N29" s="2">
        <f t="shared" si="3"/>
        <v>0.46349999999999991</v>
      </c>
      <c r="O29" s="2">
        <f t="shared" si="4"/>
        <v>0.61799999999999999</v>
      </c>
      <c r="P29" s="2">
        <f t="shared" si="5"/>
        <v>0.77249999999999996</v>
      </c>
      <c r="Q29" s="2">
        <f t="shared" si="6"/>
        <v>0.92699999999999982</v>
      </c>
      <c r="R29" s="2">
        <f t="shared" si="7"/>
        <v>7.7249999999999996</v>
      </c>
      <c r="S29" s="2">
        <f t="shared" si="8"/>
        <v>7.7249999999999996</v>
      </c>
      <c r="T29" s="2">
        <f t="shared" si="9"/>
        <v>15.45</v>
      </c>
      <c r="U29" s="2">
        <f t="shared" si="10"/>
        <v>23.174999999999994</v>
      </c>
      <c r="V29" s="2">
        <f t="shared" si="11"/>
        <v>30.9</v>
      </c>
      <c r="W29" s="2">
        <f t="shared" si="12"/>
        <v>38.625</v>
      </c>
      <c r="X29" s="2">
        <f t="shared" si="13"/>
        <v>46.349999999999987</v>
      </c>
      <c r="Y29" s="5" t="str">
        <f t="shared" ref="Y29:AE53" si="15">IF(R29&gt;1,"1","2")</f>
        <v>1</v>
      </c>
      <c r="Z29" s="5" t="str">
        <f t="shared" si="15"/>
        <v>1</v>
      </c>
      <c r="AA29" s="5" t="str">
        <f t="shared" si="15"/>
        <v>1</v>
      </c>
      <c r="AB29" s="5" t="str">
        <f t="shared" si="15"/>
        <v>1</v>
      </c>
      <c r="AC29" s="5" t="str">
        <f t="shared" si="15"/>
        <v>1</v>
      </c>
      <c r="AD29" s="5" t="str">
        <f t="shared" si="15"/>
        <v>1</v>
      </c>
      <c r="AE29" s="5" t="str">
        <f t="shared" si="15"/>
        <v>1</v>
      </c>
    </row>
    <row r="30" spans="1:31" ht="14.4" x14ac:dyDescent="0.3">
      <c r="A30" s="14">
        <v>27</v>
      </c>
      <c r="B30" s="15" t="s">
        <v>105</v>
      </c>
      <c r="C30" s="10">
        <v>9</v>
      </c>
      <c r="D30" s="10">
        <v>39</v>
      </c>
      <c r="E30" s="16">
        <v>365</v>
      </c>
      <c r="F30" s="21">
        <v>6.2899999999999998E-2</v>
      </c>
      <c r="G30" s="10">
        <v>900</v>
      </c>
      <c r="H30" s="13">
        <v>0.02</v>
      </c>
      <c r="I30" s="18">
        <v>10950</v>
      </c>
      <c r="J30" s="20">
        <v>1</v>
      </c>
      <c r="K30" s="19">
        <f t="shared" si="0"/>
        <v>4.8384615384615387E-2</v>
      </c>
      <c r="L30" s="2">
        <f t="shared" si="1"/>
        <v>0.24192307692307694</v>
      </c>
      <c r="M30" s="2">
        <f t="shared" si="2"/>
        <v>0.48384615384615387</v>
      </c>
      <c r="N30" s="2">
        <f t="shared" si="3"/>
        <v>0.72576923076923072</v>
      </c>
      <c r="O30" s="2">
        <f t="shared" si="4"/>
        <v>0.96769230769230774</v>
      </c>
      <c r="P30" s="2">
        <f t="shared" si="5"/>
        <v>1.2096153846153848</v>
      </c>
      <c r="Q30" s="2">
        <f t="shared" si="6"/>
        <v>1.4515384615384614</v>
      </c>
      <c r="R30" s="2">
        <f t="shared" si="7"/>
        <v>2.4192307692307695</v>
      </c>
      <c r="S30" s="2">
        <f t="shared" si="8"/>
        <v>12.096153846153847</v>
      </c>
      <c r="T30" s="2">
        <f t="shared" si="9"/>
        <v>24.192307692307693</v>
      </c>
      <c r="U30" s="2">
        <f t="shared" si="10"/>
        <v>36.288461538461533</v>
      </c>
      <c r="V30" s="2">
        <f t="shared" si="11"/>
        <v>48.384615384615387</v>
      </c>
      <c r="W30" s="2">
        <f t="shared" si="12"/>
        <v>60.480769230769234</v>
      </c>
      <c r="X30" s="2">
        <f t="shared" si="13"/>
        <v>72.576923076923066</v>
      </c>
      <c r="Y30" s="5" t="str">
        <f t="shared" si="15"/>
        <v>1</v>
      </c>
      <c r="Z30" s="5" t="str">
        <f t="shared" si="15"/>
        <v>1</v>
      </c>
      <c r="AA30" s="5" t="str">
        <f t="shared" si="15"/>
        <v>1</v>
      </c>
      <c r="AB30" s="5" t="str">
        <f t="shared" si="15"/>
        <v>1</v>
      </c>
      <c r="AC30" s="5" t="str">
        <f t="shared" si="15"/>
        <v>1</v>
      </c>
      <c r="AD30" s="5" t="str">
        <f t="shared" si="15"/>
        <v>1</v>
      </c>
      <c r="AE30" s="5" t="str">
        <f t="shared" si="15"/>
        <v>1</v>
      </c>
    </row>
    <row r="31" spans="1:31" ht="14.4" x14ac:dyDescent="0.3">
      <c r="A31" s="14">
        <v>28</v>
      </c>
      <c r="B31" s="15" t="s">
        <v>133</v>
      </c>
      <c r="C31" s="10">
        <v>9</v>
      </c>
      <c r="D31" s="10">
        <v>26</v>
      </c>
      <c r="E31" s="16">
        <v>365</v>
      </c>
      <c r="F31" s="21">
        <v>6.2899999999999998E-2</v>
      </c>
      <c r="G31" s="10">
        <v>900</v>
      </c>
      <c r="H31" s="13">
        <v>0.02</v>
      </c>
      <c r="I31" s="18">
        <v>10950</v>
      </c>
      <c r="J31" s="20">
        <v>9</v>
      </c>
      <c r="K31" s="19">
        <f t="shared" si="0"/>
        <v>0.65319230769230774</v>
      </c>
      <c r="L31" s="2">
        <f t="shared" si="1"/>
        <v>0.36288461538461536</v>
      </c>
      <c r="M31" s="2">
        <f t="shared" si="2"/>
        <v>0.72576923076923072</v>
      </c>
      <c r="N31" s="2">
        <f t="shared" si="3"/>
        <v>1.0886538461538462</v>
      </c>
      <c r="O31" s="2">
        <f t="shared" si="4"/>
        <v>1.4515384615384614</v>
      </c>
      <c r="P31" s="2">
        <f t="shared" si="5"/>
        <v>1.8144230769230771</v>
      </c>
      <c r="Q31" s="2">
        <f t="shared" si="6"/>
        <v>2.1773076923076924</v>
      </c>
      <c r="R31" s="2">
        <f t="shared" si="7"/>
        <v>32.659615384615385</v>
      </c>
      <c r="S31" s="2">
        <f t="shared" si="8"/>
        <v>18.144230769230766</v>
      </c>
      <c r="T31" s="2">
        <f t="shared" si="9"/>
        <v>36.288461538461533</v>
      </c>
      <c r="U31" s="2">
        <f t="shared" si="10"/>
        <v>54.432692307692307</v>
      </c>
      <c r="V31" s="2">
        <f t="shared" si="11"/>
        <v>72.576923076923066</v>
      </c>
      <c r="W31" s="2">
        <f t="shared" si="12"/>
        <v>90.721153846153854</v>
      </c>
      <c r="X31" s="2">
        <f t="shared" si="13"/>
        <v>108.86538461538461</v>
      </c>
      <c r="Y31" s="5" t="str">
        <f t="shared" si="15"/>
        <v>1</v>
      </c>
      <c r="Z31" s="5" t="str">
        <f t="shared" si="15"/>
        <v>1</v>
      </c>
      <c r="AA31" s="5" t="str">
        <f t="shared" si="15"/>
        <v>1</v>
      </c>
      <c r="AB31" s="5" t="str">
        <f t="shared" si="15"/>
        <v>1</v>
      </c>
      <c r="AC31" s="5" t="str">
        <f t="shared" si="15"/>
        <v>1</v>
      </c>
      <c r="AD31" s="5" t="str">
        <f t="shared" si="15"/>
        <v>1</v>
      </c>
      <c r="AE31" s="5" t="str">
        <f t="shared" si="15"/>
        <v>1</v>
      </c>
    </row>
    <row r="32" spans="1:31" ht="14.4" x14ac:dyDescent="0.3">
      <c r="A32" s="14">
        <v>29</v>
      </c>
      <c r="B32" s="15" t="s">
        <v>134</v>
      </c>
      <c r="C32" s="10">
        <v>9</v>
      </c>
      <c r="D32" s="10">
        <v>25</v>
      </c>
      <c r="E32" s="16">
        <v>365</v>
      </c>
      <c r="F32" s="21">
        <v>6.2899999999999998E-2</v>
      </c>
      <c r="G32" s="10">
        <v>900</v>
      </c>
      <c r="H32" s="13">
        <v>0.02</v>
      </c>
      <c r="I32" s="18">
        <v>10950</v>
      </c>
      <c r="J32" s="20">
        <v>9</v>
      </c>
      <c r="K32" s="19">
        <f t="shared" si="0"/>
        <v>0.67932000000000003</v>
      </c>
      <c r="L32" s="2">
        <f t="shared" si="1"/>
        <v>0.37740000000000001</v>
      </c>
      <c r="M32" s="2">
        <f t="shared" si="2"/>
        <v>0.75480000000000003</v>
      </c>
      <c r="N32" s="2">
        <f t="shared" si="3"/>
        <v>1.1322000000000001</v>
      </c>
      <c r="O32" s="2">
        <f t="shared" si="4"/>
        <v>1.5096000000000001</v>
      </c>
      <c r="P32" s="2">
        <f t="shared" si="5"/>
        <v>1.8870000000000002</v>
      </c>
      <c r="Q32" s="2">
        <f t="shared" si="6"/>
        <v>2.2644000000000002</v>
      </c>
      <c r="R32" s="2">
        <f t="shared" si="7"/>
        <v>33.966000000000001</v>
      </c>
      <c r="S32" s="2">
        <f t="shared" si="8"/>
        <v>18.87</v>
      </c>
      <c r="T32" s="2">
        <f t="shared" si="9"/>
        <v>37.74</v>
      </c>
      <c r="U32" s="2">
        <f t="shared" si="10"/>
        <v>56.610000000000007</v>
      </c>
      <c r="V32" s="2">
        <f t="shared" si="11"/>
        <v>75.48</v>
      </c>
      <c r="W32" s="2">
        <f t="shared" si="12"/>
        <v>94.350000000000009</v>
      </c>
      <c r="X32" s="2">
        <f t="shared" si="13"/>
        <v>113.22000000000001</v>
      </c>
      <c r="Y32" s="5" t="str">
        <f t="shared" si="15"/>
        <v>1</v>
      </c>
      <c r="Z32" s="5" t="str">
        <f t="shared" si="15"/>
        <v>1</v>
      </c>
      <c r="AA32" s="5" t="str">
        <f t="shared" si="15"/>
        <v>1</v>
      </c>
      <c r="AB32" s="5" t="str">
        <f t="shared" si="15"/>
        <v>1</v>
      </c>
      <c r="AC32" s="5" t="str">
        <f t="shared" si="15"/>
        <v>1</v>
      </c>
      <c r="AD32" s="5" t="str">
        <f t="shared" si="15"/>
        <v>1</v>
      </c>
      <c r="AE32" s="5" t="str">
        <f t="shared" si="15"/>
        <v>1</v>
      </c>
    </row>
    <row r="33" spans="1:31" ht="14.4" x14ac:dyDescent="0.3">
      <c r="A33" s="14">
        <v>30</v>
      </c>
      <c r="B33" s="15" t="s">
        <v>135</v>
      </c>
      <c r="C33" s="10">
        <v>10</v>
      </c>
      <c r="D33" s="10">
        <v>25</v>
      </c>
      <c r="E33" s="16">
        <v>365</v>
      </c>
      <c r="F33" s="21">
        <v>1.24E-2</v>
      </c>
      <c r="G33" s="10">
        <v>900</v>
      </c>
      <c r="H33" s="13">
        <v>0.02</v>
      </c>
      <c r="I33" s="18">
        <v>10950</v>
      </c>
      <c r="J33" s="20">
        <v>10</v>
      </c>
      <c r="K33" s="19">
        <f t="shared" si="0"/>
        <v>0.14879999999999999</v>
      </c>
      <c r="L33" s="2">
        <f t="shared" si="1"/>
        <v>7.4399999999999994E-2</v>
      </c>
      <c r="M33" s="2">
        <f t="shared" si="2"/>
        <v>0.14879999999999999</v>
      </c>
      <c r="N33" s="2">
        <f t="shared" si="3"/>
        <v>0.22320000000000001</v>
      </c>
      <c r="O33" s="2">
        <f t="shared" si="4"/>
        <v>0.29759999999999998</v>
      </c>
      <c r="P33" s="2">
        <f t="shared" si="5"/>
        <v>0.372</v>
      </c>
      <c r="Q33" s="2">
        <f t="shared" si="6"/>
        <v>0.44640000000000002</v>
      </c>
      <c r="R33" s="2">
        <f t="shared" si="7"/>
        <v>7.4399999999999995</v>
      </c>
      <c r="S33" s="2">
        <f t="shared" si="8"/>
        <v>3.7199999999999998</v>
      </c>
      <c r="T33" s="2">
        <f t="shared" si="9"/>
        <v>7.4399999999999995</v>
      </c>
      <c r="U33" s="2">
        <f t="shared" si="10"/>
        <v>11.16</v>
      </c>
      <c r="V33" s="2">
        <f t="shared" si="11"/>
        <v>14.879999999999999</v>
      </c>
      <c r="W33" s="2">
        <f t="shared" si="12"/>
        <v>18.599999999999998</v>
      </c>
      <c r="X33" s="2">
        <f t="shared" si="13"/>
        <v>22.32</v>
      </c>
      <c r="Y33" s="5" t="str">
        <f t="shared" si="15"/>
        <v>1</v>
      </c>
      <c r="Z33" s="5" t="str">
        <f t="shared" si="15"/>
        <v>1</v>
      </c>
      <c r="AA33" s="5" t="str">
        <f t="shared" si="15"/>
        <v>1</v>
      </c>
      <c r="AB33" s="5" t="str">
        <f t="shared" si="15"/>
        <v>1</v>
      </c>
      <c r="AC33" s="5" t="str">
        <f t="shared" si="15"/>
        <v>1</v>
      </c>
      <c r="AD33" s="5" t="str">
        <f t="shared" si="15"/>
        <v>1</v>
      </c>
      <c r="AE33" s="5" t="str">
        <f t="shared" si="15"/>
        <v>1</v>
      </c>
    </row>
    <row r="34" spans="1:31" ht="14.4" x14ac:dyDescent="0.3">
      <c r="A34" s="14">
        <v>31</v>
      </c>
      <c r="B34" s="15" t="s">
        <v>136</v>
      </c>
      <c r="C34" s="10">
        <v>10</v>
      </c>
      <c r="D34" s="10">
        <v>33</v>
      </c>
      <c r="E34" s="16">
        <v>365</v>
      </c>
      <c r="F34" s="21">
        <v>1.24E-2</v>
      </c>
      <c r="G34" s="10">
        <v>900</v>
      </c>
      <c r="H34" s="13">
        <v>0.02</v>
      </c>
      <c r="I34" s="18">
        <v>10950</v>
      </c>
      <c r="J34" s="20">
        <v>10</v>
      </c>
      <c r="K34" s="19">
        <f t="shared" si="0"/>
        <v>0.11272727272727273</v>
      </c>
      <c r="L34" s="2">
        <f t="shared" si="1"/>
        <v>5.6363636363636366E-2</v>
      </c>
      <c r="M34" s="2">
        <f t="shared" si="2"/>
        <v>0.11272727272727273</v>
      </c>
      <c r="N34" s="2">
        <f t="shared" si="3"/>
        <v>0.1690909090909091</v>
      </c>
      <c r="O34" s="2">
        <f t="shared" si="4"/>
        <v>0.22545454545454546</v>
      </c>
      <c r="P34" s="2">
        <f t="shared" si="5"/>
        <v>0.2818181818181818</v>
      </c>
      <c r="Q34" s="2">
        <f t="shared" si="6"/>
        <v>0.33818181818181819</v>
      </c>
      <c r="R34" s="2">
        <f t="shared" si="7"/>
        <v>5.6363636363636367</v>
      </c>
      <c r="S34" s="2">
        <f t="shared" si="8"/>
        <v>2.8181818181818183</v>
      </c>
      <c r="T34" s="2">
        <f t="shared" si="9"/>
        <v>5.6363636363636367</v>
      </c>
      <c r="U34" s="2">
        <f t="shared" si="10"/>
        <v>8.454545454545455</v>
      </c>
      <c r="V34" s="2">
        <f t="shared" si="11"/>
        <v>11.272727272727273</v>
      </c>
      <c r="W34" s="2">
        <f t="shared" si="12"/>
        <v>14.09090909090909</v>
      </c>
      <c r="X34" s="2">
        <f t="shared" si="13"/>
        <v>16.90909090909091</v>
      </c>
      <c r="Y34" s="5" t="str">
        <f t="shared" si="15"/>
        <v>1</v>
      </c>
      <c r="Z34" s="5" t="str">
        <f t="shared" si="15"/>
        <v>1</v>
      </c>
      <c r="AA34" s="5" t="str">
        <f t="shared" si="15"/>
        <v>1</v>
      </c>
      <c r="AB34" s="5" t="str">
        <f t="shared" si="15"/>
        <v>1</v>
      </c>
      <c r="AC34" s="5" t="str">
        <f t="shared" si="15"/>
        <v>1</v>
      </c>
      <c r="AD34" s="5" t="str">
        <f t="shared" si="15"/>
        <v>1</v>
      </c>
      <c r="AE34" s="5" t="str">
        <f t="shared" si="15"/>
        <v>1</v>
      </c>
    </row>
    <row r="35" spans="1:31" ht="14.4" x14ac:dyDescent="0.3">
      <c r="A35" s="14">
        <v>32</v>
      </c>
      <c r="B35" s="15" t="s">
        <v>137</v>
      </c>
      <c r="C35" s="10">
        <v>10</v>
      </c>
      <c r="D35" s="10">
        <v>25</v>
      </c>
      <c r="E35" s="16">
        <v>365</v>
      </c>
      <c r="F35" s="21">
        <v>1.24E-2</v>
      </c>
      <c r="G35" s="10">
        <v>900</v>
      </c>
      <c r="H35" s="13">
        <v>0.02</v>
      </c>
      <c r="I35" s="18">
        <v>10950</v>
      </c>
      <c r="J35" s="20">
        <v>10</v>
      </c>
      <c r="K35" s="19">
        <f t="shared" si="0"/>
        <v>0.14879999999999999</v>
      </c>
      <c r="L35" s="2">
        <f t="shared" si="1"/>
        <v>7.4399999999999994E-2</v>
      </c>
      <c r="M35" s="2">
        <f t="shared" si="2"/>
        <v>0.14879999999999999</v>
      </c>
      <c r="N35" s="2">
        <f t="shared" si="3"/>
        <v>0.22320000000000001</v>
      </c>
      <c r="O35" s="2">
        <f t="shared" si="4"/>
        <v>0.29759999999999998</v>
      </c>
      <c r="P35" s="2">
        <f t="shared" si="5"/>
        <v>0.372</v>
      </c>
      <c r="Q35" s="2">
        <f t="shared" si="6"/>
        <v>0.44640000000000002</v>
      </c>
      <c r="R35" s="2">
        <f t="shared" si="7"/>
        <v>7.4399999999999995</v>
      </c>
      <c r="S35" s="2">
        <f t="shared" si="8"/>
        <v>3.7199999999999998</v>
      </c>
      <c r="T35" s="2">
        <f t="shared" si="9"/>
        <v>7.4399999999999995</v>
      </c>
      <c r="U35" s="2">
        <f t="shared" si="10"/>
        <v>11.16</v>
      </c>
      <c r="V35" s="2">
        <f t="shared" si="11"/>
        <v>14.879999999999999</v>
      </c>
      <c r="W35" s="2">
        <f t="shared" si="12"/>
        <v>18.599999999999998</v>
      </c>
      <c r="X35" s="2">
        <f t="shared" si="13"/>
        <v>22.32</v>
      </c>
      <c r="Y35" s="5" t="str">
        <f t="shared" si="15"/>
        <v>1</v>
      </c>
      <c r="Z35" s="5" t="str">
        <f t="shared" si="15"/>
        <v>1</v>
      </c>
      <c r="AA35" s="5" t="str">
        <f t="shared" si="15"/>
        <v>1</v>
      </c>
      <c r="AB35" s="5" t="str">
        <f t="shared" si="15"/>
        <v>1</v>
      </c>
      <c r="AC35" s="5" t="str">
        <f t="shared" si="15"/>
        <v>1</v>
      </c>
      <c r="AD35" s="5" t="str">
        <f t="shared" si="15"/>
        <v>1</v>
      </c>
      <c r="AE35" s="5" t="str">
        <f t="shared" si="15"/>
        <v>1</v>
      </c>
    </row>
    <row r="36" spans="1:31" ht="14.4" x14ac:dyDescent="0.3">
      <c r="A36" s="14">
        <v>33</v>
      </c>
      <c r="B36" s="15" t="s">
        <v>138</v>
      </c>
      <c r="C36" s="10">
        <v>10</v>
      </c>
      <c r="D36" s="10">
        <v>25</v>
      </c>
      <c r="E36" s="16">
        <v>365</v>
      </c>
      <c r="F36" s="21">
        <v>4.1999999999999997E-3</v>
      </c>
      <c r="G36" s="10">
        <v>900</v>
      </c>
      <c r="H36" s="13">
        <v>0.02</v>
      </c>
      <c r="I36" s="18">
        <v>10950</v>
      </c>
      <c r="J36" s="20">
        <v>10</v>
      </c>
      <c r="K36" s="19">
        <f t="shared" si="0"/>
        <v>5.0399999999999993E-2</v>
      </c>
      <c r="L36" s="2">
        <f t="shared" si="1"/>
        <v>2.5199999999999997E-2</v>
      </c>
      <c r="M36" s="2">
        <f t="shared" si="2"/>
        <v>5.0399999999999993E-2</v>
      </c>
      <c r="N36" s="2">
        <f t="shared" si="3"/>
        <v>7.5599999999999987E-2</v>
      </c>
      <c r="O36" s="2">
        <f t="shared" si="4"/>
        <v>0.10079999999999999</v>
      </c>
      <c r="P36" s="2">
        <f t="shared" si="5"/>
        <v>0.12599999999999997</v>
      </c>
      <c r="Q36" s="2">
        <f t="shared" si="6"/>
        <v>0.15119999999999997</v>
      </c>
      <c r="R36" s="2">
        <f t="shared" si="7"/>
        <v>2.5199999999999996</v>
      </c>
      <c r="S36" s="2">
        <f t="shared" si="8"/>
        <v>1.2599999999999998</v>
      </c>
      <c r="T36" s="2">
        <f t="shared" si="9"/>
        <v>2.5199999999999996</v>
      </c>
      <c r="U36" s="2">
        <f t="shared" si="10"/>
        <v>3.7799999999999994</v>
      </c>
      <c r="V36" s="2">
        <f t="shared" si="11"/>
        <v>5.0399999999999991</v>
      </c>
      <c r="W36" s="2">
        <f t="shared" si="12"/>
        <v>6.2999999999999989</v>
      </c>
      <c r="X36" s="2">
        <f t="shared" si="13"/>
        <v>7.5599999999999987</v>
      </c>
      <c r="Y36" s="5" t="str">
        <f t="shared" si="15"/>
        <v>1</v>
      </c>
      <c r="Z36" s="5" t="str">
        <f t="shared" si="15"/>
        <v>1</v>
      </c>
      <c r="AA36" s="5" t="str">
        <f t="shared" si="15"/>
        <v>1</v>
      </c>
      <c r="AB36" s="5" t="str">
        <f t="shared" si="15"/>
        <v>1</v>
      </c>
      <c r="AC36" s="5" t="str">
        <f t="shared" si="15"/>
        <v>1</v>
      </c>
      <c r="AD36" s="5" t="str">
        <f t="shared" si="15"/>
        <v>1</v>
      </c>
      <c r="AE36" s="5" t="str">
        <f t="shared" si="15"/>
        <v>1</v>
      </c>
    </row>
    <row r="37" spans="1:31" ht="14.4" x14ac:dyDescent="0.3">
      <c r="A37" s="14">
        <v>34</v>
      </c>
      <c r="B37" s="15" t="s">
        <v>139</v>
      </c>
      <c r="C37" s="10">
        <v>10</v>
      </c>
      <c r="D37" s="10">
        <v>33</v>
      </c>
      <c r="E37" s="17">
        <v>365</v>
      </c>
      <c r="F37" s="21">
        <v>4.1999999999999997E-3</v>
      </c>
      <c r="G37" s="10">
        <v>900</v>
      </c>
      <c r="H37" s="13">
        <v>0.02</v>
      </c>
      <c r="I37" s="18">
        <v>10950</v>
      </c>
      <c r="J37" s="20">
        <v>10</v>
      </c>
      <c r="K37" s="19">
        <f t="shared" si="0"/>
        <v>3.8181818181818178E-2</v>
      </c>
      <c r="L37" s="2">
        <f t="shared" si="1"/>
        <v>1.9090909090909089E-2</v>
      </c>
      <c r="M37" s="2">
        <f t="shared" si="2"/>
        <v>3.8181818181818178E-2</v>
      </c>
      <c r="N37" s="2">
        <f t="shared" si="3"/>
        <v>5.727272727272726E-2</v>
      </c>
      <c r="O37" s="2">
        <f t="shared" si="4"/>
        <v>7.6363636363636356E-2</v>
      </c>
      <c r="P37" s="2">
        <f t="shared" si="5"/>
        <v>9.5454545454545431E-2</v>
      </c>
      <c r="Q37" s="2">
        <f t="shared" si="6"/>
        <v>0.11454545454545452</v>
      </c>
      <c r="R37" s="2">
        <f t="shared" si="7"/>
        <v>1.9090909090909089</v>
      </c>
      <c r="S37" s="2">
        <f t="shared" si="8"/>
        <v>0.95454545454545447</v>
      </c>
      <c r="T37" s="2">
        <f t="shared" si="9"/>
        <v>1.9090909090909089</v>
      </c>
      <c r="U37" s="2">
        <f t="shared" si="10"/>
        <v>2.8636363636363629</v>
      </c>
      <c r="V37" s="2">
        <f t="shared" si="11"/>
        <v>3.8181818181818179</v>
      </c>
      <c r="W37" s="2">
        <f t="shared" si="12"/>
        <v>4.7727272727272716</v>
      </c>
      <c r="X37" s="2">
        <f t="shared" si="13"/>
        <v>5.7272727272727257</v>
      </c>
      <c r="Y37" s="5" t="str">
        <f t="shared" si="15"/>
        <v>1</v>
      </c>
      <c r="Z37" s="5" t="str">
        <f t="shared" si="15"/>
        <v>2</v>
      </c>
      <c r="AA37" s="5" t="str">
        <f t="shared" si="15"/>
        <v>1</v>
      </c>
      <c r="AB37" s="5" t="str">
        <f t="shared" si="15"/>
        <v>1</v>
      </c>
      <c r="AC37" s="5" t="str">
        <f t="shared" si="15"/>
        <v>1</v>
      </c>
      <c r="AD37" s="5" t="str">
        <f t="shared" si="15"/>
        <v>1</v>
      </c>
      <c r="AE37" s="5" t="str">
        <f t="shared" si="15"/>
        <v>1</v>
      </c>
    </row>
    <row r="38" spans="1:31" ht="14.4" x14ac:dyDescent="0.3">
      <c r="A38" s="14">
        <v>35</v>
      </c>
      <c r="B38" s="15" t="s">
        <v>140</v>
      </c>
      <c r="C38" s="10">
        <v>10</v>
      </c>
      <c r="D38" s="10">
        <v>25</v>
      </c>
      <c r="E38" s="17">
        <v>365</v>
      </c>
      <c r="F38" s="21">
        <v>4.1999999999999997E-3</v>
      </c>
      <c r="G38" s="10">
        <v>900</v>
      </c>
      <c r="H38" s="13">
        <v>0.02</v>
      </c>
      <c r="I38" s="18">
        <v>10950</v>
      </c>
      <c r="J38" s="20">
        <v>10</v>
      </c>
      <c r="K38" s="19">
        <f t="shared" si="0"/>
        <v>5.0399999999999993E-2</v>
      </c>
      <c r="L38" s="2">
        <f t="shared" si="1"/>
        <v>2.5199999999999997E-2</v>
      </c>
      <c r="M38" s="2">
        <f t="shared" si="2"/>
        <v>5.0399999999999993E-2</v>
      </c>
      <c r="N38" s="2">
        <f t="shared" si="3"/>
        <v>7.5599999999999987E-2</v>
      </c>
      <c r="O38" s="2">
        <f t="shared" si="4"/>
        <v>0.10079999999999999</v>
      </c>
      <c r="P38" s="2">
        <f t="shared" si="5"/>
        <v>0.12599999999999997</v>
      </c>
      <c r="Q38" s="2">
        <f t="shared" si="6"/>
        <v>0.15119999999999997</v>
      </c>
      <c r="R38" s="2">
        <f t="shared" si="7"/>
        <v>2.5199999999999996</v>
      </c>
      <c r="S38" s="2">
        <f t="shared" si="8"/>
        <v>1.2599999999999998</v>
      </c>
      <c r="T38" s="2">
        <f t="shared" si="9"/>
        <v>2.5199999999999996</v>
      </c>
      <c r="U38" s="2">
        <f t="shared" si="10"/>
        <v>3.7799999999999994</v>
      </c>
      <c r="V38" s="2">
        <f t="shared" si="11"/>
        <v>5.0399999999999991</v>
      </c>
      <c r="W38" s="2">
        <f t="shared" si="12"/>
        <v>6.2999999999999989</v>
      </c>
      <c r="X38" s="2">
        <f t="shared" si="13"/>
        <v>7.5599999999999987</v>
      </c>
      <c r="Y38" s="5" t="str">
        <f t="shared" si="15"/>
        <v>1</v>
      </c>
      <c r="Z38" s="5" t="str">
        <f t="shared" si="15"/>
        <v>1</v>
      </c>
      <c r="AA38" s="5" t="str">
        <f t="shared" si="15"/>
        <v>1</v>
      </c>
      <c r="AB38" s="5" t="str">
        <f t="shared" si="15"/>
        <v>1</v>
      </c>
      <c r="AC38" s="5" t="str">
        <f t="shared" si="15"/>
        <v>1</v>
      </c>
      <c r="AD38" s="5" t="str">
        <f t="shared" si="15"/>
        <v>1</v>
      </c>
      <c r="AE38" s="5" t="str">
        <f t="shared" si="15"/>
        <v>1</v>
      </c>
    </row>
    <row r="39" spans="1:31" ht="14.4" x14ac:dyDescent="0.3">
      <c r="A39" s="14">
        <v>36</v>
      </c>
      <c r="B39" s="15" t="s">
        <v>141</v>
      </c>
      <c r="C39" s="10">
        <v>10</v>
      </c>
      <c r="D39" s="10">
        <v>24</v>
      </c>
      <c r="E39" s="17">
        <v>365</v>
      </c>
      <c r="F39" s="21">
        <v>6.1000000000000004E-3</v>
      </c>
      <c r="G39" s="10">
        <v>900</v>
      </c>
      <c r="H39" s="13">
        <v>0.02</v>
      </c>
      <c r="I39" s="18">
        <v>10950</v>
      </c>
      <c r="J39" s="20">
        <v>1</v>
      </c>
      <c r="K39" s="19">
        <f t="shared" si="0"/>
        <v>7.6250000000000007E-3</v>
      </c>
      <c r="L39" s="2">
        <f t="shared" si="1"/>
        <v>3.8124999999999999E-2</v>
      </c>
      <c r="M39" s="2">
        <f t="shared" si="2"/>
        <v>7.6249999999999998E-2</v>
      </c>
      <c r="N39" s="2">
        <f t="shared" si="3"/>
        <v>0.11437500000000002</v>
      </c>
      <c r="O39" s="2">
        <f t="shared" si="4"/>
        <v>0.1525</v>
      </c>
      <c r="P39" s="2">
        <f t="shared" si="5"/>
        <v>0.19062499999999999</v>
      </c>
      <c r="Q39" s="2">
        <f t="shared" si="6"/>
        <v>0.22875000000000004</v>
      </c>
      <c r="R39" s="2">
        <f t="shared" si="7"/>
        <v>0.38125000000000003</v>
      </c>
      <c r="S39" s="2">
        <f t="shared" si="8"/>
        <v>1.90625</v>
      </c>
      <c r="T39" s="2">
        <f t="shared" si="9"/>
        <v>3.8125</v>
      </c>
      <c r="U39" s="2">
        <f t="shared" si="10"/>
        <v>5.7187500000000009</v>
      </c>
      <c r="V39" s="2">
        <f t="shared" si="11"/>
        <v>7.625</v>
      </c>
      <c r="W39" s="2">
        <f t="shared" si="12"/>
        <v>9.53125</v>
      </c>
      <c r="X39" s="2">
        <f t="shared" si="13"/>
        <v>11.437500000000002</v>
      </c>
      <c r="Y39" s="5" t="str">
        <f t="shared" si="15"/>
        <v>2</v>
      </c>
      <c r="Z39" s="5" t="str">
        <f t="shared" si="15"/>
        <v>1</v>
      </c>
      <c r="AA39" s="5" t="str">
        <f t="shared" si="15"/>
        <v>1</v>
      </c>
      <c r="AB39" s="5" t="str">
        <f t="shared" si="15"/>
        <v>1</v>
      </c>
      <c r="AC39" s="5" t="str">
        <f t="shared" si="15"/>
        <v>1</v>
      </c>
      <c r="AD39" s="5" t="str">
        <f t="shared" si="15"/>
        <v>1</v>
      </c>
      <c r="AE39" s="5" t="str">
        <f t="shared" si="15"/>
        <v>1</v>
      </c>
    </row>
    <row r="40" spans="1:31" ht="14.4" x14ac:dyDescent="0.3">
      <c r="A40" s="14">
        <v>37</v>
      </c>
      <c r="B40" s="15" t="s">
        <v>142</v>
      </c>
      <c r="C40" s="10">
        <v>10</v>
      </c>
      <c r="D40" s="10">
        <v>20</v>
      </c>
      <c r="E40" s="17">
        <v>365</v>
      </c>
      <c r="F40" s="21">
        <v>3.2300000000000002E-2</v>
      </c>
      <c r="G40" s="10">
        <v>900</v>
      </c>
      <c r="H40" s="13">
        <v>0.02</v>
      </c>
      <c r="I40" s="18">
        <v>10950</v>
      </c>
      <c r="J40" s="20">
        <v>10</v>
      </c>
      <c r="K40" s="19">
        <f t="shared" si="0"/>
        <v>0.48450000000000004</v>
      </c>
      <c r="L40" s="2">
        <f t="shared" si="1"/>
        <v>0.24225000000000002</v>
      </c>
      <c r="M40" s="2">
        <f t="shared" si="2"/>
        <v>0.48450000000000004</v>
      </c>
      <c r="N40" s="2">
        <f t="shared" si="3"/>
        <v>0.72675000000000012</v>
      </c>
      <c r="O40" s="2">
        <f t="shared" si="4"/>
        <v>0.96900000000000008</v>
      </c>
      <c r="P40" s="2">
        <f t="shared" si="5"/>
        <v>1.2112499999999999</v>
      </c>
      <c r="Q40" s="2">
        <f t="shared" si="6"/>
        <v>1.4535000000000002</v>
      </c>
      <c r="R40" s="2">
        <f t="shared" si="7"/>
        <v>24.225000000000001</v>
      </c>
      <c r="S40" s="2">
        <f t="shared" si="8"/>
        <v>12.112500000000001</v>
      </c>
      <c r="T40" s="2">
        <f t="shared" si="9"/>
        <v>24.225000000000001</v>
      </c>
      <c r="U40" s="2">
        <f t="shared" si="10"/>
        <v>36.337500000000006</v>
      </c>
      <c r="V40" s="2">
        <f t="shared" si="11"/>
        <v>48.45</v>
      </c>
      <c r="W40" s="2">
        <f t="shared" si="12"/>
        <v>60.562499999999993</v>
      </c>
      <c r="X40" s="2">
        <f t="shared" si="13"/>
        <v>72.675000000000011</v>
      </c>
      <c r="Y40" s="5" t="str">
        <f t="shared" si="15"/>
        <v>1</v>
      </c>
      <c r="Z40" s="5" t="str">
        <f t="shared" si="15"/>
        <v>1</v>
      </c>
      <c r="AA40" s="5" t="str">
        <f t="shared" si="15"/>
        <v>1</v>
      </c>
      <c r="AB40" s="5" t="str">
        <f t="shared" si="15"/>
        <v>1</v>
      </c>
      <c r="AC40" s="5" t="str">
        <f t="shared" si="15"/>
        <v>1</v>
      </c>
      <c r="AD40" s="5" t="str">
        <f t="shared" si="15"/>
        <v>1</v>
      </c>
      <c r="AE40" s="5" t="str">
        <f t="shared" si="15"/>
        <v>1</v>
      </c>
    </row>
    <row r="41" spans="1:31" ht="14.4" x14ac:dyDescent="0.3">
      <c r="A41" s="14">
        <v>38</v>
      </c>
      <c r="B41" s="15" t="s">
        <v>143</v>
      </c>
      <c r="C41" s="10">
        <v>10</v>
      </c>
      <c r="D41" s="10">
        <v>25</v>
      </c>
      <c r="E41" s="17">
        <v>365</v>
      </c>
      <c r="F41" s="21">
        <v>3.3099999999999997E-2</v>
      </c>
      <c r="G41" s="10">
        <v>900</v>
      </c>
      <c r="H41" s="13">
        <v>0.02</v>
      </c>
      <c r="I41" s="18">
        <v>10950</v>
      </c>
      <c r="J41" s="20">
        <v>10</v>
      </c>
      <c r="K41" s="19">
        <f t="shared" si="0"/>
        <v>0.3972</v>
      </c>
      <c r="L41" s="2">
        <f t="shared" si="1"/>
        <v>0.1986</v>
      </c>
      <c r="M41" s="2">
        <f t="shared" si="2"/>
        <v>0.3972</v>
      </c>
      <c r="N41" s="2">
        <f t="shared" si="3"/>
        <v>0.5958</v>
      </c>
      <c r="O41" s="2">
        <f t="shared" si="4"/>
        <v>0.7944</v>
      </c>
      <c r="P41" s="2">
        <f t="shared" si="5"/>
        <v>0.99299999999999999</v>
      </c>
      <c r="Q41" s="2">
        <f t="shared" si="6"/>
        <v>1.1916</v>
      </c>
      <c r="R41" s="2">
        <f t="shared" si="7"/>
        <v>19.86</v>
      </c>
      <c r="S41" s="2">
        <f t="shared" si="8"/>
        <v>9.93</v>
      </c>
      <c r="T41" s="2">
        <f t="shared" si="9"/>
        <v>19.86</v>
      </c>
      <c r="U41" s="2">
        <f t="shared" si="10"/>
        <v>29.79</v>
      </c>
      <c r="V41" s="2">
        <f t="shared" si="11"/>
        <v>39.72</v>
      </c>
      <c r="W41" s="2">
        <f t="shared" si="12"/>
        <v>49.65</v>
      </c>
      <c r="X41" s="2">
        <f t="shared" si="13"/>
        <v>59.58</v>
      </c>
      <c r="Y41" s="5" t="str">
        <f t="shared" si="15"/>
        <v>1</v>
      </c>
      <c r="Z41" s="5" t="str">
        <f t="shared" si="15"/>
        <v>1</v>
      </c>
      <c r="AA41" s="5" t="str">
        <f t="shared" si="15"/>
        <v>1</v>
      </c>
      <c r="AB41" s="5" t="str">
        <f t="shared" si="15"/>
        <v>1</v>
      </c>
      <c r="AC41" s="5" t="str">
        <f t="shared" si="15"/>
        <v>1</v>
      </c>
      <c r="AD41" s="5" t="str">
        <f t="shared" si="15"/>
        <v>1</v>
      </c>
      <c r="AE41" s="5" t="str">
        <f t="shared" si="15"/>
        <v>1</v>
      </c>
    </row>
    <row r="42" spans="1:31" ht="14.4" x14ac:dyDescent="0.3">
      <c r="A42" s="14">
        <v>39</v>
      </c>
      <c r="B42" s="15" t="s">
        <v>144</v>
      </c>
      <c r="C42" s="10">
        <v>10</v>
      </c>
      <c r="D42" s="10">
        <v>30</v>
      </c>
      <c r="E42" s="17">
        <v>365</v>
      </c>
      <c r="F42" s="21">
        <v>3.3099999999999997E-2</v>
      </c>
      <c r="G42" s="10">
        <v>900</v>
      </c>
      <c r="H42" s="13">
        <v>0.02</v>
      </c>
      <c r="I42" s="18">
        <v>10950</v>
      </c>
      <c r="J42" s="20">
        <v>10</v>
      </c>
      <c r="K42" s="19">
        <f t="shared" si="0"/>
        <v>0.33100000000000002</v>
      </c>
      <c r="L42" s="2">
        <f t="shared" si="1"/>
        <v>0.16550000000000001</v>
      </c>
      <c r="M42" s="2">
        <f t="shared" si="2"/>
        <v>0.33100000000000002</v>
      </c>
      <c r="N42" s="2">
        <f t="shared" si="3"/>
        <v>0.4965</v>
      </c>
      <c r="O42" s="2">
        <f t="shared" si="4"/>
        <v>0.66200000000000003</v>
      </c>
      <c r="P42" s="2">
        <f t="shared" si="5"/>
        <v>0.82750000000000001</v>
      </c>
      <c r="Q42" s="2">
        <f t="shared" si="6"/>
        <v>0.99299999999999999</v>
      </c>
      <c r="R42" s="2">
        <f t="shared" si="7"/>
        <v>16.55</v>
      </c>
      <c r="S42" s="2">
        <f t="shared" si="8"/>
        <v>8.2750000000000004</v>
      </c>
      <c r="T42" s="2">
        <f t="shared" si="9"/>
        <v>16.55</v>
      </c>
      <c r="U42" s="2">
        <f t="shared" si="10"/>
        <v>24.824999999999999</v>
      </c>
      <c r="V42" s="2">
        <f t="shared" si="11"/>
        <v>33.1</v>
      </c>
      <c r="W42" s="2">
        <f t="shared" si="12"/>
        <v>41.375</v>
      </c>
      <c r="X42" s="2">
        <f t="shared" si="13"/>
        <v>49.65</v>
      </c>
      <c r="Y42" s="5" t="str">
        <f t="shared" si="15"/>
        <v>1</v>
      </c>
      <c r="Z42" s="5" t="str">
        <f t="shared" si="15"/>
        <v>1</v>
      </c>
      <c r="AA42" s="5" t="str">
        <f t="shared" si="15"/>
        <v>1</v>
      </c>
      <c r="AB42" s="5" t="str">
        <f t="shared" si="15"/>
        <v>1</v>
      </c>
      <c r="AC42" s="5" t="str">
        <f t="shared" si="15"/>
        <v>1</v>
      </c>
      <c r="AD42" s="5" t="str">
        <f t="shared" si="15"/>
        <v>1</v>
      </c>
      <c r="AE42" s="5" t="str">
        <f t="shared" si="15"/>
        <v>1</v>
      </c>
    </row>
    <row r="43" spans="1:31" ht="14.4" x14ac:dyDescent="0.3">
      <c r="A43" s="14">
        <v>40</v>
      </c>
      <c r="B43" s="15" t="s">
        <v>145</v>
      </c>
      <c r="C43" s="10">
        <v>10</v>
      </c>
      <c r="D43" s="10">
        <v>25</v>
      </c>
      <c r="E43" s="17">
        <v>365</v>
      </c>
      <c r="F43" s="21">
        <v>3.1399999999999997E-2</v>
      </c>
      <c r="G43" s="10">
        <v>900</v>
      </c>
      <c r="H43" s="13">
        <v>0.02</v>
      </c>
      <c r="I43" s="18">
        <v>10950</v>
      </c>
      <c r="J43" s="20">
        <v>10</v>
      </c>
      <c r="K43" s="19">
        <f t="shared" si="0"/>
        <v>0.37680000000000002</v>
      </c>
      <c r="L43" s="2">
        <f t="shared" si="1"/>
        <v>0.18840000000000001</v>
      </c>
      <c r="M43" s="2">
        <f t="shared" si="2"/>
        <v>0.37680000000000002</v>
      </c>
      <c r="N43" s="2">
        <f t="shared" si="3"/>
        <v>0.56520000000000004</v>
      </c>
      <c r="O43" s="2">
        <f t="shared" si="4"/>
        <v>0.75360000000000005</v>
      </c>
      <c r="P43" s="2">
        <f t="shared" si="5"/>
        <v>0.94199999999999995</v>
      </c>
      <c r="Q43" s="2">
        <f t="shared" si="6"/>
        <v>1.1304000000000001</v>
      </c>
      <c r="R43" s="2">
        <f t="shared" si="7"/>
        <v>18.84</v>
      </c>
      <c r="S43" s="2">
        <f>L43/H43</f>
        <v>9.42</v>
      </c>
      <c r="T43" s="2">
        <f t="shared" si="9"/>
        <v>18.84</v>
      </c>
      <c r="U43" s="2">
        <f t="shared" si="10"/>
        <v>28.26</v>
      </c>
      <c r="V43" s="2">
        <f t="shared" si="11"/>
        <v>37.68</v>
      </c>
      <c r="W43" s="2">
        <f t="shared" si="12"/>
        <v>47.099999999999994</v>
      </c>
      <c r="X43" s="2">
        <f t="shared" si="13"/>
        <v>56.52</v>
      </c>
      <c r="Y43" s="5" t="str">
        <f t="shared" si="15"/>
        <v>1</v>
      </c>
      <c r="Z43" s="5" t="str">
        <f t="shared" si="15"/>
        <v>1</v>
      </c>
      <c r="AA43" s="5" t="str">
        <f t="shared" si="15"/>
        <v>1</v>
      </c>
      <c r="AB43" s="5" t="str">
        <f t="shared" si="15"/>
        <v>1</v>
      </c>
      <c r="AC43" s="5" t="str">
        <f t="shared" si="15"/>
        <v>1</v>
      </c>
      <c r="AD43" s="5" t="str">
        <f t="shared" si="15"/>
        <v>1</v>
      </c>
      <c r="AE43" s="5" t="str">
        <f t="shared" si="15"/>
        <v>1</v>
      </c>
    </row>
    <row r="44" spans="1:31" ht="14.4" x14ac:dyDescent="0.3">
      <c r="A44" s="14">
        <v>41</v>
      </c>
      <c r="B44" s="15" t="s">
        <v>146</v>
      </c>
      <c r="C44" s="10">
        <v>10</v>
      </c>
      <c r="D44" s="10">
        <v>37</v>
      </c>
      <c r="E44" s="17">
        <v>365</v>
      </c>
      <c r="F44" s="21">
        <v>3.1399999999999997E-2</v>
      </c>
      <c r="G44" s="10">
        <v>900</v>
      </c>
      <c r="H44" s="13">
        <v>0.02</v>
      </c>
      <c r="I44" s="18">
        <v>10950</v>
      </c>
      <c r="J44" s="20">
        <v>10</v>
      </c>
      <c r="K44" s="19">
        <f t="shared" si="0"/>
        <v>0.2545945945945946</v>
      </c>
      <c r="L44" s="2">
        <f t="shared" si="1"/>
        <v>0.1272972972972973</v>
      </c>
      <c r="M44" s="2">
        <f t="shared" si="2"/>
        <v>0.2545945945945946</v>
      </c>
      <c r="N44" s="2">
        <f t="shared" si="3"/>
        <v>0.38189189189189188</v>
      </c>
      <c r="O44" s="2">
        <f t="shared" si="4"/>
        <v>0.50918918918918921</v>
      </c>
      <c r="P44" s="2">
        <f t="shared" si="5"/>
        <v>0.63648648648648654</v>
      </c>
      <c r="Q44" s="2">
        <f t="shared" si="6"/>
        <v>0.76378378378378375</v>
      </c>
      <c r="R44" s="2">
        <f t="shared" si="7"/>
        <v>12.72972972972973</v>
      </c>
      <c r="S44" s="2">
        <f t="shared" ref="S44:S103" si="16">L44/H44</f>
        <v>6.3648648648648649</v>
      </c>
      <c r="T44" s="2">
        <f t="shared" si="9"/>
        <v>12.72972972972973</v>
      </c>
      <c r="U44" s="2">
        <f>N44/H44</f>
        <v>19.094594594594593</v>
      </c>
      <c r="V44" s="2">
        <f>O44/H44</f>
        <v>25.45945945945946</v>
      </c>
      <c r="W44" s="2">
        <f>P44/H44</f>
        <v>31.824324324324326</v>
      </c>
      <c r="X44" s="2">
        <f>Q44/H44</f>
        <v>38.189189189189186</v>
      </c>
      <c r="Y44" s="5" t="str">
        <f t="shared" si="15"/>
        <v>1</v>
      </c>
      <c r="Z44" s="5" t="str">
        <f t="shared" si="15"/>
        <v>1</v>
      </c>
      <c r="AA44" s="5" t="str">
        <f t="shared" si="15"/>
        <v>1</v>
      </c>
      <c r="AB44" s="5" t="str">
        <f t="shared" si="15"/>
        <v>1</v>
      </c>
      <c r="AC44" s="5" t="str">
        <f t="shared" si="15"/>
        <v>1</v>
      </c>
      <c r="AD44" s="5" t="str">
        <f t="shared" si="15"/>
        <v>1</v>
      </c>
      <c r="AE44" s="5" t="str">
        <f t="shared" si="15"/>
        <v>1</v>
      </c>
    </row>
    <row r="45" spans="1:31" ht="14.4" x14ac:dyDescent="0.3">
      <c r="A45" s="14">
        <v>42</v>
      </c>
      <c r="B45" s="15" t="s">
        <v>147</v>
      </c>
      <c r="C45" s="10">
        <v>10</v>
      </c>
      <c r="D45" s="10">
        <v>22</v>
      </c>
      <c r="E45" s="17">
        <v>365</v>
      </c>
      <c r="F45" s="21">
        <v>3.1399999999999997E-2</v>
      </c>
      <c r="G45" s="10">
        <v>900</v>
      </c>
      <c r="H45" s="13">
        <v>0.02</v>
      </c>
      <c r="I45" s="18">
        <v>10950</v>
      </c>
      <c r="J45" s="20">
        <v>10</v>
      </c>
      <c r="K45" s="19">
        <f t="shared" si="0"/>
        <v>0.42818181818181816</v>
      </c>
      <c r="L45" s="2">
        <f t="shared" si="1"/>
        <v>0.21409090909090908</v>
      </c>
      <c r="M45" s="2">
        <f t="shared" si="2"/>
        <v>0.42818181818181816</v>
      </c>
      <c r="N45" s="2">
        <f t="shared" si="3"/>
        <v>0.64227272727272722</v>
      </c>
      <c r="O45" s="2">
        <f t="shared" si="4"/>
        <v>0.85636363636363633</v>
      </c>
      <c r="P45" s="2">
        <f t="shared" si="5"/>
        <v>1.0704545454545455</v>
      </c>
      <c r="Q45" s="2">
        <f t="shared" si="6"/>
        <v>1.2845454545454544</v>
      </c>
      <c r="R45" s="2">
        <f t="shared" si="7"/>
        <v>21.409090909090907</v>
      </c>
      <c r="S45" s="2">
        <f t="shared" si="16"/>
        <v>10.704545454545453</v>
      </c>
      <c r="T45" s="2">
        <f t="shared" si="9"/>
        <v>21.409090909090907</v>
      </c>
      <c r="U45" s="2">
        <f>N45/H45</f>
        <v>32.11363636363636</v>
      </c>
      <c r="V45" s="2">
        <f>O45/H45</f>
        <v>42.818181818181813</v>
      </c>
      <c r="W45" s="2">
        <f>P45/H45</f>
        <v>53.522727272727273</v>
      </c>
      <c r="X45" s="2">
        <f>Q45/H45</f>
        <v>64.22727272727272</v>
      </c>
      <c r="Y45" s="5" t="str">
        <f t="shared" si="15"/>
        <v>1</v>
      </c>
      <c r="Z45" s="5" t="str">
        <f t="shared" si="15"/>
        <v>1</v>
      </c>
      <c r="AA45" s="5" t="str">
        <f t="shared" si="15"/>
        <v>1</v>
      </c>
      <c r="AB45" s="5" t="str">
        <f t="shared" si="15"/>
        <v>1</v>
      </c>
      <c r="AC45" s="5" t="str">
        <f t="shared" si="15"/>
        <v>1</v>
      </c>
      <c r="AD45" s="5" t="str">
        <f t="shared" si="15"/>
        <v>1</v>
      </c>
      <c r="AE45" s="5" t="str">
        <f t="shared" si="15"/>
        <v>1</v>
      </c>
    </row>
    <row r="46" spans="1:31" ht="14.4" x14ac:dyDescent="0.3">
      <c r="A46" s="14">
        <v>43</v>
      </c>
      <c r="B46" s="15" t="s">
        <v>148</v>
      </c>
      <c r="C46" s="10">
        <v>10</v>
      </c>
      <c r="D46" s="10">
        <v>20</v>
      </c>
      <c r="E46" s="17">
        <v>365</v>
      </c>
      <c r="F46" s="21">
        <v>3.1099999999999999E-2</v>
      </c>
      <c r="G46" s="10">
        <v>900</v>
      </c>
      <c r="H46" s="13">
        <v>0.02</v>
      </c>
      <c r="I46" s="18">
        <v>10950</v>
      </c>
      <c r="J46" s="20">
        <v>6</v>
      </c>
      <c r="K46" s="19">
        <f t="shared" si="0"/>
        <v>0.27989999999999998</v>
      </c>
      <c r="L46" s="2">
        <f>(F46*G46*E46*5)/(D46*I46)</f>
        <v>0.23324999999999996</v>
      </c>
      <c r="M46" s="2">
        <f t="shared" si="2"/>
        <v>0.46649999999999991</v>
      </c>
      <c r="N46" s="2">
        <f t="shared" si="3"/>
        <v>0.69974999999999987</v>
      </c>
      <c r="O46" s="2">
        <f t="shared" si="4"/>
        <v>0.93299999999999983</v>
      </c>
      <c r="P46" s="2">
        <f t="shared" si="5"/>
        <v>1.1662499999999998</v>
      </c>
      <c r="Q46" s="2">
        <f t="shared" si="6"/>
        <v>1.3994999999999997</v>
      </c>
      <c r="R46" s="2">
        <f t="shared" si="7"/>
        <v>13.994999999999999</v>
      </c>
      <c r="S46" s="2">
        <f t="shared" si="16"/>
        <v>11.662499999999998</v>
      </c>
      <c r="T46" s="2">
        <f t="shared" si="9"/>
        <v>23.324999999999996</v>
      </c>
      <c r="U46" s="2">
        <f t="shared" ref="U46:U103" si="17">N46/H46</f>
        <v>34.98749999999999</v>
      </c>
      <c r="V46" s="2">
        <f t="shared" ref="V46:V103" si="18">O46/H46</f>
        <v>46.649999999999991</v>
      </c>
      <c r="W46" s="2">
        <f t="shared" ref="W46:W103" si="19">P46/H46</f>
        <v>58.312499999999986</v>
      </c>
      <c r="X46" s="2">
        <f t="shared" ref="X46:X103" si="20">Q46/H46</f>
        <v>69.97499999999998</v>
      </c>
      <c r="Y46" s="5" t="str">
        <f t="shared" si="15"/>
        <v>1</v>
      </c>
      <c r="Z46" s="5" t="str">
        <f t="shared" si="15"/>
        <v>1</v>
      </c>
      <c r="AA46" s="5" t="str">
        <f t="shared" si="15"/>
        <v>1</v>
      </c>
      <c r="AB46" s="5" t="str">
        <f t="shared" si="15"/>
        <v>1</v>
      </c>
      <c r="AC46" s="5" t="str">
        <f t="shared" si="15"/>
        <v>1</v>
      </c>
      <c r="AD46" s="5" t="str">
        <f t="shared" si="15"/>
        <v>1</v>
      </c>
      <c r="AE46" s="5" t="str">
        <f t="shared" si="15"/>
        <v>1</v>
      </c>
    </row>
    <row r="47" spans="1:31" ht="14.4" x14ac:dyDescent="0.3">
      <c r="A47" s="14">
        <v>44</v>
      </c>
      <c r="B47" s="15" t="s">
        <v>149</v>
      </c>
      <c r="C47" s="10">
        <v>10</v>
      </c>
      <c r="D47" s="10">
        <v>25</v>
      </c>
      <c r="E47" s="17">
        <v>365</v>
      </c>
      <c r="F47" s="21">
        <v>3.5700000000000003E-2</v>
      </c>
      <c r="G47" s="10">
        <v>1500</v>
      </c>
      <c r="H47" s="13">
        <v>0.02</v>
      </c>
      <c r="I47" s="18">
        <v>10950</v>
      </c>
      <c r="J47" s="20">
        <v>6</v>
      </c>
      <c r="K47" s="19">
        <f t="shared" si="0"/>
        <v>0.4284</v>
      </c>
      <c r="L47" s="2">
        <f t="shared" ref="L47:L103" si="21">(F47*G47*E47*5)/(D47*I47)</f>
        <v>0.35699999999999998</v>
      </c>
      <c r="M47" s="2">
        <f t="shared" si="2"/>
        <v>0.71399999999999997</v>
      </c>
      <c r="N47" s="2">
        <f t="shared" si="3"/>
        <v>1.071</v>
      </c>
      <c r="O47" s="2">
        <f t="shared" si="4"/>
        <v>1.4279999999999999</v>
      </c>
      <c r="P47" s="2">
        <f t="shared" si="5"/>
        <v>1.7849999999999999</v>
      </c>
      <c r="Q47" s="2">
        <f t="shared" si="6"/>
        <v>2.1419999999999999</v>
      </c>
      <c r="R47" s="2">
        <f t="shared" si="7"/>
        <v>21.419999999999998</v>
      </c>
      <c r="S47" s="2">
        <f t="shared" si="16"/>
        <v>17.849999999999998</v>
      </c>
      <c r="T47" s="2">
        <f t="shared" si="9"/>
        <v>35.699999999999996</v>
      </c>
      <c r="U47" s="2">
        <f t="shared" si="17"/>
        <v>53.55</v>
      </c>
      <c r="V47" s="2">
        <f t="shared" si="18"/>
        <v>71.399999999999991</v>
      </c>
      <c r="W47" s="2">
        <f t="shared" si="19"/>
        <v>89.25</v>
      </c>
      <c r="X47" s="2">
        <f t="shared" si="20"/>
        <v>107.1</v>
      </c>
      <c r="Y47" s="5" t="str">
        <f t="shared" si="15"/>
        <v>1</v>
      </c>
      <c r="Z47" s="5" t="str">
        <f t="shared" si="15"/>
        <v>1</v>
      </c>
      <c r="AA47" s="5" t="str">
        <f t="shared" si="15"/>
        <v>1</v>
      </c>
      <c r="AB47" s="5" t="str">
        <f t="shared" si="15"/>
        <v>1</v>
      </c>
      <c r="AC47" s="5" t="str">
        <f t="shared" si="15"/>
        <v>1</v>
      </c>
      <c r="AD47" s="5" t="str">
        <f t="shared" si="15"/>
        <v>1</v>
      </c>
      <c r="AE47" s="5" t="str">
        <f t="shared" si="15"/>
        <v>1</v>
      </c>
    </row>
    <row r="48" spans="1:31" ht="14.4" x14ac:dyDescent="0.3">
      <c r="A48" s="14">
        <v>45</v>
      </c>
      <c r="B48" s="15" t="s">
        <v>150</v>
      </c>
      <c r="C48" s="10">
        <v>10</v>
      </c>
      <c r="D48" s="10">
        <v>49</v>
      </c>
      <c r="E48" s="17">
        <v>365</v>
      </c>
      <c r="F48" s="21">
        <v>3.5700000000000003E-2</v>
      </c>
      <c r="G48" s="10">
        <v>2100</v>
      </c>
      <c r="H48" s="13">
        <v>0.02</v>
      </c>
      <c r="I48" s="18">
        <v>10950</v>
      </c>
      <c r="J48" s="20">
        <v>2</v>
      </c>
      <c r="K48" s="19">
        <f t="shared" si="0"/>
        <v>0.10199999999999999</v>
      </c>
      <c r="L48" s="2">
        <f t="shared" si="21"/>
        <v>0.255</v>
      </c>
      <c r="M48" s="2">
        <f t="shared" si="2"/>
        <v>0.51</v>
      </c>
      <c r="N48" s="2">
        <f t="shared" si="3"/>
        <v>0.76500000000000001</v>
      </c>
      <c r="O48" s="2">
        <f t="shared" si="4"/>
        <v>1.02</v>
      </c>
      <c r="P48" s="2">
        <f t="shared" si="5"/>
        <v>1.2749999999999999</v>
      </c>
      <c r="Q48" s="2">
        <f t="shared" si="6"/>
        <v>1.53</v>
      </c>
      <c r="R48" s="2">
        <f t="shared" si="7"/>
        <v>5.0999999999999996</v>
      </c>
      <c r="S48" s="2">
        <f t="shared" si="16"/>
        <v>12.75</v>
      </c>
      <c r="T48" s="2">
        <f t="shared" si="9"/>
        <v>25.5</v>
      </c>
      <c r="U48" s="2">
        <f t="shared" si="17"/>
        <v>38.25</v>
      </c>
      <c r="V48" s="2">
        <f t="shared" si="18"/>
        <v>51</v>
      </c>
      <c r="W48" s="2">
        <f t="shared" si="19"/>
        <v>63.749999999999993</v>
      </c>
      <c r="X48" s="2">
        <f t="shared" si="20"/>
        <v>76.5</v>
      </c>
      <c r="Y48" s="5" t="str">
        <f t="shared" si="15"/>
        <v>1</v>
      </c>
      <c r="Z48" s="5" t="str">
        <f t="shared" si="15"/>
        <v>1</v>
      </c>
      <c r="AA48" s="5" t="str">
        <f t="shared" si="15"/>
        <v>1</v>
      </c>
      <c r="AB48" s="5" t="str">
        <f t="shared" si="15"/>
        <v>1</v>
      </c>
      <c r="AC48" s="5" t="str">
        <f t="shared" si="15"/>
        <v>1</v>
      </c>
      <c r="AD48" s="5" t="str">
        <f t="shared" si="15"/>
        <v>1</v>
      </c>
      <c r="AE48" s="5" t="str">
        <f t="shared" si="15"/>
        <v>1</v>
      </c>
    </row>
    <row r="49" spans="1:31" ht="14.4" x14ac:dyDescent="0.3">
      <c r="A49" s="14">
        <v>46</v>
      </c>
      <c r="B49" s="15" t="s">
        <v>151</v>
      </c>
      <c r="C49" s="10">
        <v>10</v>
      </c>
      <c r="D49" s="10">
        <v>25</v>
      </c>
      <c r="E49" s="17">
        <v>365</v>
      </c>
      <c r="F49" s="21">
        <v>3.5700000000000003E-2</v>
      </c>
      <c r="G49" s="10">
        <v>900</v>
      </c>
      <c r="H49" s="13">
        <v>0.02</v>
      </c>
      <c r="I49" s="18">
        <v>10950</v>
      </c>
      <c r="J49" s="20">
        <v>10</v>
      </c>
      <c r="K49" s="19">
        <f t="shared" si="0"/>
        <v>0.4284</v>
      </c>
      <c r="L49" s="2">
        <f t="shared" si="21"/>
        <v>0.2142</v>
      </c>
      <c r="M49" s="2">
        <f t="shared" si="2"/>
        <v>0.4284</v>
      </c>
      <c r="N49" s="2">
        <f t="shared" si="3"/>
        <v>0.64259999999999995</v>
      </c>
      <c r="O49" s="2">
        <f t="shared" si="4"/>
        <v>0.85680000000000001</v>
      </c>
      <c r="P49" s="2">
        <f t="shared" si="5"/>
        <v>1.071</v>
      </c>
      <c r="Q49" s="2">
        <f t="shared" si="6"/>
        <v>1.2851999999999999</v>
      </c>
      <c r="R49" s="2">
        <f t="shared" si="7"/>
        <v>21.419999999999998</v>
      </c>
      <c r="S49" s="2">
        <f t="shared" si="16"/>
        <v>10.709999999999999</v>
      </c>
      <c r="T49" s="2">
        <f t="shared" si="9"/>
        <v>21.419999999999998</v>
      </c>
      <c r="U49" s="2">
        <f t="shared" si="17"/>
        <v>32.129999999999995</v>
      </c>
      <c r="V49" s="2">
        <f t="shared" si="18"/>
        <v>42.839999999999996</v>
      </c>
      <c r="W49" s="2">
        <f t="shared" si="19"/>
        <v>53.55</v>
      </c>
      <c r="X49" s="2">
        <f t="shared" si="20"/>
        <v>64.259999999999991</v>
      </c>
      <c r="Y49" s="5" t="str">
        <f t="shared" si="15"/>
        <v>1</v>
      </c>
      <c r="Z49" s="5" t="str">
        <f t="shared" si="15"/>
        <v>1</v>
      </c>
      <c r="AA49" s="5" t="str">
        <f t="shared" si="15"/>
        <v>1</v>
      </c>
      <c r="AB49" s="5" t="str">
        <f t="shared" si="15"/>
        <v>1</v>
      </c>
      <c r="AC49" s="5" t="str">
        <f t="shared" si="15"/>
        <v>1</v>
      </c>
      <c r="AD49" s="5" t="str">
        <f t="shared" si="15"/>
        <v>1</v>
      </c>
      <c r="AE49" s="5" t="str">
        <f t="shared" si="15"/>
        <v>1</v>
      </c>
    </row>
    <row r="50" spans="1:31" ht="14.4" x14ac:dyDescent="0.3">
      <c r="A50" s="14">
        <v>47</v>
      </c>
      <c r="B50" s="15" t="s">
        <v>152</v>
      </c>
      <c r="C50" s="10">
        <v>10</v>
      </c>
      <c r="D50" s="10">
        <v>27</v>
      </c>
      <c r="E50" s="17">
        <v>365</v>
      </c>
      <c r="F50" s="21">
        <v>3.61E-2</v>
      </c>
      <c r="G50" s="10">
        <v>900</v>
      </c>
      <c r="H50" s="13">
        <v>0.02</v>
      </c>
      <c r="I50" s="18">
        <v>10950</v>
      </c>
      <c r="J50" s="20">
        <v>10</v>
      </c>
      <c r="K50" s="19">
        <f t="shared" si="0"/>
        <v>0.40111111111111108</v>
      </c>
      <c r="L50" s="2">
        <f t="shared" si="21"/>
        <v>0.20055555555555554</v>
      </c>
      <c r="M50" s="2">
        <f t="shared" si="2"/>
        <v>0.40111111111111108</v>
      </c>
      <c r="N50" s="2">
        <f t="shared" si="3"/>
        <v>0.60166666666666668</v>
      </c>
      <c r="O50" s="2">
        <f t="shared" si="4"/>
        <v>0.80222222222222217</v>
      </c>
      <c r="P50" s="2">
        <f t="shared" si="5"/>
        <v>1.0027777777777778</v>
      </c>
      <c r="Q50" s="2">
        <f t="shared" si="6"/>
        <v>1.2033333333333334</v>
      </c>
      <c r="R50" s="2">
        <f t="shared" si="7"/>
        <v>20.055555555555554</v>
      </c>
      <c r="S50" s="2">
        <f t="shared" si="16"/>
        <v>10.027777777777777</v>
      </c>
      <c r="T50" s="2">
        <f t="shared" si="9"/>
        <v>20.055555555555554</v>
      </c>
      <c r="U50" s="2">
        <f t="shared" si="17"/>
        <v>30.083333333333332</v>
      </c>
      <c r="V50" s="2">
        <f t="shared" si="18"/>
        <v>40.111111111111107</v>
      </c>
      <c r="W50" s="2">
        <f t="shared" si="19"/>
        <v>50.138888888888886</v>
      </c>
      <c r="X50" s="2">
        <f t="shared" si="20"/>
        <v>60.166666666666664</v>
      </c>
      <c r="Y50" s="5" t="str">
        <f t="shared" si="15"/>
        <v>1</v>
      </c>
      <c r="Z50" s="5" t="str">
        <f t="shared" si="15"/>
        <v>1</v>
      </c>
      <c r="AA50" s="5" t="str">
        <f t="shared" si="15"/>
        <v>1</v>
      </c>
      <c r="AB50" s="5" t="str">
        <f t="shared" si="15"/>
        <v>1</v>
      </c>
      <c r="AC50" s="5" t="str">
        <f t="shared" si="15"/>
        <v>1</v>
      </c>
      <c r="AD50" s="5" t="str">
        <f t="shared" si="15"/>
        <v>1</v>
      </c>
      <c r="AE50" s="5" t="str">
        <f t="shared" si="15"/>
        <v>1</v>
      </c>
    </row>
    <row r="51" spans="1:31" ht="14.4" x14ac:dyDescent="0.3">
      <c r="A51" s="14">
        <v>48</v>
      </c>
      <c r="B51" s="15" t="s">
        <v>106</v>
      </c>
      <c r="C51" s="10">
        <v>10</v>
      </c>
      <c r="D51" s="10">
        <v>33</v>
      </c>
      <c r="E51" s="17">
        <v>365</v>
      </c>
      <c r="F51" s="21">
        <v>3.61E-2</v>
      </c>
      <c r="G51" s="10">
        <v>900</v>
      </c>
      <c r="H51" s="13">
        <v>0.02</v>
      </c>
      <c r="I51" s="18">
        <v>10950</v>
      </c>
      <c r="J51" s="20">
        <v>6</v>
      </c>
      <c r="K51" s="19">
        <f t="shared" si="0"/>
        <v>0.19690909090909092</v>
      </c>
      <c r="L51" s="2">
        <f t="shared" si="21"/>
        <v>0.16409090909090909</v>
      </c>
      <c r="M51" s="2">
        <f t="shared" si="2"/>
        <v>0.32818181818181819</v>
      </c>
      <c r="N51" s="2">
        <f t="shared" si="3"/>
        <v>0.49227272727272725</v>
      </c>
      <c r="O51" s="2">
        <f t="shared" si="4"/>
        <v>0.65636363636363637</v>
      </c>
      <c r="P51" s="2">
        <f t="shared" si="5"/>
        <v>0.82045454545454544</v>
      </c>
      <c r="Q51" s="2">
        <f t="shared" si="6"/>
        <v>0.9845454545454545</v>
      </c>
      <c r="R51" s="2">
        <f t="shared" si="7"/>
        <v>9.8454545454545457</v>
      </c>
      <c r="S51" s="2">
        <f t="shared" si="16"/>
        <v>8.204545454545455</v>
      </c>
      <c r="T51" s="2">
        <f t="shared" si="9"/>
        <v>16.40909090909091</v>
      </c>
      <c r="U51" s="2">
        <f t="shared" si="17"/>
        <v>24.613636363636363</v>
      </c>
      <c r="V51" s="2">
        <f t="shared" si="18"/>
        <v>32.81818181818182</v>
      </c>
      <c r="W51" s="2">
        <f t="shared" si="19"/>
        <v>41.022727272727273</v>
      </c>
      <c r="X51" s="2">
        <f t="shared" si="20"/>
        <v>49.227272727272727</v>
      </c>
      <c r="Y51" s="5" t="str">
        <f t="shared" si="15"/>
        <v>1</v>
      </c>
      <c r="Z51" s="5" t="str">
        <f t="shared" si="15"/>
        <v>1</v>
      </c>
      <c r="AA51" s="5" t="str">
        <f t="shared" si="15"/>
        <v>1</v>
      </c>
      <c r="AB51" s="5" t="str">
        <f t="shared" si="15"/>
        <v>1</v>
      </c>
      <c r="AC51" s="5" t="str">
        <f t="shared" si="15"/>
        <v>1</v>
      </c>
      <c r="AD51" s="5" t="str">
        <f t="shared" si="15"/>
        <v>1</v>
      </c>
      <c r="AE51" s="5" t="str">
        <f t="shared" si="15"/>
        <v>1</v>
      </c>
    </row>
    <row r="52" spans="1:31" ht="14.4" x14ac:dyDescent="0.3">
      <c r="A52" s="14">
        <v>49</v>
      </c>
      <c r="B52" s="15" t="s">
        <v>153</v>
      </c>
      <c r="C52" s="10">
        <v>10</v>
      </c>
      <c r="D52" s="10">
        <v>29</v>
      </c>
      <c r="E52" s="17">
        <v>365</v>
      </c>
      <c r="F52" s="21">
        <v>3.61E-2</v>
      </c>
      <c r="G52" s="10">
        <v>1500</v>
      </c>
      <c r="H52" s="13">
        <v>0.02</v>
      </c>
      <c r="I52" s="18">
        <v>10950</v>
      </c>
      <c r="J52" s="20">
        <v>8</v>
      </c>
      <c r="K52" s="19">
        <f t="shared" si="0"/>
        <v>0.49793103448275861</v>
      </c>
      <c r="L52" s="2">
        <f t="shared" si="21"/>
        <v>0.31120689655172412</v>
      </c>
      <c r="M52" s="2">
        <f t="shared" si="2"/>
        <v>0.62241379310344824</v>
      </c>
      <c r="N52" s="2">
        <f t="shared" si="3"/>
        <v>0.93362068965517242</v>
      </c>
      <c r="O52" s="2">
        <f t="shared" si="4"/>
        <v>1.2448275862068965</v>
      </c>
      <c r="P52" s="2">
        <f t="shared" si="5"/>
        <v>1.5560344827586208</v>
      </c>
      <c r="Q52" s="2">
        <f t="shared" si="6"/>
        <v>1.8672413793103448</v>
      </c>
      <c r="R52" s="2">
        <f t="shared" si="7"/>
        <v>24.896551724137929</v>
      </c>
      <c r="S52" s="2">
        <f t="shared" si="16"/>
        <v>15.560344827586206</v>
      </c>
      <c r="T52" s="2">
        <f t="shared" si="9"/>
        <v>31.120689655172413</v>
      </c>
      <c r="U52" s="2">
        <f t="shared" si="17"/>
        <v>46.681034482758619</v>
      </c>
      <c r="V52" s="2">
        <f t="shared" si="18"/>
        <v>62.241379310344826</v>
      </c>
      <c r="W52" s="2">
        <f t="shared" si="19"/>
        <v>77.801724137931032</v>
      </c>
      <c r="X52" s="2">
        <f t="shared" si="20"/>
        <v>93.362068965517238</v>
      </c>
      <c r="Y52" s="5" t="str">
        <f t="shared" si="15"/>
        <v>1</v>
      </c>
      <c r="Z52" s="5" t="str">
        <f t="shared" si="15"/>
        <v>1</v>
      </c>
      <c r="AA52" s="5" t="str">
        <f t="shared" si="15"/>
        <v>1</v>
      </c>
      <c r="AB52" s="5" t="str">
        <f t="shared" si="15"/>
        <v>1</v>
      </c>
      <c r="AC52" s="5" t="str">
        <f t="shared" si="15"/>
        <v>1</v>
      </c>
      <c r="AD52" s="5" t="str">
        <f t="shared" si="15"/>
        <v>1</v>
      </c>
      <c r="AE52" s="5" t="str">
        <f t="shared" si="15"/>
        <v>1</v>
      </c>
    </row>
    <row r="53" spans="1:31" ht="14.4" x14ac:dyDescent="0.3">
      <c r="A53" s="14">
        <v>50</v>
      </c>
      <c r="B53" s="15" t="s">
        <v>154</v>
      </c>
      <c r="C53" s="10">
        <v>10</v>
      </c>
      <c r="D53" s="10">
        <v>39</v>
      </c>
      <c r="E53" s="17">
        <v>365</v>
      </c>
      <c r="F53" s="21">
        <v>3.4599999999999999E-2</v>
      </c>
      <c r="G53" s="10">
        <v>900</v>
      </c>
      <c r="H53" s="13">
        <v>0.02</v>
      </c>
      <c r="I53" s="18">
        <v>10950</v>
      </c>
      <c r="J53" s="20">
        <v>8</v>
      </c>
      <c r="K53" s="19">
        <f t="shared" si="0"/>
        <v>0.21292307692307694</v>
      </c>
      <c r="L53" s="2">
        <f t="shared" si="21"/>
        <v>0.13307692307692306</v>
      </c>
      <c r="M53" s="2">
        <f t="shared" si="2"/>
        <v>0.26615384615384613</v>
      </c>
      <c r="N53" s="2">
        <f t="shared" si="3"/>
        <v>0.39923076923076922</v>
      </c>
      <c r="O53" s="2">
        <f t="shared" si="4"/>
        <v>0.53230769230769226</v>
      </c>
      <c r="P53" s="2">
        <f t="shared" si="5"/>
        <v>0.66538461538461535</v>
      </c>
      <c r="Q53" s="2">
        <f t="shared" si="6"/>
        <v>0.79846153846153844</v>
      </c>
      <c r="R53" s="2">
        <f t="shared" si="7"/>
        <v>10.646153846153847</v>
      </c>
      <c r="S53" s="2">
        <f t="shared" si="16"/>
        <v>6.6538461538461533</v>
      </c>
      <c r="T53" s="2">
        <f t="shared" si="9"/>
        <v>13.307692307692307</v>
      </c>
      <c r="U53" s="2">
        <f t="shared" si="17"/>
        <v>19.96153846153846</v>
      </c>
      <c r="V53" s="2">
        <f t="shared" si="18"/>
        <v>26.615384615384613</v>
      </c>
      <c r="W53" s="2">
        <f t="shared" si="19"/>
        <v>33.269230769230766</v>
      </c>
      <c r="X53" s="2">
        <f t="shared" si="20"/>
        <v>39.92307692307692</v>
      </c>
      <c r="Y53" s="5" t="str">
        <f t="shared" si="15"/>
        <v>1</v>
      </c>
      <c r="Z53" s="5" t="str">
        <f t="shared" si="15"/>
        <v>1</v>
      </c>
      <c r="AA53" s="5" t="str">
        <f t="shared" si="15"/>
        <v>1</v>
      </c>
      <c r="AB53" s="5" t="str">
        <f t="shared" si="15"/>
        <v>1</v>
      </c>
      <c r="AC53" s="5" t="str">
        <f t="shared" si="15"/>
        <v>1</v>
      </c>
      <c r="AD53" s="5" t="str">
        <f t="shared" si="15"/>
        <v>1</v>
      </c>
      <c r="AE53" s="5" t="str">
        <f t="shared" si="15"/>
        <v>1</v>
      </c>
    </row>
    <row r="54" spans="1:31" ht="14.4" x14ac:dyDescent="0.3">
      <c r="A54" s="14">
        <v>51</v>
      </c>
      <c r="B54" s="15" t="s">
        <v>155</v>
      </c>
      <c r="C54" s="10">
        <v>10</v>
      </c>
      <c r="D54" s="10">
        <v>25</v>
      </c>
      <c r="E54" s="17">
        <v>365</v>
      </c>
      <c r="F54" s="21">
        <v>3.3099999999999997E-2</v>
      </c>
      <c r="G54" s="10">
        <v>900</v>
      </c>
      <c r="H54" s="13">
        <v>0.02</v>
      </c>
      <c r="I54" s="18">
        <v>10950</v>
      </c>
      <c r="J54" s="20">
        <v>10</v>
      </c>
      <c r="K54" s="19">
        <f t="shared" si="0"/>
        <v>0.3972</v>
      </c>
      <c r="L54" s="2">
        <f t="shared" si="21"/>
        <v>0.1986</v>
      </c>
      <c r="M54" s="2">
        <f t="shared" si="2"/>
        <v>0.3972</v>
      </c>
      <c r="N54" s="2">
        <f t="shared" si="3"/>
        <v>0.5958</v>
      </c>
      <c r="O54" s="2">
        <f t="shared" si="4"/>
        <v>0.7944</v>
      </c>
      <c r="P54" s="2">
        <f t="shared" si="5"/>
        <v>0.99299999999999999</v>
      </c>
      <c r="Q54" s="2">
        <f t="shared" si="6"/>
        <v>1.1916</v>
      </c>
      <c r="R54" s="2">
        <f t="shared" si="7"/>
        <v>19.86</v>
      </c>
      <c r="S54" s="2">
        <f t="shared" si="16"/>
        <v>9.93</v>
      </c>
      <c r="T54" s="2">
        <f t="shared" si="9"/>
        <v>19.86</v>
      </c>
      <c r="U54" s="2">
        <f t="shared" si="17"/>
        <v>29.79</v>
      </c>
      <c r="V54" s="2">
        <f t="shared" si="18"/>
        <v>39.72</v>
      </c>
      <c r="W54" s="2">
        <f t="shared" si="19"/>
        <v>49.65</v>
      </c>
      <c r="X54" s="2">
        <f t="shared" si="20"/>
        <v>59.58</v>
      </c>
      <c r="Y54" s="5" t="str">
        <f t="shared" ref="Y54:AE90" si="22">IF(R54&gt;1,"1","2")</f>
        <v>1</v>
      </c>
      <c r="Z54" s="5" t="str">
        <f t="shared" si="22"/>
        <v>1</v>
      </c>
      <c r="AA54" s="5" t="str">
        <f t="shared" si="22"/>
        <v>1</v>
      </c>
      <c r="AB54" s="5" t="str">
        <f t="shared" si="22"/>
        <v>1</v>
      </c>
      <c r="AC54" s="5" t="str">
        <f t="shared" si="22"/>
        <v>1</v>
      </c>
      <c r="AD54" s="5" t="str">
        <f t="shared" si="22"/>
        <v>1</v>
      </c>
      <c r="AE54" s="5" t="str">
        <f t="shared" si="22"/>
        <v>1</v>
      </c>
    </row>
    <row r="55" spans="1:31" ht="14.4" x14ac:dyDescent="0.3">
      <c r="A55" s="14">
        <v>52</v>
      </c>
      <c r="B55" s="15" t="s">
        <v>156</v>
      </c>
      <c r="C55" s="10">
        <v>10</v>
      </c>
      <c r="D55" s="10">
        <v>25</v>
      </c>
      <c r="E55" s="17">
        <v>365</v>
      </c>
      <c r="F55" s="21">
        <v>3.3099999999999997E-2</v>
      </c>
      <c r="G55" s="10">
        <v>900</v>
      </c>
      <c r="H55" s="13">
        <v>0.02</v>
      </c>
      <c r="I55" s="18">
        <v>10950</v>
      </c>
      <c r="J55" s="20">
        <v>10</v>
      </c>
      <c r="K55" s="19">
        <f t="shared" si="0"/>
        <v>0.3972</v>
      </c>
      <c r="L55" s="2">
        <f t="shared" si="21"/>
        <v>0.1986</v>
      </c>
      <c r="M55" s="2">
        <f t="shared" si="2"/>
        <v>0.3972</v>
      </c>
      <c r="N55" s="2">
        <f t="shared" si="3"/>
        <v>0.5958</v>
      </c>
      <c r="O55" s="2">
        <f t="shared" si="4"/>
        <v>0.7944</v>
      </c>
      <c r="P55" s="2">
        <f t="shared" si="5"/>
        <v>0.99299999999999999</v>
      </c>
      <c r="Q55" s="2">
        <f t="shared" si="6"/>
        <v>1.1916</v>
      </c>
      <c r="R55" s="2">
        <f t="shared" si="7"/>
        <v>19.86</v>
      </c>
      <c r="S55" s="2">
        <f t="shared" si="16"/>
        <v>9.93</v>
      </c>
      <c r="T55" s="2">
        <f t="shared" si="9"/>
        <v>19.86</v>
      </c>
      <c r="U55" s="2">
        <f t="shared" si="17"/>
        <v>29.79</v>
      </c>
      <c r="V55" s="2">
        <f t="shared" si="18"/>
        <v>39.72</v>
      </c>
      <c r="W55" s="2">
        <f t="shared" si="19"/>
        <v>49.65</v>
      </c>
      <c r="X55" s="2">
        <f t="shared" si="20"/>
        <v>59.58</v>
      </c>
      <c r="Y55" s="5" t="str">
        <f t="shared" si="22"/>
        <v>1</v>
      </c>
      <c r="Z55" s="5" t="str">
        <f t="shared" si="22"/>
        <v>1</v>
      </c>
      <c r="AA55" s="5" t="str">
        <f t="shared" si="22"/>
        <v>1</v>
      </c>
      <c r="AB55" s="5" t="str">
        <f t="shared" si="22"/>
        <v>1</v>
      </c>
      <c r="AC55" s="5" t="str">
        <f t="shared" si="22"/>
        <v>1</v>
      </c>
      <c r="AD55" s="5" t="str">
        <f t="shared" si="22"/>
        <v>1</v>
      </c>
      <c r="AE55" s="5" t="str">
        <f t="shared" si="22"/>
        <v>1</v>
      </c>
    </row>
    <row r="56" spans="1:31" ht="14.4" x14ac:dyDescent="0.3">
      <c r="A56" s="14">
        <v>53</v>
      </c>
      <c r="B56" s="15" t="s">
        <v>139</v>
      </c>
      <c r="C56" s="10">
        <v>10</v>
      </c>
      <c r="D56" s="10">
        <v>33</v>
      </c>
      <c r="E56" s="17">
        <v>365</v>
      </c>
      <c r="F56" s="21">
        <v>3.3099999999999997E-2</v>
      </c>
      <c r="G56" s="10">
        <v>900</v>
      </c>
      <c r="H56" s="13">
        <v>0.02</v>
      </c>
      <c r="I56" s="18">
        <v>10950</v>
      </c>
      <c r="J56" s="20">
        <v>10</v>
      </c>
      <c r="K56" s="19">
        <f t="shared" si="0"/>
        <v>0.3009090909090909</v>
      </c>
      <c r="L56" s="2">
        <f t="shared" si="21"/>
        <v>0.15045454545454545</v>
      </c>
      <c r="M56" s="2">
        <f t="shared" si="2"/>
        <v>0.3009090909090909</v>
      </c>
      <c r="N56" s="2">
        <f t="shared" si="3"/>
        <v>0.45136363636363636</v>
      </c>
      <c r="O56" s="2">
        <f t="shared" si="4"/>
        <v>0.60181818181818181</v>
      </c>
      <c r="P56" s="2">
        <f t="shared" si="5"/>
        <v>0.75227272727272732</v>
      </c>
      <c r="Q56" s="2">
        <f t="shared" si="6"/>
        <v>0.90272727272727271</v>
      </c>
      <c r="R56" s="2">
        <f t="shared" si="7"/>
        <v>15.045454545454545</v>
      </c>
      <c r="S56" s="2">
        <f t="shared" si="16"/>
        <v>7.5227272727272725</v>
      </c>
      <c r="T56" s="2">
        <f t="shared" si="9"/>
        <v>15.045454545454545</v>
      </c>
      <c r="U56" s="2">
        <f t="shared" si="17"/>
        <v>22.568181818181817</v>
      </c>
      <c r="V56" s="2">
        <f t="shared" si="18"/>
        <v>30.09090909090909</v>
      </c>
      <c r="W56" s="2">
        <f t="shared" si="19"/>
        <v>37.613636363636367</v>
      </c>
      <c r="X56" s="2">
        <f t="shared" si="20"/>
        <v>45.136363636363633</v>
      </c>
      <c r="Y56" s="5" t="str">
        <f t="shared" si="22"/>
        <v>1</v>
      </c>
      <c r="Z56" s="5" t="str">
        <f t="shared" si="22"/>
        <v>1</v>
      </c>
      <c r="AA56" s="5" t="str">
        <f t="shared" si="22"/>
        <v>1</v>
      </c>
      <c r="AB56" s="5" t="str">
        <f t="shared" si="22"/>
        <v>1</v>
      </c>
      <c r="AC56" s="5" t="str">
        <f t="shared" si="22"/>
        <v>1</v>
      </c>
      <c r="AD56" s="5" t="str">
        <f t="shared" si="22"/>
        <v>1</v>
      </c>
      <c r="AE56" s="5" t="str">
        <f t="shared" si="22"/>
        <v>1</v>
      </c>
    </row>
    <row r="57" spans="1:31" ht="14.4" x14ac:dyDescent="0.3">
      <c r="A57" s="14">
        <v>54</v>
      </c>
      <c r="B57" s="15" t="s">
        <v>157</v>
      </c>
      <c r="C57" s="10">
        <v>10</v>
      </c>
      <c r="D57" s="10">
        <v>25</v>
      </c>
      <c r="E57" s="17">
        <v>365</v>
      </c>
      <c r="F57" s="21">
        <v>5.21E-2</v>
      </c>
      <c r="G57" s="10">
        <v>900</v>
      </c>
      <c r="H57" s="13">
        <v>0.02</v>
      </c>
      <c r="I57" s="18">
        <v>10950</v>
      </c>
      <c r="J57" s="20">
        <v>10</v>
      </c>
      <c r="K57" s="19">
        <f t="shared" si="0"/>
        <v>0.62519999999999998</v>
      </c>
      <c r="L57" s="2">
        <f t="shared" si="21"/>
        <v>0.31259999999999999</v>
      </c>
      <c r="M57" s="2">
        <f t="shared" si="2"/>
        <v>0.62519999999999998</v>
      </c>
      <c r="N57" s="2">
        <f t="shared" si="3"/>
        <v>0.93779999999999986</v>
      </c>
      <c r="O57" s="2">
        <f t="shared" si="4"/>
        <v>1.2504</v>
      </c>
      <c r="P57" s="2">
        <f t="shared" si="5"/>
        <v>1.5629999999999997</v>
      </c>
      <c r="Q57" s="2">
        <f t="shared" si="6"/>
        <v>1.8755999999999997</v>
      </c>
      <c r="R57" s="2">
        <f t="shared" si="7"/>
        <v>31.259999999999998</v>
      </c>
      <c r="S57" s="2">
        <f t="shared" si="16"/>
        <v>15.629999999999999</v>
      </c>
      <c r="T57" s="2">
        <f t="shared" si="9"/>
        <v>31.259999999999998</v>
      </c>
      <c r="U57" s="2">
        <f t="shared" si="17"/>
        <v>46.889999999999993</v>
      </c>
      <c r="V57" s="2">
        <f t="shared" si="18"/>
        <v>62.519999999999996</v>
      </c>
      <c r="W57" s="2">
        <f t="shared" si="19"/>
        <v>78.149999999999991</v>
      </c>
      <c r="X57" s="2">
        <f t="shared" si="20"/>
        <v>93.779999999999987</v>
      </c>
      <c r="Y57" s="5" t="str">
        <f t="shared" si="22"/>
        <v>1</v>
      </c>
      <c r="Z57" s="5" t="str">
        <f t="shared" si="22"/>
        <v>1</v>
      </c>
      <c r="AA57" s="5" t="str">
        <f t="shared" si="22"/>
        <v>1</v>
      </c>
      <c r="AB57" s="5" t="str">
        <f t="shared" si="22"/>
        <v>1</v>
      </c>
      <c r="AC57" s="5" t="str">
        <f t="shared" si="22"/>
        <v>1</v>
      </c>
      <c r="AD57" s="5" t="str">
        <f t="shared" si="22"/>
        <v>1</v>
      </c>
      <c r="AE57" s="5" t="str">
        <f t="shared" si="22"/>
        <v>1</v>
      </c>
    </row>
    <row r="58" spans="1:31" ht="14.4" x14ac:dyDescent="0.3">
      <c r="A58" s="14">
        <v>55</v>
      </c>
      <c r="B58" s="15" t="s">
        <v>149</v>
      </c>
      <c r="C58" s="10">
        <v>10</v>
      </c>
      <c r="D58" s="10">
        <v>25</v>
      </c>
      <c r="E58" s="17">
        <v>365</v>
      </c>
      <c r="F58" s="21">
        <v>5.21E-2</v>
      </c>
      <c r="G58" s="10">
        <v>1500</v>
      </c>
      <c r="H58" s="13">
        <v>0.02</v>
      </c>
      <c r="I58" s="18">
        <v>10950</v>
      </c>
      <c r="J58" s="20">
        <v>6</v>
      </c>
      <c r="K58" s="19">
        <f t="shared" si="0"/>
        <v>0.62520000000000009</v>
      </c>
      <c r="L58" s="2">
        <f t="shared" si="21"/>
        <v>0.52100000000000013</v>
      </c>
      <c r="M58" s="2">
        <f t="shared" si="2"/>
        <v>1.0420000000000003</v>
      </c>
      <c r="N58" s="2">
        <f t="shared" si="3"/>
        <v>1.5630000000000002</v>
      </c>
      <c r="O58" s="2">
        <f t="shared" si="4"/>
        <v>2.0840000000000005</v>
      </c>
      <c r="P58" s="2">
        <f t="shared" si="5"/>
        <v>2.6050000000000004</v>
      </c>
      <c r="Q58" s="2">
        <f t="shared" si="6"/>
        <v>3.1260000000000003</v>
      </c>
      <c r="R58" s="2">
        <f t="shared" si="7"/>
        <v>31.260000000000005</v>
      </c>
      <c r="S58" s="2">
        <f t="shared" si="16"/>
        <v>26.050000000000004</v>
      </c>
      <c r="T58" s="2">
        <f t="shared" si="9"/>
        <v>52.100000000000009</v>
      </c>
      <c r="U58" s="2">
        <f t="shared" si="17"/>
        <v>78.150000000000006</v>
      </c>
      <c r="V58" s="2">
        <f t="shared" si="18"/>
        <v>104.20000000000002</v>
      </c>
      <c r="W58" s="2">
        <f t="shared" si="19"/>
        <v>130.25000000000003</v>
      </c>
      <c r="X58" s="2">
        <f t="shared" si="20"/>
        <v>156.30000000000001</v>
      </c>
      <c r="Y58" s="5" t="str">
        <f t="shared" si="22"/>
        <v>1</v>
      </c>
      <c r="Z58" s="5" t="str">
        <f t="shared" si="22"/>
        <v>1</v>
      </c>
      <c r="AA58" s="5" t="str">
        <f t="shared" si="22"/>
        <v>1</v>
      </c>
      <c r="AB58" s="5" t="str">
        <f t="shared" si="22"/>
        <v>1</v>
      </c>
      <c r="AC58" s="5" t="str">
        <f t="shared" si="22"/>
        <v>1</v>
      </c>
      <c r="AD58" s="5" t="str">
        <f t="shared" si="22"/>
        <v>1</v>
      </c>
      <c r="AE58" s="5" t="str">
        <f t="shared" si="22"/>
        <v>1</v>
      </c>
    </row>
    <row r="59" spans="1:31" ht="14.4" x14ac:dyDescent="0.3">
      <c r="A59" s="14">
        <v>56</v>
      </c>
      <c r="B59" s="15" t="s">
        <v>158</v>
      </c>
      <c r="C59" s="10">
        <v>10</v>
      </c>
      <c r="D59" s="10">
        <v>49</v>
      </c>
      <c r="E59" s="17">
        <v>365</v>
      </c>
      <c r="F59" s="21">
        <v>5.21E-2</v>
      </c>
      <c r="G59" s="10">
        <v>2100</v>
      </c>
      <c r="H59" s="13">
        <v>0.02</v>
      </c>
      <c r="I59" s="18">
        <v>10950</v>
      </c>
      <c r="J59" s="20">
        <v>2</v>
      </c>
      <c r="K59" s="19">
        <f t="shared" si="0"/>
        <v>0.14885714285714285</v>
      </c>
      <c r="L59" s="2">
        <f t="shared" si="21"/>
        <v>0.37214285714285716</v>
      </c>
      <c r="M59" s="2">
        <f t="shared" si="2"/>
        <v>0.74428571428571433</v>
      </c>
      <c r="N59" s="2">
        <f t="shared" si="3"/>
        <v>1.1164285714285713</v>
      </c>
      <c r="O59" s="2">
        <f t="shared" si="4"/>
        <v>1.4885714285714287</v>
      </c>
      <c r="P59" s="2">
        <f t="shared" si="5"/>
        <v>1.8607142857142858</v>
      </c>
      <c r="Q59" s="2">
        <f t="shared" si="6"/>
        <v>2.2328571428571427</v>
      </c>
      <c r="R59" s="2">
        <f t="shared" si="7"/>
        <v>7.4428571428571422</v>
      </c>
      <c r="S59" s="2">
        <f t="shared" si="16"/>
        <v>18.607142857142858</v>
      </c>
      <c r="T59" s="2">
        <f t="shared" si="9"/>
        <v>37.214285714285715</v>
      </c>
      <c r="U59" s="2">
        <f t="shared" si="17"/>
        <v>55.821428571428562</v>
      </c>
      <c r="V59" s="2">
        <f t="shared" si="18"/>
        <v>74.428571428571431</v>
      </c>
      <c r="W59" s="2">
        <f t="shared" si="19"/>
        <v>93.035714285714292</v>
      </c>
      <c r="X59" s="2">
        <f t="shared" si="20"/>
        <v>111.64285714285712</v>
      </c>
      <c r="Y59" s="5" t="str">
        <f t="shared" si="22"/>
        <v>1</v>
      </c>
      <c r="Z59" s="5" t="str">
        <f t="shared" si="22"/>
        <v>1</v>
      </c>
      <c r="AA59" s="5" t="str">
        <f t="shared" si="22"/>
        <v>1</v>
      </c>
      <c r="AB59" s="5" t="str">
        <f t="shared" si="22"/>
        <v>1</v>
      </c>
      <c r="AC59" s="5" t="str">
        <f t="shared" si="22"/>
        <v>1</v>
      </c>
      <c r="AD59" s="5" t="str">
        <f t="shared" si="22"/>
        <v>1</v>
      </c>
      <c r="AE59" s="5" t="str">
        <f t="shared" si="22"/>
        <v>1</v>
      </c>
    </row>
    <row r="60" spans="1:31" ht="14.4" x14ac:dyDescent="0.3">
      <c r="A60" s="14">
        <v>57</v>
      </c>
      <c r="B60" s="15" t="s">
        <v>159</v>
      </c>
      <c r="C60" s="10">
        <v>10</v>
      </c>
      <c r="D60" s="10">
        <v>25</v>
      </c>
      <c r="E60" s="17">
        <v>365</v>
      </c>
      <c r="F60" s="21">
        <v>4.99E-2</v>
      </c>
      <c r="G60" s="10">
        <v>900</v>
      </c>
      <c r="H60" s="13">
        <v>0.02</v>
      </c>
      <c r="I60" s="18">
        <v>10950</v>
      </c>
      <c r="J60" s="20">
        <v>10</v>
      </c>
      <c r="K60" s="19">
        <f t="shared" si="0"/>
        <v>0.59879999999999989</v>
      </c>
      <c r="L60" s="2">
        <f t="shared" si="21"/>
        <v>0.29939999999999994</v>
      </c>
      <c r="M60" s="2">
        <f t="shared" si="2"/>
        <v>0.59879999999999989</v>
      </c>
      <c r="N60" s="2">
        <f t="shared" si="3"/>
        <v>0.89819999999999989</v>
      </c>
      <c r="O60" s="2">
        <f t="shared" si="4"/>
        <v>1.1975999999999998</v>
      </c>
      <c r="P60" s="2">
        <f t="shared" si="5"/>
        <v>1.4969999999999999</v>
      </c>
      <c r="Q60" s="2">
        <f t="shared" si="6"/>
        <v>1.7963999999999998</v>
      </c>
      <c r="R60" s="2">
        <f t="shared" si="7"/>
        <v>29.939999999999994</v>
      </c>
      <c r="S60" s="2">
        <f t="shared" si="16"/>
        <v>14.969999999999997</v>
      </c>
      <c r="T60" s="2">
        <f t="shared" si="9"/>
        <v>29.939999999999994</v>
      </c>
      <c r="U60" s="2">
        <f t="shared" si="17"/>
        <v>44.91</v>
      </c>
      <c r="V60" s="2">
        <f t="shared" si="18"/>
        <v>59.879999999999988</v>
      </c>
      <c r="W60" s="2">
        <f t="shared" si="19"/>
        <v>74.849999999999994</v>
      </c>
      <c r="X60" s="2">
        <f t="shared" si="20"/>
        <v>89.82</v>
      </c>
      <c r="Y60" s="5" t="str">
        <f t="shared" si="22"/>
        <v>1</v>
      </c>
      <c r="Z60" s="5" t="str">
        <f t="shared" si="22"/>
        <v>1</v>
      </c>
      <c r="AA60" s="5" t="str">
        <f t="shared" si="22"/>
        <v>1</v>
      </c>
      <c r="AB60" s="5" t="str">
        <f t="shared" si="22"/>
        <v>1</v>
      </c>
      <c r="AC60" s="5" t="str">
        <f t="shared" si="22"/>
        <v>1</v>
      </c>
      <c r="AD60" s="5" t="str">
        <f t="shared" si="22"/>
        <v>1</v>
      </c>
      <c r="AE60" s="5" t="str">
        <f t="shared" si="22"/>
        <v>1</v>
      </c>
    </row>
    <row r="61" spans="1:31" ht="14.4" x14ac:dyDescent="0.3">
      <c r="A61" s="14">
        <v>58</v>
      </c>
      <c r="B61" s="15" t="s">
        <v>160</v>
      </c>
      <c r="C61" s="10">
        <v>10</v>
      </c>
      <c r="D61" s="10">
        <v>27</v>
      </c>
      <c r="E61" s="17">
        <v>365</v>
      </c>
      <c r="F61" s="21">
        <v>4.99E-2</v>
      </c>
      <c r="G61" s="10">
        <v>900</v>
      </c>
      <c r="H61" s="13">
        <v>0.02</v>
      </c>
      <c r="I61" s="18">
        <v>10950</v>
      </c>
      <c r="J61" s="20">
        <v>10</v>
      </c>
      <c r="K61" s="19">
        <f t="shared" si="0"/>
        <v>0.5544444444444443</v>
      </c>
      <c r="L61" s="2">
        <f t="shared" si="21"/>
        <v>0.27722222222222215</v>
      </c>
      <c r="M61" s="2">
        <f t="shared" si="2"/>
        <v>0.5544444444444443</v>
      </c>
      <c r="N61" s="2">
        <f t="shared" si="3"/>
        <v>0.83166666666666655</v>
      </c>
      <c r="O61" s="2">
        <f t="shared" si="4"/>
        <v>1.1088888888888886</v>
      </c>
      <c r="P61" s="2">
        <f t="shared" si="5"/>
        <v>1.3861111111111108</v>
      </c>
      <c r="Q61" s="2">
        <f t="shared" si="6"/>
        <v>1.6633333333333331</v>
      </c>
      <c r="R61" s="2">
        <f t="shared" si="7"/>
        <v>27.722222222222214</v>
      </c>
      <c r="S61" s="2">
        <f t="shared" si="16"/>
        <v>13.861111111111107</v>
      </c>
      <c r="T61" s="2">
        <f t="shared" si="9"/>
        <v>27.722222222222214</v>
      </c>
      <c r="U61" s="2">
        <f t="shared" si="17"/>
        <v>41.583333333333329</v>
      </c>
      <c r="V61" s="2">
        <f t="shared" si="18"/>
        <v>55.444444444444429</v>
      </c>
      <c r="W61" s="2">
        <f t="shared" si="19"/>
        <v>69.305555555555543</v>
      </c>
      <c r="X61" s="2">
        <f t="shared" si="20"/>
        <v>83.166666666666657</v>
      </c>
      <c r="Y61" s="5" t="str">
        <f t="shared" si="22"/>
        <v>1</v>
      </c>
      <c r="Z61" s="5" t="str">
        <f t="shared" si="22"/>
        <v>1</v>
      </c>
      <c r="AA61" s="5" t="str">
        <f t="shared" si="22"/>
        <v>1</v>
      </c>
      <c r="AB61" s="5" t="str">
        <f t="shared" si="22"/>
        <v>1</v>
      </c>
      <c r="AC61" s="5" t="str">
        <f t="shared" si="22"/>
        <v>1</v>
      </c>
      <c r="AD61" s="5" t="str">
        <f t="shared" si="22"/>
        <v>1</v>
      </c>
      <c r="AE61" s="5" t="str">
        <f t="shared" si="22"/>
        <v>1</v>
      </c>
    </row>
    <row r="62" spans="1:31" ht="14.4" x14ac:dyDescent="0.3">
      <c r="A62" s="14">
        <v>59</v>
      </c>
      <c r="B62" s="15" t="s">
        <v>161</v>
      </c>
      <c r="C62" s="10">
        <v>10</v>
      </c>
      <c r="D62" s="10">
        <v>25</v>
      </c>
      <c r="E62" s="17">
        <v>365</v>
      </c>
      <c r="F62" s="21">
        <v>3.9100000000000003E-2</v>
      </c>
      <c r="G62" s="10">
        <v>900</v>
      </c>
      <c r="H62" s="13">
        <v>0.02</v>
      </c>
      <c r="I62" s="18">
        <v>10950</v>
      </c>
      <c r="J62" s="20">
        <v>10</v>
      </c>
      <c r="K62" s="19">
        <f t="shared" si="0"/>
        <v>0.46920000000000012</v>
      </c>
      <c r="L62" s="2">
        <f t="shared" si="21"/>
        <v>0.23460000000000006</v>
      </c>
      <c r="M62" s="2">
        <f t="shared" si="2"/>
        <v>0.46920000000000012</v>
      </c>
      <c r="N62" s="2">
        <f t="shared" si="3"/>
        <v>0.70380000000000009</v>
      </c>
      <c r="O62" s="2">
        <f t="shared" si="4"/>
        <v>0.93840000000000023</v>
      </c>
      <c r="P62" s="2">
        <f t="shared" si="5"/>
        <v>1.1730000000000003</v>
      </c>
      <c r="Q62" s="2">
        <f t="shared" si="6"/>
        <v>1.4076000000000002</v>
      </c>
      <c r="R62" s="2">
        <f t="shared" si="7"/>
        <v>23.460000000000004</v>
      </c>
      <c r="S62" s="2">
        <f t="shared" si="16"/>
        <v>11.730000000000002</v>
      </c>
      <c r="T62" s="2">
        <f t="shared" si="9"/>
        <v>23.460000000000004</v>
      </c>
      <c r="U62" s="2">
        <f t="shared" si="17"/>
        <v>35.190000000000005</v>
      </c>
      <c r="V62" s="2">
        <f t="shared" si="18"/>
        <v>46.920000000000009</v>
      </c>
      <c r="W62" s="2">
        <f t="shared" si="19"/>
        <v>58.650000000000013</v>
      </c>
      <c r="X62" s="2">
        <f t="shared" si="20"/>
        <v>70.38000000000001</v>
      </c>
      <c r="Y62" s="5" t="str">
        <f t="shared" si="22"/>
        <v>1</v>
      </c>
      <c r="Z62" s="5" t="str">
        <f t="shared" si="22"/>
        <v>1</v>
      </c>
      <c r="AA62" s="5" t="str">
        <f t="shared" si="22"/>
        <v>1</v>
      </c>
      <c r="AB62" s="5" t="str">
        <f t="shared" si="22"/>
        <v>1</v>
      </c>
      <c r="AC62" s="5" t="str">
        <f t="shared" si="22"/>
        <v>1</v>
      </c>
      <c r="AD62" s="5" t="str">
        <f t="shared" si="22"/>
        <v>1</v>
      </c>
      <c r="AE62" s="5" t="str">
        <f t="shared" si="22"/>
        <v>1</v>
      </c>
    </row>
    <row r="63" spans="1:31" ht="14.4" x14ac:dyDescent="0.3">
      <c r="A63" s="14">
        <v>60</v>
      </c>
      <c r="B63" s="15" t="s">
        <v>162</v>
      </c>
      <c r="C63" s="10">
        <v>10</v>
      </c>
      <c r="D63" s="10">
        <v>25</v>
      </c>
      <c r="E63" s="17">
        <v>365</v>
      </c>
      <c r="F63" s="21">
        <v>4.1200000000000001E-2</v>
      </c>
      <c r="G63" s="10">
        <v>900</v>
      </c>
      <c r="H63" s="13">
        <v>0.02</v>
      </c>
      <c r="I63" s="18">
        <v>10950</v>
      </c>
      <c r="J63" s="20">
        <v>10</v>
      </c>
      <c r="K63" s="19">
        <f t="shared" si="0"/>
        <v>0.49440000000000001</v>
      </c>
      <c r="L63" s="2">
        <f t="shared" si="21"/>
        <v>0.2472</v>
      </c>
      <c r="M63" s="2">
        <f t="shared" si="2"/>
        <v>0.49440000000000001</v>
      </c>
      <c r="N63" s="2">
        <f t="shared" si="3"/>
        <v>0.74159999999999993</v>
      </c>
      <c r="O63" s="2">
        <f t="shared" si="4"/>
        <v>0.98880000000000001</v>
      </c>
      <c r="P63" s="2">
        <f t="shared" si="5"/>
        <v>1.236</v>
      </c>
      <c r="Q63" s="2">
        <f t="shared" si="6"/>
        <v>1.4831999999999999</v>
      </c>
      <c r="R63" s="2">
        <f t="shared" si="7"/>
        <v>24.72</v>
      </c>
      <c r="S63" s="2">
        <f t="shared" si="16"/>
        <v>12.36</v>
      </c>
      <c r="T63" s="2">
        <f t="shared" si="9"/>
        <v>24.72</v>
      </c>
      <c r="U63" s="2">
        <f t="shared" si="17"/>
        <v>37.08</v>
      </c>
      <c r="V63" s="2">
        <f t="shared" si="18"/>
        <v>49.44</v>
      </c>
      <c r="W63" s="2">
        <f t="shared" si="19"/>
        <v>61.8</v>
      </c>
      <c r="X63" s="2">
        <f t="shared" si="20"/>
        <v>74.16</v>
      </c>
      <c r="Y63" s="5" t="str">
        <f t="shared" si="22"/>
        <v>1</v>
      </c>
      <c r="Z63" s="5" t="str">
        <f t="shared" si="22"/>
        <v>1</v>
      </c>
      <c r="AA63" s="5" t="str">
        <f t="shared" si="22"/>
        <v>1</v>
      </c>
      <c r="AB63" s="5" t="str">
        <f t="shared" si="22"/>
        <v>1</v>
      </c>
      <c r="AC63" s="5" t="str">
        <f t="shared" si="22"/>
        <v>1</v>
      </c>
      <c r="AD63" s="5" t="str">
        <f t="shared" si="22"/>
        <v>1</v>
      </c>
      <c r="AE63" s="5" t="str">
        <f t="shared" si="22"/>
        <v>1</v>
      </c>
    </row>
    <row r="64" spans="1:31" ht="14.4" x14ac:dyDescent="0.3">
      <c r="A64" s="14">
        <v>61</v>
      </c>
      <c r="B64" s="15" t="s">
        <v>163</v>
      </c>
      <c r="C64" s="10">
        <v>10</v>
      </c>
      <c r="D64" s="10">
        <v>30</v>
      </c>
      <c r="E64" s="17">
        <v>365</v>
      </c>
      <c r="F64" s="21">
        <v>4.1200000000000001E-2</v>
      </c>
      <c r="G64" s="10">
        <v>900</v>
      </c>
      <c r="H64" s="13">
        <v>0.02</v>
      </c>
      <c r="I64" s="18">
        <v>10950</v>
      </c>
      <c r="J64" s="20">
        <v>10</v>
      </c>
      <c r="K64" s="19">
        <f t="shared" si="0"/>
        <v>0.41199999999999998</v>
      </c>
      <c r="L64" s="2">
        <f t="shared" si="21"/>
        <v>0.20599999999999999</v>
      </c>
      <c r="M64" s="2">
        <f t="shared" si="2"/>
        <v>0.41199999999999998</v>
      </c>
      <c r="N64" s="2">
        <f t="shared" si="3"/>
        <v>0.61799999999999988</v>
      </c>
      <c r="O64" s="2">
        <f t="shared" si="4"/>
        <v>0.82399999999999995</v>
      </c>
      <c r="P64" s="2">
        <f t="shared" si="5"/>
        <v>1.03</v>
      </c>
      <c r="Q64" s="2">
        <f t="shared" si="6"/>
        <v>1.2359999999999998</v>
      </c>
      <c r="R64" s="2">
        <f t="shared" si="7"/>
        <v>20.599999999999998</v>
      </c>
      <c r="S64" s="2">
        <f t="shared" si="16"/>
        <v>10.299999999999999</v>
      </c>
      <c r="T64" s="2">
        <f t="shared" si="9"/>
        <v>20.599999999999998</v>
      </c>
      <c r="U64" s="2">
        <f t="shared" si="17"/>
        <v>30.899999999999995</v>
      </c>
      <c r="V64" s="2">
        <f t="shared" si="18"/>
        <v>41.199999999999996</v>
      </c>
      <c r="W64" s="2">
        <f t="shared" si="19"/>
        <v>51.5</v>
      </c>
      <c r="X64" s="2">
        <f t="shared" si="20"/>
        <v>61.79999999999999</v>
      </c>
      <c r="Y64" s="5" t="str">
        <f t="shared" si="22"/>
        <v>1</v>
      </c>
      <c r="Z64" s="5" t="str">
        <f t="shared" si="22"/>
        <v>1</v>
      </c>
      <c r="AA64" s="5" t="str">
        <f t="shared" si="22"/>
        <v>1</v>
      </c>
      <c r="AB64" s="5" t="str">
        <f t="shared" si="22"/>
        <v>1</v>
      </c>
      <c r="AC64" s="5" t="str">
        <f t="shared" si="22"/>
        <v>1</v>
      </c>
      <c r="AD64" s="5" t="str">
        <f t="shared" si="22"/>
        <v>1</v>
      </c>
      <c r="AE64" s="5" t="str">
        <f t="shared" si="22"/>
        <v>1</v>
      </c>
    </row>
    <row r="65" spans="1:31" ht="14.4" x14ac:dyDescent="0.3">
      <c r="A65" s="14">
        <v>62</v>
      </c>
      <c r="B65" s="15" t="s">
        <v>164</v>
      </c>
      <c r="C65" s="10">
        <v>10</v>
      </c>
      <c r="D65" s="10">
        <v>25</v>
      </c>
      <c r="E65" s="17">
        <v>365</v>
      </c>
      <c r="F65" s="21">
        <v>5.4199999999999998E-2</v>
      </c>
      <c r="G65" s="10">
        <v>900</v>
      </c>
      <c r="H65" s="13">
        <v>0.02</v>
      </c>
      <c r="I65" s="18">
        <v>10950</v>
      </c>
      <c r="J65" s="20">
        <v>10</v>
      </c>
      <c r="K65" s="19">
        <f t="shared" si="0"/>
        <v>0.65039999999999998</v>
      </c>
      <c r="L65" s="2">
        <f t="shared" si="21"/>
        <v>0.32519999999999999</v>
      </c>
      <c r="M65" s="2">
        <f t="shared" si="2"/>
        <v>0.65039999999999998</v>
      </c>
      <c r="N65" s="2">
        <f t="shared" si="3"/>
        <v>0.97560000000000002</v>
      </c>
      <c r="O65" s="2">
        <f t="shared" si="4"/>
        <v>1.3008</v>
      </c>
      <c r="P65" s="2">
        <f t="shared" si="5"/>
        <v>1.6259999999999999</v>
      </c>
      <c r="Q65" s="2">
        <f t="shared" si="6"/>
        <v>1.9512</v>
      </c>
      <c r="R65" s="2">
        <f t="shared" si="7"/>
        <v>32.519999999999996</v>
      </c>
      <c r="S65" s="2">
        <f t="shared" si="16"/>
        <v>16.259999999999998</v>
      </c>
      <c r="T65" s="2">
        <f t="shared" si="9"/>
        <v>32.519999999999996</v>
      </c>
      <c r="U65" s="2">
        <f t="shared" si="17"/>
        <v>48.78</v>
      </c>
      <c r="V65" s="2">
        <f t="shared" si="18"/>
        <v>65.039999999999992</v>
      </c>
      <c r="W65" s="2">
        <f t="shared" si="19"/>
        <v>81.3</v>
      </c>
      <c r="X65" s="2">
        <f t="shared" si="20"/>
        <v>97.56</v>
      </c>
      <c r="Y65" s="5" t="str">
        <f t="shared" si="22"/>
        <v>1</v>
      </c>
      <c r="Z65" s="5" t="str">
        <f t="shared" si="22"/>
        <v>1</v>
      </c>
      <c r="AA65" s="5" t="str">
        <f t="shared" si="22"/>
        <v>1</v>
      </c>
      <c r="AB65" s="5" t="str">
        <f t="shared" si="22"/>
        <v>1</v>
      </c>
      <c r="AC65" s="5" t="str">
        <f t="shared" si="22"/>
        <v>1</v>
      </c>
      <c r="AD65" s="5" t="str">
        <f t="shared" si="22"/>
        <v>1</v>
      </c>
      <c r="AE65" s="5" t="str">
        <f t="shared" si="22"/>
        <v>1</v>
      </c>
    </row>
    <row r="66" spans="1:31" ht="14.4" x14ac:dyDescent="0.3">
      <c r="A66" s="14">
        <v>63</v>
      </c>
      <c r="B66" s="15" t="s">
        <v>165</v>
      </c>
      <c r="C66" s="10">
        <v>10</v>
      </c>
      <c r="D66" s="10">
        <v>25</v>
      </c>
      <c r="E66" s="17">
        <v>365</v>
      </c>
      <c r="F66" s="21">
        <v>5.4199999999999998E-2</v>
      </c>
      <c r="G66" s="10">
        <v>900</v>
      </c>
      <c r="H66" s="13">
        <v>0.02</v>
      </c>
      <c r="I66" s="18">
        <v>10950</v>
      </c>
      <c r="J66" s="20">
        <v>10</v>
      </c>
      <c r="K66" s="19">
        <f t="shared" si="0"/>
        <v>0.65039999999999998</v>
      </c>
      <c r="L66" s="2">
        <f t="shared" si="21"/>
        <v>0.32519999999999999</v>
      </c>
      <c r="M66" s="2">
        <f t="shared" si="2"/>
        <v>0.65039999999999998</v>
      </c>
      <c r="N66" s="2">
        <f t="shared" si="3"/>
        <v>0.97560000000000002</v>
      </c>
      <c r="O66" s="2">
        <f t="shared" si="4"/>
        <v>1.3008</v>
      </c>
      <c r="P66" s="2">
        <f t="shared" si="5"/>
        <v>1.6259999999999999</v>
      </c>
      <c r="Q66" s="2">
        <f t="shared" si="6"/>
        <v>1.9512</v>
      </c>
      <c r="R66" s="2">
        <f t="shared" si="7"/>
        <v>32.519999999999996</v>
      </c>
      <c r="S66" s="2">
        <f t="shared" si="16"/>
        <v>16.259999999999998</v>
      </c>
      <c r="T66" s="2">
        <f t="shared" si="9"/>
        <v>32.519999999999996</v>
      </c>
      <c r="U66" s="2">
        <f t="shared" si="17"/>
        <v>48.78</v>
      </c>
      <c r="V66" s="2">
        <f t="shared" si="18"/>
        <v>65.039999999999992</v>
      </c>
      <c r="W66" s="2">
        <f t="shared" si="19"/>
        <v>81.3</v>
      </c>
      <c r="X66" s="2">
        <f t="shared" si="20"/>
        <v>97.56</v>
      </c>
      <c r="Y66" s="5" t="str">
        <f t="shared" si="22"/>
        <v>1</v>
      </c>
      <c r="Z66" s="5" t="str">
        <f t="shared" si="22"/>
        <v>1</v>
      </c>
      <c r="AA66" s="5" t="str">
        <f t="shared" si="22"/>
        <v>1</v>
      </c>
      <c r="AB66" s="5" t="str">
        <f t="shared" si="22"/>
        <v>1</v>
      </c>
      <c r="AC66" s="5" t="str">
        <f t="shared" si="22"/>
        <v>1</v>
      </c>
      <c r="AD66" s="5" t="str">
        <f t="shared" si="22"/>
        <v>1</v>
      </c>
      <c r="AE66" s="5" t="str">
        <f t="shared" si="22"/>
        <v>1</v>
      </c>
    </row>
    <row r="67" spans="1:31" ht="14.4" x14ac:dyDescent="0.3">
      <c r="A67" s="14">
        <v>64</v>
      </c>
      <c r="B67" s="15" t="s">
        <v>144</v>
      </c>
      <c r="C67" s="10">
        <v>10</v>
      </c>
      <c r="D67" s="10">
        <v>30</v>
      </c>
      <c r="E67" s="17">
        <v>365</v>
      </c>
      <c r="F67" s="21">
        <v>5.4199999999999998E-2</v>
      </c>
      <c r="G67" s="10">
        <v>900</v>
      </c>
      <c r="H67" s="13">
        <v>0.02</v>
      </c>
      <c r="I67" s="18">
        <v>10950</v>
      </c>
      <c r="J67" s="20">
        <v>10</v>
      </c>
      <c r="K67" s="19">
        <f t="shared" si="0"/>
        <v>0.54200000000000004</v>
      </c>
      <c r="L67" s="2">
        <f t="shared" si="21"/>
        <v>0.27100000000000002</v>
      </c>
      <c r="M67" s="2">
        <f t="shared" si="2"/>
        <v>0.54200000000000004</v>
      </c>
      <c r="N67" s="2">
        <f t="shared" si="3"/>
        <v>0.81299999999999994</v>
      </c>
      <c r="O67" s="2">
        <f t="shared" si="4"/>
        <v>1.0840000000000001</v>
      </c>
      <c r="P67" s="2">
        <f t="shared" si="5"/>
        <v>1.355</v>
      </c>
      <c r="Q67" s="2">
        <f t="shared" si="6"/>
        <v>1.6259999999999999</v>
      </c>
      <c r="R67" s="2">
        <f t="shared" si="7"/>
        <v>27.1</v>
      </c>
      <c r="S67" s="2">
        <f t="shared" si="16"/>
        <v>13.55</v>
      </c>
      <c r="T67" s="2">
        <f t="shared" si="9"/>
        <v>27.1</v>
      </c>
      <c r="U67" s="2">
        <f t="shared" si="17"/>
        <v>40.65</v>
      </c>
      <c r="V67" s="2">
        <f t="shared" si="18"/>
        <v>54.2</v>
      </c>
      <c r="W67" s="2">
        <f t="shared" si="19"/>
        <v>67.75</v>
      </c>
      <c r="X67" s="2">
        <f t="shared" si="20"/>
        <v>81.3</v>
      </c>
      <c r="Y67" s="5" t="str">
        <f t="shared" si="22"/>
        <v>1</v>
      </c>
      <c r="Z67" s="5" t="str">
        <f t="shared" si="22"/>
        <v>1</v>
      </c>
      <c r="AA67" s="5" t="str">
        <f t="shared" si="22"/>
        <v>1</v>
      </c>
      <c r="AB67" s="5" t="str">
        <f t="shared" si="22"/>
        <v>1</v>
      </c>
      <c r="AC67" s="5" t="str">
        <f t="shared" si="22"/>
        <v>1</v>
      </c>
      <c r="AD67" s="5" t="str">
        <f t="shared" si="22"/>
        <v>1</v>
      </c>
      <c r="AE67" s="5" t="str">
        <f t="shared" si="22"/>
        <v>1</v>
      </c>
    </row>
    <row r="68" spans="1:31" ht="14.4" x14ac:dyDescent="0.3">
      <c r="A68" s="14">
        <v>65</v>
      </c>
      <c r="B68" s="15" t="s">
        <v>166</v>
      </c>
      <c r="C68" s="10">
        <v>11</v>
      </c>
      <c r="D68" s="10">
        <v>33</v>
      </c>
      <c r="E68" s="17">
        <v>365</v>
      </c>
      <c r="F68" s="21">
        <v>1.7100000000000001E-2</v>
      </c>
      <c r="G68" s="10">
        <v>900</v>
      </c>
      <c r="H68" s="13">
        <v>0.02</v>
      </c>
      <c r="I68" s="18">
        <v>10950</v>
      </c>
      <c r="J68" s="20">
        <v>11</v>
      </c>
      <c r="K68" s="19">
        <f t="shared" ref="K68:K103" si="23">(F68*G68*E68*J68)/(D68*I68)</f>
        <v>0.17100000000000001</v>
      </c>
      <c r="L68" s="2">
        <f t="shared" si="21"/>
        <v>7.7727272727272728E-2</v>
      </c>
      <c r="M68" s="2">
        <f t="shared" ref="M68:M103" si="24">(F68*G68*E68*10)/(D68*I68)</f>
        <v>0.15545454545454546</v>
      </c>
      <c r="N68" s="2">
        <f t="shared" ref="N68:N103" si="25">(F68*G68*E68*15)/(D68*I68)</f>
        <v>0.23318181818181818</v>
      </c>
      <c r="O68" s="2">
        <f t="shared" ref="O68:O103" si="26">(F68*G68*E68*20)/(D68*I68)</f>
        <v>0.31090909090909091</v>
      </c>
      <c r="P68" s="2">
        <f t="shared" ref="P68:P103" si="27">(F68*G68*E68*25)/(D68*I68)</f>
        <v>0.38863636363636361</v>
      </c>
      <c r="Q68" s="2">
        <f t="shared" ref="Q68:Q103" si="28">(F68*G68*E68*30)/(D68*I68)</f>
        <v>0.46636363636363637</v>
      </c>
      <c r="R68" s="2">
        <f t="shared" ref="R68:R103" si="29">K68/H68</f>
        <v>8.5500000000000007</v>
      </c>
      <c r="S68" s="2">
        <f t="shared" si="16"/>
        <v>3.8863636363636362</v>
      </c>
      <c r="T68" s="2">
        <f t="shared" ref="T68:T103" si="30">M68/H68</f>
        <v>7.7727272727272725</v>
      </c>
      <c r="U68" s="2">
        <f t="shared" si="17"/>
        <v>11.659090909090908</v>
      </c>
      <c r="V68" s="2">
        <f t="shared" si="18"/>
        <v>15.545454545454545</v>
      </c>
      <c r="W68" s="2">
        <f t="shared" si="19"/>
        <v>19.43181818181818</v>
      </c>
      <c r="X68" s="2">
        <f t="shared" si="20"/>
        <v>23.318181818181817</v>
      </c>
      <c r="Y68" s="5" t="str">
        <f t="shared" si="22"/>
        <v>1</v>
      </c>
      <c r="Z68" s="5" t="str">
        <f t="shared" si="22"/>
        <v>1</v>
      </c>
      <c r="AA68" s="5" t="str">
        <f t="shared" si="22"/>
        <v>1</v>
      </c>
      <c r="AB68" s="5" t="str">
        <f t="shared" si="22"/>
        <v>1</v>
      </c>
      <c r="AC68" s="5" t="str">
        <f t="shared" si="22"/>
        <v>1</v>
      </c>
      <c r="AD68" s="5" t="str">
        <f t="shared" si="22"/>
        <v>1</v>
      </c>
      <c r="AE68" s="5" t="str">
        <f t="shared" si="22"/>
        <v>1</v>
      </c>
    </row>
    <row r="69" spans="1:31" ht="14.4" x14ac:dyDescent="0.3">
      <c r="A69" s="14">
        <v>66</v>
      </c>
      <c r="B69" s="15" t="s">
        <v>167</v>
      </c>
      <c r="C69" s="10">
        <v>11</v>
      </c>
      <c r="D69" s="10">
        <v>23</v>
      </c>
      <c r="E69" s="17">
        <v>365</v>
      </c>
      <c r="F69" s="21">
        <v>6.1000000000000004E-3</v>
      </c>
      <c r="G69" s="10">
        <v>900</v>
      </c>
      <c r="H69" s="13">
        <v>0.02</v>
      </c>
      <c r="I69" s="18">
        <v>10950</v>
      </c>
      <c r="J69" s="20">
        <v>11</v>
      </c>
      <c r="K69" s="19">
        <f t="shared" si="23"/>
        <v>8.7521739130434789E-2</v>
      </c>
      <c r="L69" s="2">
        <f t="shared" si="21"/>
        <v>3.9782608695652172E-2</v>
      </c>
      <c r="M69" s="2">
        <f t="shared" si="24"/>
        <v>7.9565217391304344E-2</v>
      </c>
      <c r="N69" s="2">
        <f t="shared" si="25"/>
        <v>0.11934782608695653</v>
      </c>
      <c r="O69" s="2">
        <f t="shared" si="26"/>
        <v>0.15913043478260869</v>
      </c>
      <c r="P69" s="2">
        <f t="shared" si="27"/>
        <v>0.19891304347826086</v>
      </c>
      <c r="Q69" s="2">
        <f t="shared" si="28"/>
        <v>0.23869565217391306</v>
      </c>
      <c r="R69" s="2">
        <f t="shared" si="29"/>
        <v>4.3760869565217391</v>
      </c>
      <c r="S69" s="2">
        <f t="shared" si="16"/>
        <v>1.9891304347826086</v>
      </c>
      <c r="T69" s="2">
        <f t="shared" si="30"/>
        <v>3.9782608695652173</v>
      </c>
      <c r="U69" s="2">
        <f t="shared" si="17"/>
        <v>5.9673913043478262</v>
      </c>
      <c r="V69" s="2">
        <f t="shared" si="18"/>
        <v>7.9565217391304346</v>
      </c>
      <c r="W69" s="2">
        <f t="shared" si="19"/>
        <v>9.945652173913043</v>
      </c>
      <c r="X69" s="2">
        <f t="shared" si="20"/>
        <v>11.934782608695652</v>
      </c>
      <c r="Y69" s="5" t="str">
        <f t="shared" si="22"/>
        <v>1</v>
      </c>
      <c r="Z69" s="5" t="str">
        <f t="shared" si="22"/>
        <v>1</v>
      </c>
      <c r="AA69" s="5" t="str">
        <f t="shared" si="22"/>
        <v>1</v>
      </c>
      <c r="AB69" s="5" t="str">
        <f t="shared" si="22"/>
        <v>1</v>
      </c>
      <c r="AC69" s="5" t="str">
        <f t="shared" si="22"/>
        <v>1</v>
      </c>
      <c r="AD69" s="5" t="str">
        <f t="shared" si="22"/>
        <v>1</v>
      </c>
      <c r="AE69" s="5" t="str">
        <f t="shared" si="22"/>
        <v>1</v>
      </c>
    </row>
    <row r="70" spans="1:31" ht="14.4" x14ac:dyDescent="0.3">
      <c r="A70" s="14">
        <v>67</v>
      </c>
      <c r="B70" s="15" t="s">
        <v>168</v>
      </c>
      <c r="C70" s="10">
        <v>11</v>
      </c>
      <c r="D70" s="10">
        <v>34</v>
      </c>
      <c r="E70" s="17">
        <v>365</v>
      </c>
      <c r="F70" s="21">
        <v>6.1000000000000004E-3</v>
      </c>
      <c r="G70" s="10">
        <v>1200</v>
      </c>
      <c r="H70" s="13">
        <v>0.02</v>
      </c>
      <c r="I70" s="18">
        <v>10950</v>
      </c>
      <c r="J70" s="20">
        <v>11</v>
      </c>
      <c r="K70" s="19">
        <f t="shared" si="23"/>
        <v>7.8941176470588237E-2</v>
      </c>
      <c r="L70" s="2">
        <f t="shared" si="21"/>
        <v>3.5882352941176469E-2</v>
      </c>
      <c r="M70" s="2">
        <f t="shared" si="24"/>
        <v>7.1764705882352939E-2</v>
      </c>
      <c r="N70" s="2">
        <f t="shared" si="25"/>
        <v>0.10764705882352942</v>
      </c>
      <c r="O70" s="2">
        <f t="shared" si="26"/>
        <v>0.14352941176470588</v>
      </c>
      <c r="P70" s="2">
        <f t="shared" si="27"/>
        <v>0.17941176470588235</v>
      </c>
      <c r="Q70" s="2">
        <f t="shared" si="28"/>
        <v>0.21529411764705883</v>
      </c>
      <c r="R70" s="2">
        <f t="shared" si="29"/>
        <v>3.947058823529412</v>
      </c>
      <c r="S70" s="2">
        <f t="shared" si="16"/>
        <v>1.7941176470588234</v>
      </c>
      <c r="T70" s="2">
        <f t="shared" si="30"/>
        <v>3.5882352941176467</v>
      </c>
      <c r="U70" s="2">
        <f t="shared" si="17"/>
        <v>5.382352941176471</v>
      </c>
      <c r="V70" s="2">
        <f t="shared" si="18"/>
        <v>7.1764705882352935</v>
      </c>
      <c r="W70" s="2">
        <f t="shared" si="19"/>
        <v>8.9705882352941178</v>
      </c>
      <c r="X70" s="2">
        <f t="shared" si="20"/>
        <v>10.764705882352942</v>
      </c>
      <c r="Y70" s="5" t="str">
        <f t="shared" si="22"/>
        <v>1</v>
      </c>
      <c r="Z70" s="5" t="str">
        <f t="shared" si="22"/>
        <v>1</v>
      </c>
      <c r="AA70" s="5" t="str">
        <f t="shared" si="22"/>
        <v>1</v>
      </c>
      <c r="AB70" s="5" t="str">
        <f t="shared" si="22"/>
        <v>1</v>
      </c>
      <c r="AC70" s="5" t="str">
        <f t="shared" si="22"/>
        <v>1</v>
      </c>
      <c r="AD70" s="5" t="str">
        <f t="shared" si="22"/>
        <v>1</v>
      </c>
      <c r="AE70" s="5" t="str">
        <f t="shared" si="22"/>
        <v>1</v>
      </c>
    </row>
    <row r="71" spans="1:31" ht="14.4" x14ac:dyDescent="0.3">
      <c r="A71" s="14">
        <v>68</v>
      </c>
      <c r="B71" s="15" t="s">
        <v>169</v>
      </c>
      <c r="C71" s="10">
        <v>11</v>
      </c>
      <c r="D71" s="10">
        <v>32</v>
      </c>
      <c r="E71" s="17">
        <v>365</v>
      </c>
      <c r="F71" s="21">
        <v>3.2300000000000002E-2</v>
      </c>
      <c r="G71" s="10">
        <v>900</v>
      </c>
      <c r="H71" s="13">
        <v>0.02</v>
      </c>
      <c r="I71" s="18">
        <v>10950</v>
      </c>
      <c r="J71" s="20">
        <v>11</v>
      </c>
      <c r="K71" s="19">
        <f t="shared" si="23"/>
        <v>0.33309375000000008</v>
      </c>
      <c r="L71" s="2">
        <f t="shared" si="21"/>
        <v>0.15140625000000002</v>
      </c>
      <c r="M71" s="2">
        <f t="shared" si="24"/>
        <v>0.30281250000000004</v>
      </c>
      <c r="N71" s="2">
        <f t="shared" si="25"/>
        <v>0.45421875000000006</v>
      </c>
      <c r="O71" s="2">
        <f t="shared" si="26"/>
        <v>0.60562500000000008</v>
      </c>
      <c r="P71" s="2">
        <f t="shared" si="27"/>
        <v>0.75703125000000004</v>
      </c>
      <c r="Q71" s="2">
        <f t="shared" si="28"/>
        <v>0.90843750000000012</v>
      </c>
      <c r="R71" s="2">
        <f t="shared" si="29"/>
        <v>16.654687500000005</v>
      </c>
      <c r="S71" s="2">
        <f t="shared" si="16"/>
        <v>7.5703125000000009</v>
      </c>
      <c r="T71" s="2">
        <f t="shared" si="30"/>
        <v>15.140625000000002</v>
      </c>
      <c r="U71" s="2">
        <f t="shared" si="17"/>
        <v>22.710937500000004</v>
      </c>
      <c r="V71" s="2">
        <f t="shared" si="18"/>
        <v>30.281250000000004</v>
      </c>
      <c r="W71" s="2">
        <f t="shared" si="19"/>
        <v>37.8515625</v>
      </c>
      <c r="X71" s="2">
        <f t="shared" si="20"/>
        <v>45.421875000000007</v>
      </c>
      <c r="Y71" s="5" t="str">
        <f t="shared" si="22"/>
        <v>1</v>
      </c>
      <c r="Z71" s="5" t="str">
        <f t="shared" si="22"/>
        <v>1</v>
      </c>
      <c r="AA71" s="5" t="str">
        <f t="shared" si="22"/>
        <v>1</v>
      </c>
      <c r="AB71" s="5" t="str">
        <f t="shared" si="22"/>
        <v>1</v>
      </c>
      <c r="AC71" s="5" t="str">
        <f t="shared" si="22"/>
        <v>1</v>
      </c>
      <c r="AD71" s="5" t="str">
        <f t="shared" si="22"/>
        <v>1</v>
      </c>
      <c r="AE71" s="5" t="str">
        <f t="shared" si="22"/>
        <v>1</v>
      </c>
    </row>
    <row r="72" spans="1:31" ht="14.4" x14ac:dyDescent="0.3">
      <c r="A72" s="14">
        <v>69</v>
      </c>
      <c r="B72" s="15" t="s">
        <v>170</v>
      </c>
      <c r="C72" s="10">
        <v>11</v>
      </c>
      <c r="D72" s="10">
        <v>29</v>
      </c>
      <c r="E72" s="17">
        <v>365</v>
      </c>
      <c r="F72" s="21">
        <v>3.1099999999999999E-2</v>
      </c>
      <c r="G72" s="10">
        <v>1200</v>
      </c>
      <c r="H72" s="13">
        <v>0.02</v>
      </c>
      <c r="I72" s="18">
        <v>10950</v>
      </c>
      <c r="J72" s="20">
        <v>11</v>
      </c>
      <c r="K72" s="19">
        <f t="shared" si="23"/>
        <v>0.47186206896551719</v>
      </c>
      <c r="L72" s="2">
        <f t="shared" si="21"/>
        <v>0.21448275862068966</v>
      </c>
      <c r="M72" s="2">
        <f t="shared" si="24"/>
        <v>0.42896551724137932</v>
      </c>
      <c r="N72" s="2">
        <f t="shared" si="25"/>
        <v>0.64344827586206899</v>
      </c>
      <c r="O72" s="2">
        <f t="shared" si="26"/>
        <v>0.85793103448275865</v>
      </c>
      <c r="P72" s="2">
        <f t="shared" si="27"/>
        <v>1.0724137931034483</v>
      </c>
      <c r="Q72" s="2">
        <f t="shared" si="28"/>
        <v>1.286896551724138</v>
      </c>
      <c r="R72" s="2">
        <f t="shared" si="29"/>
        <v>23.593103448275858</v>
      </c>
      <c r="S72" s="2">
        <f t="shared" si="16"/>
        <v>10.724137931034482</v>
      </c>
      <c r="T72" s="2">
        <f t="shared" si="30"/>
        <v>21.448275862068964</v>
      </c>
      <c r="U72" s="2">
        <f t="shared" si="17"/>
        <v>32.172413793103452</v>
      </c>
      <c r="V72" s="2">
        <f t="shared" si="18"/>
        <v>42.896551724137929</v>
      </c>
      <c r="W72" s="2">
        <f t="shared" si="19"/>
        <v>53.620689655172413</v>
      </c>
      <c r="X72" s="2">
        <f t="shared" si="20"/>
        <v>64.344827586206904</v>
      </c>
      <c r="Y72" s="5" t="str">
        <f t="shared" si="22"/>
        <v>1</v>
      </c>
      <c r="Z72" s="5" t="str">
        <f t="shared" si="22"/>
        <v>1</v>
      </c>
      <c r="AA72" s="5" t="str">
        <f t="shared" si="22"/>
        <v>1</v>
      </c>
      <c r="AB72" s="5" t="str">
        <f t="shared" si="22"/>
        <v>1</v>
      </c>
      <c r="AC72" s="5" t="str">
        <f t="shared" si="22"/>
        <v>1</v>
      </c>
      <c r="AD72" s="5" t="str">
        <f t="shared" si="22"/>
        <v>1</v>
      </c>
      <c r="AE72" s="5" t="str">
        <f t="shared" si="22"/>
        <v>1</v>
      </c>
    </row>
    <row r="73" spans="1:31" ht="14.4" x14ac:dyDescent="0.3">
      <c r="A73" s="14">
        <v>70</v>
      </c>
      <c r="B73" s="15" t="s">
        <v>171</v>
      </c>
      <c r="C73" s="10">
        <v>11</v>
      </c>
      <c r="D73" s="10">
        <v>29</v>
      </c>
      <c r="E73" s="17">
        <v>365</v>
      </c>
      <c r="F73" s="21">
        <v>3.1099999999999999E-2</v>
      </c>
      <c r="G73" s="10">
        <v>1200</v>
      </c>
      <c r="H73" s="13">
        <v>0.02</v>
      </c>
      <c r="I73" s="18">
        <v>10950</v>
      </c>
      <c r="J73" s="20">
        <v>11</v>
      </c>
      <c r="K73" s="19">
        <f t="shared" si="23"/>
        <v>0.47186206896551719</v>
      </c>
      <c r="L73" s="2">
        <f t="shared" si="21"/>
        <v>0.21448275862068966</v>
      </c>
      <c r="M73" s="2">
        <f t="shared" si="24"/>
        <v>0.42896551724137932</v>
      </c>
      <c r="N73" s="2">
        <f t="shared" si="25"/>
        <v>0.64344827586206899</v>
      </c>
      <c r="O73" s="2">
        <f t="shared" si="26"/>
        <v>0.85793103448275865</v>
      </c>
      <c r="P73" s="2">
        <f t="shared" si="27"/>
        <v>1.0724137931034483</v>
      </c>
      <c r="Q73" s="2">
        <f t="shared" si="28"/>
        <v>1.286896551724138</v>
      </c>
      <c r="R73" s="2">
        <f t="shared" si="29"/>
        <v>23.593103448275858</v>
      </c>
      <c r="S73" s="2">
        <f t="shared" si="16"/>
        <v>10.724137931034482</v>
      </c>
      <c r="T73" s="2">
        <f t="shared" si="30"/>
        <v>21.448275862068964</v>
      </c>
      <c r="U73" s="2">
        <f t="shared" si="17"/>
        <v>32.172413793103452</v>
      </c>
      <c r="V73" s="2">
        <f t="shared" si="18"/>
        <v>42.896551724137929</v>
      </c>
      <c r="W73" s="2">
        <f t="shared" si="19"/>
        <v>53.620689655172413</v>
      </c>
      <c r="X73" s="2">
        <f t="shared" si="20"/>
        <v>64.344827586206904</v>
      </c>
      <c r="Y73" s="5" t="str">
        <f t="shared" si="22"/>
        <v>1</v>
      </c>
      <c r="Z73" s="5" t="str">
        <f t="shared" si="22"/>
        <v>1</v>
      </c>
      <c r="AA73" s="5" t="str">
        <f t="shared" si="22"/>
        <v>1</v>
      </c>
      <c r="AB73" s="5" t="str">
        <f t="shared" si="22"/>
        <v>1</v>
      </c>
      <c r="AC73" s="5" t="str">
        <f t="shared" si="22"/>
        <v>1</v>
      </c>
      <c r="AD73" s="5" t="str">
        <f t="shared" si="22"/>
        <v>1</v>
      </c>
      <c r="AE73" s="5" t="str">
        <f t="shared" si="22"/>
        <v>1</v>
      </c>
    </row>
    <row r="74" spans="1:31" ht="14.4" x14ac:dyDescent="0.3">
      <c r="A74" s="14">
        <v>71</v>
      </c>
      <c r="B74" s="15" t="s">
        <v>108</v>
      </c>
      <c r="C74" s="10">
        <v>11</v>
      </c>
      <c r="D74" s="10">
        <v>20</v>
      </c>
      <c r="E74" s="17">
        <v>365</v>
      </c>
      <c r="F74" s="21">
        <v>3.5700000000000003E-2</v>
      </c>
      <c r="G74" s="10">
        <v>900</v>
      </c>
      <c r="H74" s="13">
        <v>0.02</v>
      </c>
      <c r="I74" s="18">
        <v>10950</v>
      </c>
      <c r="J74" s="20">
        <v>1</v>
      </c>
      <c r="K74" s="19">
        <f t="shared" si="23"/>
        <v>5.355E-2</v>
      </c>
      <c r="L74" s="2">
        <f t="shared" si="21"/>
        <v>0.26774999999999999</v>
      </c>
      <c r="M74" s="2">
        <f t="shared" si="24"/>
        <v>0.53549999999999998</v>
      </c>
      <c r="N74" s="2">
        <f t="shared" si="25"/>
        <v>0.80325000000000002</v>
      </c>
      <c r="O74" s="2">
        <f t="shared" si="26"/>
        <v>1.071</v>
      </c>
      <c r="P74" s="2">
        <f t="shared" si="27"/>
        <v>1.3387500000000001</v>
      </c>
      <c r="Q74" s="2">
        <f t="shared" si="28"/>
        <v>1.6065</v>
      </c>
      <c r="R74" s="2">
        <f t="shared" si="29"/>
        <v>2.6774999999999998</v>
      </c>
      <c r="S74" s="2">
        <f t="shared" si="16"/>
        <v>13.387499999999999</v>
      </c>
      <c r="T74" s="2">
        <f t="shared" si="30"/>
        <v>26.774999999999999</v>
      </c>
      <c r="U74" s="2">
        <f t="shared" si="17"/>
        <v>40.162500000000001</v>
      </c>
      <c r="V74" s="2">
        <f t="shared" si="18"/>
        <v>53.55</v>
      </c>
      <c r="W74" s="2">
        <f t="shared" si="19"/>
        <v>66.9375</v>
      </c>
      <c r="X74" s="2">
        <f t="shared" si="20"/>
        <v>80.325000000000003</v>
      </c>
      <c r="Y74" s="5" t="str">
        <f t="shared" si="22"/>
        <v>1</v>
      </c>
      <c r="Z74" s="5" t="str">
        <f t="shared" si="22"/>
        <v>1</v>
      </c>
      <c r="AA74" s="5" t="str">
        <f t="shared" si="22"/>
        <v>1</v>
      </c>
      <c r="AB74" s="5" t="str">
        <f t="shared" si="22"/>
        <v>1</v>
      </c>
      <c r="AC74" s="5" t="str">
        <f t="shared" si="22"/>
        <v>1</v>
      </c>
      <c r="AD74" s="5" t="str">
        <f t="shared" si="22"/>
        <v>1</v>
      </c>
      <c r="AE74" s="5" t="str">
        <f t="shared" si="22"/>
        <v>1</v>
      </c>
    </row>
    <row r="75" spans="1:31" ht="14.4" x14ac:dyDescent="0.3">
      <c r="A75" s="14">
        <v>72</v>
      </c>
      <c r="B75" s="15" t="s">
        <v>172</v>
      </c>
      <c r="C75" s="10">
        <v>11</v>
      </c>
      <c r="D75" s="10">
        <v>26</v>
      </c>
      <c r="E75" s="17">
        <v>365</v>
      </c>
      <c r="F75" s="21">
        <v>3.61E-2</v>
      </c>
      <c r="G75" s="10">
        <v>900</v>
      </c>
      <c r="H75" s="13">
        <v>0.02</v>
      </c>
      <c r="I75" s="18">
        <v>10950</v>
      </c>
      <c r="J75" s="20">
        <v>1</v>
      </c>
      <c r="K75" s="19">
        <f t="shared" si="23"/>
        <v>4.1653846153846152E-2</v>
      </c>
      <c r="L75" s="2">
        <f t="shared" si="21"/>
        <v>0.20826923076923076</v>
      </c>
      <c r="M75" s="2">
        <f t="shared" si="24"/>
        <v>0.41653846153846152</v>
      </c>
      <c r="N75" s="2">
        <f t="shared" si="25"/>
        <v>0.62480769230769229</v>
      </c>
      <c r="O75" s="2">
        <f t="shared" si="26"/>
        <v>0.83307692307692305</v>
      </c>
      <c r="P75" s="2">
        <f t="shared" si="27"/>
        <v>1.0413461538461539</v>
      </c>
      <c r="Q75" s="2">
        <f t="shared" si="28"/>
        <v>1.2496153846153846</v>
      </c>
      <c r="R75" s="2">
        <f t="shared" si="29"/>
        <v>2.0826923076923074</v>
      </c>
      <c r="S75" s="2">
        <f t="shared" si="16"/>
        <v>10.413461538461538</v>
      </c>
      <c r="T75" s="2">
        <f t="shared" si="30"/>
        <v>20.826923076923077</v>
      </c>
      <c r="U75" s="2">
        <f t="shared" si="17"/>
        <v>31.240384615384613</v>
      </c>
      <c r="V75" s="2">
        <f t="shared" si="18"/>
        <v>41.653846153846153</v>
      </c>
      <c r="W75" s="2">
        <f t="shared" si="19"/>
        <v>52.067307692307693</v>
      </c>
      <c r="X75" s="2">
        <f t="shared" si="20"/>
        <v>62.480769230769226</v>
      </c>
      <c r="Y75" s="5" t="str">
        <f t="shared" si="22"/>
        <v>1</v>
      </c>
      <c r="Z75" s="5" t="str">
        <f t="shared" si="22"/>
        <v>1</v>
      </c>
      <c r="AA75" s="5" t="str">
        <f t="shared" si="22"/>
        <v>1</v>
      </c>
      <c r="AB75" s="5" t="str">
        <f t="shared" si="22"/>
        <v>1</v>
      </c>
      <c r="AC75" s="5" t="str">
        <f t="shared" si="22"/>
        <v>1</v>
      </c>
      <c r="AD75" s="5" t="str">
        <f t="shared" si="22"/>
        <v>1</v>
      </c>
      <c r="AE75" s="5" t="str">
        <f t="shared" si="22"/>
        <v>1</v>
      </c>
    </row>
    <row r="76" spans="1:31" ht="14.4" x14ac:dyDescent="0.3">
      <c r="A76" s="14">
        <v>73</v>
      </c>
      <c r="B76" s="15" t="s">
        <v>173</v>
      </c>
      <c r="C76" s="10">
        <v>11</v>
      </c>
      <c r="D76" s="10">
        <v>31</v>
      </c>
      <c r="E76" s="17">
        <v>365</v>
      </c>
      <c r="F76" s="21">
        <v>3.4599999999999999E-2</v>
      </c>
      <c r="G76" s="10">
        <v>1200</v>
      </c>
      <c r="H76" s="13">
        <v>0.02</v>
      </c>
      <c r="I76" s="18">
        <v>10950</v>
      </c>
      <c r="J76" s="20">
        <v>11</v>
      </c>
      <c r="K76" s="19">
        <f t="shared" si="23"/>
        <v>0.49109677419354836</v>
      </c>
      <c r="L76" s="2">
        <f t="shared" si="21"/>
        <v>0.22322580645161291</v>
      </c>
      <c r="M76" s="2">
        <f t="shared" si="24"/>
        <v>0.44645161290322583</v>
      </c>
      <c r="N76" s="2">
        <f t="shared" si="25"/>
        <v>0.66967741935483871</v>
      </c>
      <c r="O76" s="2">
        <f t="shared" si="26"/>
        <v>0.89290322580645165</v>
      </c>
      <c r="P76" s="2">
        <f t="shared" si="27"/>
        <v>1.1161290322580646</v>
      </c>
      <c r="Q76" s="2">
        <f t="shared" si="28"/>
        <v>1.3393548387096774</v>
      </c>
      <c r="R76" s="2">
        <f t="shared" si="29"/>
        <v>24.554838709677416</v>
      </c>
      <c r="S76" s="2">
        <f t="shared" si="16"/>
        <v>11.161290322580646</v>
      </c>
      <c r="T76" s="2">
        <f t="shared" si="30"/>
        <v>22.322580645161292</v>
      </c>
      <c r="U76" s="2">
        <f t="shared" si="17"/>
        <v>33.483870967741936</v>
      </c>
      <c r="V76" s="2">
        <f t="shared" si="18"/>
        <v>44.645161290322584</v>
      </c>
      <c r="W76" s="2">
        <f t="shared" si="19"/>
        <v>55.806451612903231</v>
      </c>
      <c r="X76" s="2">
        <f t="shared" si="20"/>
        <v>66.967741935483872</v>
      </c>
      <c r="Y76" s="5" t="str">
        <f t="shared" si="22"/>
        <v>1</v>
      </c>
      <c r="Z76" s="5" t="str">
        <f t="shared" si="22"/>
        <v>1</v>
      </c>
      <c r="AA76" s="5" t="str">
        <f t="shared" si="22"/>
        <v>1</v>
      </c>
      <c r="AB76" s="5" t="str">
        <f t="shared" si="22"/>
        <v>1</v>
      </c>
      <c r="AC76" s="5" t="str">
        <f t="shared" si="22"/>
        <v>1</v>
      </c>
      <c r="AD76" s="5" t="str">
        <f t="shared" si="22"/>
        <v>1</v>
      </c>
      <c r="AE76" s="5" t="str">
        <f t="shared" si="22"/>
        <v>1</v>
      </c>
    </row>
    <row r="77" spans="1:31" ht="14.4" x14ac:dyDescent="0.3">
      <c r="A77" s="14">
        <v>74</v>
      </c>
      <c r="B77" s="15" t="s">
        <v>174</v>
      </c>
      <c r="C77" s="10">
        <v>11</v>
      </c>
      <c r="D77" s="10">
        <v>28</v>
      </c>
      <c r="E77" s="17">
        <v>365</v>
      </c>
      <c r="F77" s="21">
        <v>3.4599999999999999E-2</v>
      </c>
      <c r="G77" s="10">
        <v>1200</v>
      </c>
      <c r="H77" s="13">
        <v>0.02</v>
      </c>
      <c r="I77" s="18">
        <v>10950</v>
      </c>
      <c r="J77" s="20">
        <v>11</v>
      </c>
      <c r="K77" s="19">
        <f t="shared" si="23"/>
        <v>0.54371428571428571</v>
      </c>
      <c r="L77" s="2">
        <f t="shared" si="21"/>
        <v>0.24714285714285714</v>
      </c>
      <c r="M77" s="2">
        <f t="shared" si="24"/>
        <v>0.49428571428571427</v>
      </c>
      <c r="N77" s="2">
        <f t="shared" si="25"/>
        <v>0.74142857142857144</v>
      </c>
      <c r="O77" s="2">
        <f t="shared" si="26"/>
        <v>0.98857142857142855</v>
      </c>
      <c r="P77" s="2">
        <f t="shared" si="27"/>
        <v>1.2357142857142858</v>
      </c>
      <c r="Q77" s="2">
        <f t="shared" si="28"/>
        <v>1.4828571428571429</v>
      </c>
      <c r="R77" s="2">
        <f t="shared" si="29"/>
        <v>27.185714285714283</v>
      </c>
      <c r="S77" s="2">
        <f t="shared" si="16"/>
        <v>12.357142857142856</v>
      </c>
      <c r="T77" s="2">
        <f t="shared" si="30"/>
        <v>24.714285714285712</v>
      </c>
      <c r="U77" s="2">
        <f t="shared" si="17"/>
        <v>37.071428571428569</v>
      </c>
      <c r="V77" s="2">
        <f t="shared" si="18"/>
        <v>49.428571428571423</v>
      </c>
      <c r="W77" s="2">
        <f t="shared" si="19"/>
        <v>61.785714285714285</v>
      </c>
      <c r="X77" s="2">
        <f t="shared" si="20"/>
        <v>74.142857142857139</v>
      </c>
      <c r="Y77" s="5" t="str">
        <f t="shared" si="22"/>
        <v>1</v>
      </c>
      <c r="Z77" s="5" t="str">
        <f t="shared" si="22"/>
        <v>1</v>
      </c>
      <c r="AA77" s="5" t="str">
        <f t="shared" si="22"/>
        <v>1</v>
      </c>
      <c r="AB77" s="5" t="str">
        <f t="shared" si="22"/>
        <v>1</v>
      </c>
      <c r="AC77" s="5" t="str">
        <f t="shared" si="22"/>
        <v>1</v>
      </c>
      <c r="AD77" s="5" t="str">
        <f t="shared" si="22"/>
        <v>1</v>
      </c>
      <c r="AE77" s="5" t="str">
        <f t="shared" si="22"/>
        <v>1</v>
      </c>
    </row>
    <row r="78" spans="1:31" ht="14.4" x14ac:dyDescent="0.3">
      <c r="A78" s="14">
        <v>75</v>
      </c>
      <c r="B78" s="15" t="s">
        <v>175</v>
      </c>
      <c r="C78" s="10">
        <v>11</v>
      </c>
      <c r="D78" s="10">
        <v>35</v>
      </c>
      <c r="E78" s="17">
        <v>365</v>
      </c>
      <c r="F78" s="21">
        <v>3.4599999999999999E-2</v>
      </c>
      <c r="G78" s="10">
        <v>900</v>
      </c>
      <c r="H78" s="13">
        <v>0.02</v>
      </c>
      <c r="I78" s="18">
        <v>10950</v>
      </c>
      <c r="J78" s="20">
        <v>6</v>
      </c>
      <c r="K78" s="19">
        <f t="shared" si="23"/>
        <v>0.17794285714285715</v>
      </c>
      <c r="L78" s="2">
        <f t="shared" si="21"/>
        <v>0.1482857142857143</v>
      </c>
      <c r="M78" s="2">
        <f t="shared" si="24"/>
        <v>0.2965714285714286</v>
      </c>
      <c r="N78" s="2">
        <f t="shared" si="25"/>
        <v>0.44485714285714284</v>
      </c>
      <c r="O78" s="2">
        <f t="shared" si="26"/>
        <v>0.59314285714285719</v>
      </c>
      <c r="P78" s="2">
        <f t="shared" si="27"/>
        <v>0.74142857142857144</v>
      </c>
      <c r="Q78" s="2">
        <f t="shared" si="28"/>
        <v>0.88971428571428568</v>
      </c>
      <c r="R78" s="2">
        <f t="shared" si="29"/>
        <v>8.8971428571428568</v>
      </c>
      <c r="S78" s="2">
        <f t="shared" si="16"/>
        <v>7.4142857142857146</v>
      </c>
      <c r="T78" s="2">
        <f t="shared" si="30"/>
        <v>14.828571428571429</v>
      </c>
      <c r="U78" s="2">
        <f t="shared" si="17"/>
        <v>22.24285714285714</v>
      </c>
      <c r="V78" s="2">
        <f t="shared" si="18"/>
        <v>29.657142857142858</v>
      </c>
      <c r="W78" s="2">
        <f t="shared" si="19"/>
        <v>37.071428571428569</v>
      </c>
      <c r="X78" s="2">
        <f t="shared" si="20"/>
        <v>44.48571428571428</v>
      </c>
      <c r="Y78" s="5" t="str">
        <f t="shared" si="22"/>
        <v>1</v>
      </c>
      <c r="Z78" s="5" t="str">
        <f t="shared" si="22"/>
        <v>1</v>
      </c>
      <c r="AA78" s="5" t="str">
        <f t="shared" si="22"/>
        <v>1</v>
      </c>
      <c r="AB78" s="5" t="str">
        <f t="shared" si="22"/>
        <v>1</v>
      </c>
      <c r="AC78" s="5" t="str">
        <f t="shared" si="22"/>
        <v>1</v>
      </c>
      <c r="AD78" s="5" t="str">
        <f t="shared" si="22"/>
        <v>1</v>
      </c>
      <c r="AE78" s="5" t="str">
        <f t="shared" si="22"/>
        <v>1</v>
      </c>
    </row>
    <row r="79" spans="1:31" ht="14.4" x14ac:dyDescent="0.3">
      <c r="A79" s="14">
        <v>76</v>
      </c>
      <c r="B79" s="15" t="s">
        <v>176</v>
      </c>
      <c r="C79" s="10">
        <v>11</v>
      </c>
      <c r="D79" s="10">
        <v>31</v>
      </c>
      <c r="E79" s="17">
        <v>365</v>
      </c>
      <c r="F79" s="21">
        <v>3.3099999999999997E-2</v>
      </c>
      <c r="G79" s="10">
        <v>1200</v>
      </c>
      <c r="H79" s="13">
        <v>0.02</v>
      </c>
      <c r="I79" s="18">
        <v>10950</v>
      </c>
      <c r="J79" s="20">
        <v>11</v>
      </c>
      <c r="K79" s="19">
        <f t="shared" si="23"/>
        <v>0.46980645161290319</v>
      </c>
      <c r="L79" s="2">
        <f t="shared" si="21"/>
        <v>0.21354838709677421</v>
      </c>
      <c r="M79" s="2">
        <f t="shared" si="24"/>
        <v>0.42709677419354841</v>
      </c>
      <c r="N79" s="2">
        <f t="shared" si="25"/>
        <v>0.64064516129032256</v>
      </c>
      <c r="O79" s="2">
        <f t="shared" si="26"/>
        <v>0.85419354838709682</v>
      </c>
      <c r="P79" s="2">
        <f t="shared" si="27"/>
        <v>1.0677419354838709</v>
      </c>
      <c r="Q79" s="2">
        <f t="shared" si="28"/>
        <v>1.2812903225806451</v>
      </c>
      <c r="R79" s="2">
        <f t="shared" si="29"/>
        <v>23.490322580645159</v>
      </c>
      <c r="S79" s="2">
        <f t="shared" si="16"/>
        <v>10.67741935483871</v>
      </c>
      <c r="T79" s="2">
        <f t="shared" si="30"/>
        <v>21.35483870967742</v>
      </c>
      <c r="U79" s="2">
        <f t="shared" si="17"/>
        <v>32.032258064516128</v>
      </c>
      <c r="V79" s="2">
        <f t="shared" si="18"/>
        <v>42.70967741935484</v>
      </c>
      <c r="W79" s="2">
        <f t="shared" si="19"/>
        <v>53.387096774193544</v>
      </c>
      <c r="X79" s="2">
        <f t="shared" si="20"/>
        <v>64.064516129032256</v>
      </c>
      <c r="Y79" s="5" t="str">
        <f t="shared" si="22"/>
        <v>1</v>
      </c>
      <c r="Z79" s="5" t="str">
        <f t="shared" si="22"/>
        <v>1</v>
      </c>
      <c r="AA79" s="5" t="str">
        <f t="shared" si="22"/>
        <v>1</v>
      </c>
      <c r="AB79" s="5" t="str">
        <f t="shared" si="22"/>
        <v>1</v>
      </c>
      <c r="AC79" s="5" t="str">
        <f t="shared" si="22"/>
        <v>1</v>
      </c>
      <c r="AD79" s="5" t="str">
        <f t="shared" si="22"/>
        <v>1</v>
      </c>
      <c r="AE79" s="5" t="str">
        <f t="shared" si="22"/>
        <v>1</v>
      </c>
    </row>
    <row r="80" spans="1:31" ht="14.4" x14ac:dyDescent="0.3">
      <c r="A80" s="14">
        <v>77</v>
      </c>
      <c r="B80" s="15" t="s">
        <v>177</v>
      </c>
      <c r="C80" s="10">
        <v>11</v>
      </c>
      <c r="D80" s="10">
        <v>20</v>
      </c>
      <c r="E80" s="17">
        <v>365</v>
      </c>
      <c r="F80" s="21">
        <v>4.99E-2</v>
      </c>
      <c r="G80" s="10">
        <v>900</v>
      </c>
      <c r="H80" s="13">
        <v>0.02</v>
      </c>
      <c r="I80" s="18">
        <v>10950</v>
      </c>
      <c r="J80" s="20">
        <v>1</v>
      </c>
      <c r="K80" s="19">
        <f t="shared" si="23"/>
        <v>7.4849999999999986E-2</v>
      </c>
      <c r="L80" s="2">
        <f t="shared" si="21"/>
        <v>0.37424999999999992</v>
      </c>
      <c r="M80" s="2">
        <f t="shared" si="24"/>
        <v>0.74849999999999983</v>
      </c>
      <c r="N80" s="2">
        <f t="shared" si="25"/>
        <v>1.1227499999999999</v>
      </c>
      <c r="O80" s="2">
        <f t="shared" si="26"/>
        <v>1.4969999999999997</v>
      </c>
      <c r="P80" s="2">
        <f t="shared" si="27"/>
        <v>1.8712499999999996</v>
      </c>
      <c r="Q80" s="2">
        <f t="shared" si="28"/>
        <v>2.2454999999999998</v>
      </c>
      <c r="R80" s="2">
        <f t="shared" si="29"/>
        <v>3.7424999999999993</v>
      </c>
      <c r="S80" s="2">
        <f t="shared" si="16"/>
        <v>18.712499999999995</v>
      </c>
      <c r="T80" s="2">
        <f t="shared" si="30"/>
        <v>37.42499999999999</v>
      </c>
      <c r="U80" s="2">
        <f t="shared" si="17"/>
        <v>56.137499999999996</v>
      </c>
      <c r="V80" s="2">
        <f t="shared" si="18"/>
        <v>74.84999999999998</v>
      </c>
      <c r="W80" s="2">
        <f t="shared" si="19"/>
        <v>93.562499999999986</v>
      </c>
      <c r="X80" s="2">
        <f t="shared" si="20"/>
        <v>112.27499999999999</v>
      </c>
      <c r="Y80" s="5" t="str">
        <f t="shared" si="22"/>
        <v>1</v>
      </c>
      <c r="Z80" s="5" t="str">
        <f t="shared" si="22"/>
        <v>1</v>
      </c>
      <c r="AA80" s="5" t="str">
        <f t="shared" si="22"/>
        <v>1</v>
      </c>
      <c r="AB80" s="5" t="str">
        <f t="shared" si="22"/>
        <v>1</v>
      </c>
      <c r="AC80" s="5" t="str">
        <f t="shared" si="22"/>
        <v>1</v>
      </c>
      <c r="AD80" s="5" t="str">
        <f t="shared" si="22"/>
        <v>1</v>
      </c>
      <c r="AE80" s="5" t="str">
        <f t="shared" si="22"/>
        <v>1</v>
      </c>
    </row>
    <row r="81" spans="1:31" ht="14.4" x14ac:dyDescent="0.3">
      <c r="A81" s="14">
        <v>78</v>
      </c>
      <c r="B81" s="15" t="s">
        <v>178</v>
      </c>
      <c r="C81" s="10">
        <v>11</v>
      </c>
      <c r="D81" s="10">
        <v>33</v>
      </c>
      <c r="E81" s="17">
        <v>365</v>
      </c>
      <c r="F81" s="21">
        <v>3.8399999999999997E-2</v>
      </c>
      <c r="G81" s="10">
        <v>900</v>
      </c>
      <c r="H81" s="13">
        <v>0.02</v>
      </c>
      <c r="I81" s="18">
        <v>10950</v>
      </c>
      <c r="J81" s="20">
        <v>11</v>
      </c>
      <c r="K81" s="19">
        <f t="shared" si="23"/>
        <v>0.3839999999999999</v>
      </c>
      <c r="L81" s="2">
        <f t="shared" si="21"/>
        <v>0.1745454545454545</v>
      </c>
      <c r="M81" s="2">
        <f t="shared" si="24"/>
        <v>0.34909090909090901</v>
      </c>
      <c r="N81" s="2">
        <f t="shared" si="25"/>
        <v>0.52363636363636357</v>
      </c>
      <c r="O81" s="2">
        <f t="shared" si="26"/>
        <v>0.69818181818181801</v>
      </c>
      <c r="P81" s="2">
        <f t="shared" si="27"/>
        <v>0.87272727272727257</v>
      </c>
      <c r="Q81" s="2">
        <f t="shared" si="28"/>
        <v>1.0472727272727271</v>
      </c>
      <c r="R81" s="2">
        <f t="shared" si="29"/>
        <v>19.199999999999996</v>
      </c>
      <c r="S81" s="2">
        <f t="shared" si="16"/>
        <v>8.7272727272727249</v>
      </c>
      <c r="T81" s="2">
        <f t="shared" si="30"/>
        <v>17.45454545454545</v>
      </c>
      <c r="U81" s="2">
        <f t="shared" si="17"/>
        <v>26.181818181818176</v>
      </c>
      <c r="V81" s="2">
        <f t="shared" si="18"/>
        <v>34.909090909090899</v>
      </c>
      <c r="W81" s="2">
        <f t="shared" si="19"/>
        <v>43.636363636363626</v>
      </c>
      <c r="X81" s="2">
        <f t="shared" si="20"/>
        <v>52.363636363636353</v>
      </c>
      <c r="Y81" s="5" t="str">
        <f t="shared" si="22"/>
        <v>1</v>
      </c>
      <c r="Z81" s="5" t="str">
        <f t="shared" si="22"/>
        <v>1</v>
      </c>
      <c r="AA81" s="5" t="str">
        <f t="shared" si="22"/>
        <v>1</v>
      </c>
      <c r="AB81" s="5" t="str">
        <f t="shared" si="22"/>
        <v>1</v>
      </c>
      <c r="AC81" s="5" t="str">
        <f t="shared" si="22"/>
        <v>1</v>
      </c>
      <c r="AD81" s="5" t="str">
        <f t="shared" si="22"/>
        <v>1</v>
      </c>
      <c r="AE81" s="5" t="str">
        <f t="shared" si="22"/>
        <v>1</v>
      </c>
    </row>
    <row r="82" spans="1:31" ht="14.4" x14ac:dyDescent="0.3">
      <c r="A82" s="14">
        <v>79</v>
      </c>
      <c r="B82" s="15" t="s">
        <v>179</v>
      </c>
      <c r="C82" s="10">
        <v>11</v>
      </c>
      <c r="D82" s="10">
        <v>32</v>
      </c>
      <c r="E82" s="17">
        <v>365</v>
      </c>
      <c r="F82" s="21">
        <v>3.9100000000000003E-2</v>
      </c>
      <c r="G82" s="10">
        <v>900</v>
      </c>
      <c r="H82" s="13">
        <v>0.02</v>
      </c>
      <c r="I82" s="18">
        <v>10950</v>
      </c>
      <c r="J82" s="20">
        <v>11</v>
      </c>
      <c r="K82" s="19">
        <f t="shared" si="23"/>
        <v>0.40321875000000013</v>
      </c>
      <c r="L82" s="2">
        <f t="shared" si="21"/>
        <v>0.18328125000000003</v>
      </c>
      <c r="M82" s="2">
        <f t="shared" si="24"/>
        <v>0.36656250000000007</v>
      </c>
      <c r="N82" s="2">
        <f t="shared" si="25"/>
        <v>0.54984375000000008</v>
      </c>
      <c r="O82" s="2">
        <f t="shared" si="26"/>
        <v>0.73312500000000014</v>
      </c>
      <c r="P82" s="2">
        <f t="shared" si="27"/>
        <v>0.9164062500000002</v>
      </c>
      <c r="Q82" s="2">
        <f t="shared" si="28"/>
        <v>1.0996875000000002</v>
      </c>
      <c r="R82" s="2">
        <f t="shared" si="29"/>
        <v>20.160937500000006</v>
      </c>
      <c r="S82" s="2">
        <f t="shared" si="16"/>
        <v>9.1640625000000018</v>
      </c>
      <c r="T82" s="2">
        <f t="shared" si="30"/>
        <v>18.328125000000004</v>
      </c>
      <c r="U82" s="2">
        <f t="shared" si="17"/>
        <v>27.492187500000004</v>
      </c>
      <c r="V82" s="2">
        <f t="shared" si="18"/>
        <v>36.656250000000007</v>
      </c>
      <c r="W82" s="2">
        <f t="shared" si="19"/>
        <v>45.820312500000007</v>
      </c>
      <c r="X82" s="2">
        <f t="shared" si="20"/>
        <v>54.984375000000007</v>
      </c>
      <c r="Y82" s="5" t="str">
        <f t="shared" si="22"/>
        <v>1</v>
      </c>
      <c r="Z82" s="5" t="str">
        <f t="shared" si="22"/>
        <v>1</v>
      </c>
      <c r="AA82" s="5" t="str">
        <f t="shared" si="22"/>
        <v>1</v>
      </c>
      <c r="AB82" s="5" t="str">
        <f t="shared" si="22"/>
        <v>1</v>
      </c>
      <c r="AC82" s="5" t="str">
        <f t="shared" si="22"/>
        <v>1</v>
      </c>
      <c r="AD82" s="5" t="str">
        <f t="shared" si="22"/>
        <v>1</v>
      </c>
      <c r="AE82" s="5" t="str">
        <f t="shared" si="22"/>
        <v>1</v>
      </c>
    </row>
    <row r="83" spans="1:31" ht="14.4" x14ac:dyDescent="0.3">
      <c r="A83" s="14">
        <v>80</v>
      </c>
      <c r="B83" s="15" t="s">
        <v>167</v>
      </c>
      <c r="C83" s="10">
        <v>11</v>
      </c>
      <c r="D83" s="10">
        <v>23</v>
      </c>
      <c r="E83" s="17">
        <v>365</v>
      </c>
      <c r="F83" s="21">
        <v>4.1200000000000001E-2</v>
      </c>
      <c r="G83" s="10">
        <v>900</v>
      </c>
      <c r="H83" s="13">
        <v>0.02</v>
      </c>
      <c r="I83" s="18">
        <v>10950</v>
      </c>
      <c r="J83" s="20">
        <v>11</v>
      </c>
      <c r="K83" s="19">
        <f t="shared" si="23"/>
        <v>0.59113043478260863</v>
      </c>
      <c r="L83" s="2">
        <f t="shared" si="21"/>
        <v>0.26869565217391306</v>
      </c>
      <c r="M83" s="2">
        <f t="shared" si="24"/>
        <v>0.53739130434782612</v>
      </c>
      <c r="N83" s="2">
        <f t="shared" si="25"/>
        <v>0.80608695652173901</v>
      </c>
      <c r="O83" s="2">
        <f t="shared" si="26"/>
        <v>1.0747826086956522</v>
      </c>
      <c r="P83" s="2">
        <f t="shared" si="27"/>
        <v>1.3434782608695652</v>
      </c>
      <c r="Q83" s="2">
        <f t="shared" si="28"/>
        <v>1.612173913043478</v>
      </c>
      <c r="R83" s="2">
        <f t="shared" si="29"/>
        <v>29.556521739130432</v>
      </c>
      <c r="S83" s="2">
        <f t="shared" si="16"/>
        <v>13.434782608695652</v>
      </c>
      <c r="T83" s="2">
        <f t="shared" si="30"/>
        <v>26.869565217391305</v>
      </c>
      <c r="U83" s="2">
        <f t="shared" si="17"/>
        <v>40.304347826086946</v>
      </c>
      <c r="V83" s="2">
        <f t="shared" si="18"/>
        <v>53.739130434782609</v>
      </c>
      <c r="W83" s="2">
        <f t="shared" si="19"/>
        <v>67.173913043478265</v>
      </c>
      <c r="X83" s="2">
        <f t="shared" si="20"/>
        <v>80.608695652173893</v>
      </c>
      <c r="Y83" s="5" t="str">
        <f t="shared" si="22"/>
        <v>1</v>
      </c>
      <c r="Z83" s="5" t="str">
        <f t="shared" si="22"/>
        <v>1</v>
      </c>
      <c r="AA83" s="5" t="str">
        <f t="shared" si="22"/>
        <v>1</v>
      </c>
      <c r="AB83" s="5" t="str">
        <f t="shared" si="22"/>
        <v>1</v>
      </c>
      <c r="AC83" s="5" t="str">
        <f t="shared" si="22"/>
        <v>1</v>
      </c>
      <c r="AD83" s="5" t="str">
        <f t="shared" si="22"/>
        <v>1</v>
      </c>
      <c r="AE83" s="5" t="str">
        <f t="shared" si="22"/>
        <v>1</v>
      </c>
    </row>
    <row r="84" spans="1:31" ht="14.4" x14ac:dyDescent="0.3">
      <c r="A84" s="14">
        <v>81</v>
      </c>
      <c r="B84" s="15" t="s">
        <v>180</v>
      </c>
      <c r="C84" s="10">
        <v>11</v>
      </c>
      <c r="D84" s="10">
        <v>34</v>
      </c>
      <c r="E84" s="17">
        <v>365</v>
      </c>
      <c r="F84" s="21">
        <v>4.1200000000000001E-2</v>
      </c>
      <c r="G84" s="10">
        <v>1200</v>
      </c>
      <c r="H84" s="13">
        <v>0.02</v>
      </c>
      <c r="I84" s="18">
        <v>10950</v>
      </c>
      <c r="J84" s="20">
        <v>11</v>
      </c>
      <c r="K84" s="19">
        <f t="shared" si="23"/>
        <v>0.53317647058823525</v>
      </c>
      <c r="L84" s="2">
        <f t="shared" si="21"/>
        <v>0.24235294117647058</v>
      </c>
      <c r="M84" s="2">
        <f t="shared" si="24"/>
        <v>0.48470588235294115</v>
      </c>
      <c r="N84" s="2">
        <f t="shared" si="25"/>
        <v>0.72705882352941176</v>
      </c>
      <c r="O84" s="2">
        <f t="shared" si="26"/>
        <v>0.96941176470588231</v>
      </c>
      <c r="P84" s="2">
        <f t="shared" si="27"/>
        <v>1.2117647058823529</v>
      </c>
      <c r="Q84" s="2">
        <f t="shared" si="28"/>
        <v>1.4541176470588235</v>
      </c>
      <c r="R84" s="2">
        <f t="shared" si="29"/>
        <v>26.658823529411762</v>
      </c>
      <c r="S84" s="2">
        <f t="shared" si="16"/>
        <v>12.117647058823529</v>
      </c>
      <c r="T84" s="2">
        <f t="shared" si="30"/>
        <v>24.235294117647058</v>
      </c>
      <c r="U84" s="2">
        <f t="shared" si="17"/>
        <v>36.352941176470587</v>
      </c>
      <c r="V84" s="2">
        <f t="shared" si="18"/>
        <v>48.470588235294116</v>
      </c>
      <c r="W84" s="2">
        <f t="shared" si="19"/>
        <v>60.588235294117645</v>
      </c>
      <c r="X84" s="2">
        <f t="shared" si="20"/>
        <v>72.705882352941174</v>
      </c>
      <c r="Y84" s="5" t="str">
        <f t="shared" si="22"/>
        <v>1</v>
      </c>
      <c r="Z84" s="5" t="str">
        <f t="shared" si="22"/>
        <v>1</v>
      </c>
      <c r="AA84" s="5" t="str">
        <f t="shared" si="22"/>
        <v>1</v>
      </c>
      <c r="AB84" s="5" t="str">
        <f t="shared" si="22"/>
        <v>1</v>
      </c>
      <c r="AC84" s="5" t="str">
        <f t="shared" si="22"/>
        <v>1</v>
      </c>
      <c r="AD84" s="5" t="str">
        <f t="shared" si="22"/>
        <v>1</v>
      </c>
      <c r="AE84" s="5" t="str">
        <f t="shared" si="22"/>
        <v>1</v>
      </c>
    </row>
    <row r="85" spans="1:31" ht="14.4" x14ac:dyDescent="0.3">
      <c r="A85" s="14">
        <v>82</v>
      </c>
      <c r="B85" s="15" t="s">
        <v>181</v>
      </c>
      <c r="C85" s="10">
        <v>11</v>
      </c>
      <c r="D85" s="10">
        <v>32</v>
      </c>
      <c r="E85" s="17">
        <v>365</v>
      </c>
      <c r="F85" s="21">
        <v>5.4199999999999998E-2</v>
      </c>
      <c r="G85" s="10">
        <v>900</v>
      </c>
      <c r="H85" s="13">
        <v>0.02</v>
      </c>
      <c r="I85" s="18">
        <v>10950</v>
      </c>
      <c r="J85" s="20">
        <v>11</v>
      </c>
      <c r="K85" s="19">
        <f t="shared" si="23"/>
        <v>0.55893750000000009</v>
      </c>
      <c r="L85" s="2">
        <f t="shared" si="21"/>
        <v>0.25406250000000002</v>
      </c>
      <c r="M85" s="2">
        <f t="shared" si="24"/>
        <v>0.50812500000000005</v>
      </c>
      <c r="N85" s="2">
        <f t="shared" si="25"/>
        <v>0.76218750000000002</v>
      </c>
      <c r="O85" s="2">
        <f t="shared" si="26"/>
        <v>1.0162500000000001</v>
      </c>
      <c r="P85" s="2">
        <f t="shared" si="27"/>
        <v>1.2703125</v>
      </c>
      <c r="Q85" s="2">
        <f t="shared" si="28"/>
        <v>1.524375</v>
      </c>
      <c r="R85" s="2">
        <f t="shared" si="29"/>
        <v>27.946875000000002</v>
      </c>
      <c r="S85" s="2">
        <f t="shared" si="16"/>
        <v>12.703125000000002</v>
      </c>
      <c r="T85" s="2">
        <f t="shared" si="30"/>
        <v>25.406250000000004</v>
      </c>
      <c r="U85" s="2">
        <f t="shared" si="17"/>
        <v>38.109375</v>
      </c>
      <c r="V85" s="2">
        <f t="shared" si="18"/>
        <v>50.812500000000007</v>
      </c>
      <c r="W85" s="2">
        <f t="shared" si="19"/>
        <v>63.515625</v>
      </c>
      <c r="X85" s="2">
        <f t="shared" si="20"/>
        <v>76.21875</v>
      </c>
      <c r="Y85" s="5" t="str">
        <f t="shared" si="22"/>
        <v>1</v>
      </c>
      <c r="Z85" s="5" t="str">
        <f t="shared" si="22"/>
        <v>1</v>
      </c>
      <c r="AA85" s="5" t="str">
        <f t="shared" si="22"/>
        <v>1</v>
      </c>
      <c r="AB85" s="5" t="str">
        <f t="shared" si="22"/>
        <v>1</v>
      </c>
      <c r="AC85" s="5" t="str">
        <f t="shared" si="22"/>
        <v>1</v>
      </c>
      <c r="AD85" s="5" t="str">
        <f t="shared" si="22"/>
        <v>1</v>
      </c>
      <c r="AE85" s="5" t="str">
        <f t="shared" si="22"/>
        <v>1</v>
      </c>
    </row>
    <row r="86" spans="1:31" ht="14.4" x14ac:dyDescent="0.3">
      <c r="A86" s="14">
        <v>83</v>
      </c>
      <c r="B86" s="15" t="s">
        <v>182</v>
      </c>
      <c r="C86" s="10">
        <v>11</v>
      </c>
      <c r="D86" s="10">
        <v>35</v>
      </c>
      <c r="E86" s="17">
        <v>365</v>
      </c>
      <c r="F86" s="21">
        <v>6.2899999999999998E-2</v>
      </c>
      <c r="G86" s="10">
        <v>900</v>
      </c>
      <c r="H86" s="13">
        <v>0.02</v>
      </c>
      <c r="I86" s="18">
        <v>10950</v>
      </c>
      <c r="J86" s="20">
        <v>6</v>
      </c>
      <c r="K86" s="19">
        <f t="shared" si="23"/>
        <v>0.32348571428571432</v>
      </c>
      <c r="L86" s="2">
        <f t="shared" si="21"/>
        <v>0.26957142857142857</v>
      </c>
      <c r="M86" s="2">
        <f t="shared" si="24"/>
        <v>0.53914285714285715</v>
      </c>
      <c r="N86" s="2">
        <f t="shared" si="25"/>
        <v>0.80871428571428572</v>
      </c>
      <c r="O86" s="2">
        <f t="shared" si="26"/>
        <v>1.0782857142857143</v>
      </c>
      <c r="P86" s="2">
        <f t="shared" si="27"/>
        <v>1.3478571428571431</v>
      </c>
      <c r="Q86" s="2">
        <f t="shared" si="28"/>
        <v>1.6174285714285714</v>
      </c>
      <c r="R86" s="2">
        <f t="shared" si="29"/>
        <v>16.174285714285716</v>
      </c>
      <c r="S86" s="2">
        <f t="shared" si="16"/>
        <v>13.478571428571428</v>
      </c>
      <c r="T86" s="2">
        <f t="shared" si="30"/>
        <v>26.957142857142856</v>
      </c>
      <c r="U86" s="2">
        <f t="shared" si="17"/>
        <v>40.435714285714283</v>
      </c>
      <c r="V86" s="2">
        <f t="shared" si="18"/>
        <v>53.914285714285711</v>
      </c>
      <c r="W86" s="2">
        <f t="shared" si="19"/>
        <v>67.392857142857153</v>
      </c>
      <c r="X86" s="2">
        <f t="shared" si="20"/>
        <v>80.871428571428567</v>
      </c>
      <c r="Y86" s="5" t="str">
        <f t="shared" si="22"/>
        <v>1</v>
      </c>
      <c r="Z86" s="5" t="str">
        <f t="shared" si="22"/>
        <v>1</v>
      </c>
      <c r="AA86" s="5" t="str">
        <f t="shared" si="22"/>
        <v>1</v>
      </c>
      <c r="AB86" s="5" t="str">
        <f t="shared" si="22"/>
        <v>1</v>
      </c>
      <c r="AC86" s="5" t="str">
        <f t="shared" si="22"/>
        <v>1</v>
      </c>
      <c r="AD86" s="5" t="str">
        <f t="shared" si="22"/>
        <v>1</v>
      </c>
      <c r="AE86" s="5" t="str">
        <f t="shared" si="22"/>
        <v>1</v>
      </c>
    </row>
    <row r="87" spans="1:31" ht="14.4" x14ac:dyDescent="0.3">
      <c r="A87" s="14">
        <v>84</v>
      </c>
      <c r="B87" s="15" t="s">
        <v>183</v>
      </c>
      <c r="C87" s="10">
        <v>12</v>
      </c>
      <c r="D87" s="10">
        <v>28</v>
      </c>
      <c r="E87" s="17">
        <v>365</v>
      </c>
      <c r="F87" s="21">
        <v>1.7100000000000001E-2</v>
      </c>
      <c r="G87" s="10">
        <v>900</v>
      </c>
      <c r="H87" s="13">
        <v>0.02</v>
      </c>
      <c r="I87" s="18">
        <v>10950</v>
      </c>
      <c r="J87" s="20">
        <v>12</v>
      </c>
      <c r="K87" s="19">
        <f t="shared" si="23"/>
        <v>0.21985714285714289</v>
      </c>
      <c r="L87" s="2">
        <f t="shared" si="21"/>
        <v>9.1607142857142859E-2</v>
      </c>
      <c r="M87" s="2">
        <f t="shared" si="24"/>
        <v>0.18321428571428572</v>
      </c>
      <c r="N87" s="2">
        <f t="shared" si="25"/>
        <v>0.27482142857142855</v>
      </c>
      <c r="O87" s="2">
        <f t="shared" si="26"/>
        <v>0.36642857142857144</v>
      </c>
      <c r="P87" s="2">
        <f t="shared" si="27"/>
        <v>0.45803571428571427</v>
      </c>
      <c r="Q87" s="2">
        <f t="shared" si="28"/>
        <v>0.5496428571428571</v>
      </c>
      <c r="R87" s="2">
        <f t="shared" si="29"/>
        <v>10.992857142857144</v>
      </c>
      <c r="S87" s="2">
        <f t="shared" si="16"/>
        <v>4.5803571428571432</v>
      </c>
      <c r="T87" s="2">
        <f t="shared" si="30"/>
        <v>9.1607142857142865</v>
      </c>
      <c r="U87" s="2">
        <f t="shared" si="17"/>
        <v>13.741071428571427</v>
      </c>
      <c r="V87" s="2">
        <f t="shared" si="18"/>
        <v>18.321428571428573</v>
      </c>
      <c r="W87" s="2">
        <f t="shared" si="19"/>
        <v>22.901785714285712</v>
      </c>
      <c r="X87" s="2">
        <f t="shared" si="20"/>
        <v>27.482142857142854</v>
      </c>
      <c r="Y87" s="5" t="str">
        <f t="shared" si="22"/>
        <v>1</v>
      </c>
      <c r="Z87" s="5" t="str">
        <f t="shared" si="22"/>
        <v>1</v>
      </c>
      <c r="AA87" s="5" t="str">
        <f t="shared" si="22"/>
        <v>1</v>
      </c>
      <c r="AB87" s="5" t="str">
        <f t="shared" si="22"/>
        <v>1</v>
      </c>
      <c r="AC87" s="5" t="str">
        <f t="shared" si="22"/>
        <v>1</v>
      </c>
      <c r="AD87" s="5" t="str">
        <f t="shared" si="22"/>
        <v>1</v>
      </c>
      <c r="AE87" s="5" t="str">
        <f t="shared" si="22"/>
        <v>1</v>
      </c>
    </row>
    <row r="88" spans="1:31" ht="14.4" x14ac:dyDescent="0.3">
      <c r="A88" s="14">
        <v>85</v>
      </c>
      <c r="B88" s="15" t="s">
        <v>184</v>
      </c>
      <c r="C88" s="10">
        <v>12</v>
      </c>
      <c r="D88" s="10">
        <v>28</v>
      </c>
      <c r="E88" s="17">
        <v>365</v>
      </c>
      <c r="F88" s="21">
        <v>1.7100000000000001E-2</v>
      </c>
      <c r="G88" s="10">
        <v>900</v>
      </c>
      <c r="H88" s="13">
        <v>0.02</v>
      </c>
      <c r="I88" s="18">
        <v>10950</v>
      </c>
      <c r="J88" s="20">
        <v>12</v>
      </c>
      <c r="K88" s="19">
        <f t="shared" si="23"/>
        <v>0.21985714285714289</v>
      </c>
      <c r="L88" s="2">
        <f t="shared" si="21"/>
        <v>9.1607142857142859E-2</v>
      </c>
      <c r="M88" s="2">
        <f t="shared" si="24"/>
        <v>0.18321428571428572</v>
      </c>
      <c r="N88" s="2">
        <f t="shared" si="25"/>
        <v>0.27482142857142855</v>
      </c>
      <c r="O88" s="2">
        <f t="shared" si="26"/>
        <v>0.36642857142857144</v>
      </c>
      <c r="P88" s="2">
        <f t="shared" si="27"/>
        <v>0.45803571428571427</v>
      </c>
      <c r="Q88" s="2">
        <f t="shared" si="28"/>
        <v>0.5496428571428571</v>
      </c>
      <c r="R88" s="2">
        <f t="shared" si="29"/>
        <v>10.992857142857144</v>
      </c>
      <c r="S88" s="2">
        <f t="shared" si="16"/>
        <v>4.5803571428571432</v>
      </c>
      <c r="T88" s="2">
        <f t="shared" si="30"/>
        <v>9.1607142857142865</v>
      </c>
      <c r="U88" s="2">
        <f t="shared" si="17"/>
        <v>13.741071428571427</v>
      </c>
      <c r="V88" s="2">
        <f t="shared" si="18"/>
        <v>18.321428571428573</v>
      </c>
      <c r="W88" s="2">
        <f t="shared" si="19"/>
        <v>22.901785714285712</v>
      </c>
      <c r="X88" s="2">
        <f t="shared" si="20"/>
        <v>27.482142857142854</v>
      </c>
      <c r="Y88" s="5" t="str">
        <f t="shared" si="22"/>
        <v>1</v>
      </c>
      <c r="Z88" s="5" t="str">
        <f t="shared" si="22"/>
        <v>1</v>
      </c>
      <c r="AA88" s="5" t="str">
        <f t="shared" si="22"/>
        <v>1</v>
      </c>
      <c r="AB88" s="5" t="str">
        <f t="shared" si="22"/>
        <v>1</v>
      </c>
      <c r="AC88" s="5" t="str">
        <f t="shared" si="22"/>
        <v>1</v>
      </c>
      <c r="AD88" s="5" t="str">
        <f t="shared" si="22"/>
        <v>1</v>
      </c>
      <c r="AE88" s="5" t="str">
        <f t="shared" si="22"/>
        <v>1</v>
      </c>
    </row>
    <row r="89" spans="1:31" ht="14.4" x14ac:dyDescent="0.3">
      <c r="A89" s="14">
        <v>86</v>
      </c>
      <c r="B89" s="15" t="s">
        <v>185</v>
      </c>
      <c r="C89" s="10">
        <v>12</v>
      </c>
      <c r="D89" s="10">
        <v>40</v>
      </c>
      <c r="E89" s="17">
        <v>365</v>
      </c>
      <c r="F89" s="21">
        <v>1.7100000000000001E-2</v>
      </c>
      <c r="G89" s="10">
        <v>1800</v>
      </c>
      <c r="H89" s="13">
        <v>0.02</v>
      </c>
      <c r="I89" s="18">
        <v>10950</v>
      </c>
      <c r="J89" s="20">
        <v>5</v>
      </c>
      <c r="K89" s="19">
        <f t="shared" si="23"/>
        <v>0.12825</v>
      </c>
      <c r="L89" s="2">
        <f t="shared" si="21"/>
        <v>0.12825</v>
      </c>
      <c r="M89" s="2">
        <f t="shared" si="24"/>
        <v>0.25650000000000001</v>
      </c>
      <c r="N89" s="2">
        <f t="shared" si="25"/>
        <v>0.38474999999999998</v>
      </c>
      <c r="O89" s="2">
        <f t="shared" si="26"/>
        <v>0.51300000000000001</v>
      </c>
      <c r="P89" s="2">
        <f t="shared" si="27"/>
        <v>0.64124999999999999</v>
      </c>
      <c r="Q89" s="2">
        <f t="shared" si="28"/>
        <v>0.76949999999999996</v>
      </c>
      <c r="R89" s="2">
        <f t="shared" si="29"/>
        <v>6.4124999999999996</v>
      </c>
      <c r="S89" s="2">
        <f t="shared" si="16"/>
        <v>6.4124999999999996</v>
      </c>
      <c r="T89" s="2">
        <f t="shared" si="30"/>
        <v>12.824999999999999</v>
      </c>
      <c r="U89" s="2">
        <f t="shared" si="17"/>
        <v>19.237499999999997</v>
      </c>
      <c r="V89" s="2">
        <f t="shared" si="18"/>
        <v>25.65</v>
      </c>
      <c r="W89" s="2">
        <f t="shared" si="19"/>
        <v>32.0625</v>
      </c>
      <c r="X89" s="2">
        <f t="shared" si="20"/>
        <v>38.474999999999994</v>
      </c>
      <c r="Y89" s="5" t="str">
        <f t="shared" si="22"/>
        <v>1</v>
      </c>
      <c r="Z89" s="5" t="str">
        <f t="shared" si="22"/>
        <v>1</v>
      </c>
      <c r="AA89" s="5" t="str">
        <f t="shared" si="22"/>
        <v>1</v>
      </c>
      <c r="AB89" s="5" t="str">
        <f t="shared" si="22"/>
        <v>1</v>
      </c>
      <c r="AC89" s="5" t="str">
        <f t="shared" si="22"/>
        <v>1</v>
      </c>
      <c r="AD89" s="5" t="str">
        <f t="shared" si="22"/>
        <v>1</v>
      </c>
      <c r="AE89" s="5" t="str">
        <f t="shared" si="22"/>
        <v>1</v>
      </c>
    </row>
    <row r="90" spans="1:31" ht="14.4" x14ac:dyDescent="0.3">
      <c r="A90" s="14">
        <v>87</v>
      </c>
      <c r="B90" s="15" t="s">
        <v>186</v>
      </c>
      <c r="C90" s="10">
        <v>12</v>
      </c>
      <c r="D90" s="10">
        <v>23</v>
      </c>
      <c r="E90" s="17">
        <v>365</v>
      </c>
      <c r="F90" s="21">
        <v>4.1999999999999997E-3</v>
      </c>
      <c r="G90" s="10">
        <v>900</v>
      </c>
      <c r="H90" s="13">
        <v>0.02</v>
      </c>
      <c r="I90" s="18">
        <v>10950</v>
      </c>
      <c r="J90" s="20">
        <v>12</v>
      </c>
      <c r="K90" s="19">
        <f t="shared" si="23"/>
        <v>6.5739130434782606E-2</v>
      </c>
      <c r="L90" s="2">
        <f t="shared" si="21"/>
        <v>2.7391304347826082E-2</v>
      </c>
      <c r="M90" s="2">
        <f t="shared" si="24"/>
        <v>5.4782608695652164E-2</v>
      </c>
      <c r="N90" s="2">
        <f t="shared" si="25"/>
        <v>8.217391304347825E-2</v>
      </c>
      <c r="O90" s="2">
        <f t="shared" si="26"/>
        <v>0.10956521739130433</v>
      </c>
      <c r="P90" s="2">
        <f t="shared" si="27"/>
        <v>0.13695652173913039</v>
      </c>
      <c r="Q90" s="2">
        <f t="shared" si="28"/>
        <v>0.1643478260869565</v>
      </c>
      <c r="R90" s="2">
        <f t="shared" si="29"/>
        <v>3.2869565217391301</v>
      </c>
      <c r="S90" s="2">
        <f t="shared" si="16"/>
        <v>1.369565217391304</v>
      </c>
      <c r="T90" s="2">
        <f t="shared" si="30"/>
        <v>2.739130434782608</v>
      </c>
      <c r="U90" s="2">
        <f t="shared" si="17"/>
        <v>4.1086956521739122</v>
      </c>
      <c r="V90" s="2">
        <f t="shared" si="18"/>
        <v>5.478260869565216</v>
      </c>
      <c r="W90" s="2">
        <f t="shared" si="19"/>
        <v>6.8478260869565197</v>
      </c>
      <c r="X90" s="2">
        <f t="shared" si="20"/>
        <v>8.2173913043478244</v>
      </c>
      <c r="Y90" s="5" t="str">
        <f t="shared" si="22"/>
        <v>1</v>
      </c>
      <c r="Z90" s="5" t="str">
        <f t="shared" si="22"/>
        <v>1</v>
      </c>
      <c r="AA90" s="5" t="str">
        <f t="shared" si="22"/>
        <v>1</v>
      </c>
      <c r="AB90" s="5" t="str">
        <f t="shared" ref="AB90:AB103" si="31">IF(U90&gt;1,"1","2")</f>
        <v>1</v>
      </c>
      <c r="AC90" s="5" t="str">
        <f t="shared" ref="AC90:AC103" si="32">IF(V90&gt;1,"1","2")</f>
        <v>1</v>
      </c>
      <c r="AD90" s="5" t="str">
        <f t="shared" ref="AD90:AD103" si="33">IF(W90&gt;1,"1","2")</f>
        <v>1</v>
      </c>
      <c r="AE90" s="5" t="str">
        <f t="shared" ref="AE90:AE103" si="34">IF(X90&gt;1,"1","2")</f>
        <v>1</v>
      </c>
    </row>
    <row r="91" spans="1:31" ht="14.4" x14ac:dyDescent="0.3">
      <c r="A91" s="14">
        <v>88</v>
      </c>
      <c r="B91" s="15" t="s">
        <v>186</v>
      </c>
      <c r="C91" s="10">
        <v>12</v>
      </c>
      <c r="D91" s="10">
        <v>23</v>
      </c>
      <c r="E91" s="17">
        <v>365</v>
      </c>
      <c r="F91" s="21">
        <v>9.9000000000000008E-3</v>
      </c>
      <c r="G91" s="10">
        <v>900</v>
      </c>
      <c r="H91" s="13">
        <v>0.02</v>
      </c>
      <c r="I91" s="18">
        <v>10950</v>
      </c>
      <c r="J91" s="20">
        <v>12</v>
      </c>
      <c r="K91" s="19">
        <f t="shared" si="23"/>
        <v>0.15495652173913044</v>
      </c>
      <c r="L91" s="2">
        <f t="shared" si="21"/>
        <v>6.4565217391304344E-2</v>
      </c>
      <c r="M91" s="2">
        <f t="shared" si="24"/>
        <v>0.12913043478260869</v>
      </c>
      <c r="N91" s="2">
        <f t="shared" si="25"/>
        <v>0.19369565217391305</v>
      </c>
      <c r="O91" s="2">
        <f t="shared" si="26"/>
        <v>0.25826086956521738</v>
      </c>
      <c r="P91" s="2">
        <f t="shared" si="27"/>
        <v>0.32282608695652176</v>
      </c>
      <c r="Q91" s="2">
        <f t="shared" si="28"/>
        <v>0.38739130434782609</v>
      </c>
      <c r="R91" s="2">
        <f t="shared" si="29"/>
        <v>7.7478260869565219</v>
      </c>
      <c r="S91" s="2">
        <f t="shared" si="16"/>
        <v>3.2282608695652173</v>
      </c>
      <c r="T91" s="2">
        <f t="shared" si="30"/>
        <v>6.4565217391304346</v>
      </c>
      <c r="U91" s="2">
        <f t="shared" si="17"/>
        <v>9.6847826086956523</v>
      </c>
      <c r="V91" s="2">
        <f t="shared" si="18"/>
        <v>12.913043478260869</v>
      </c>
      <c r="W91" s="2">
        <f t="shared" si="19"/>
        <v>16.141304347826086</v>
      </c>
      <c r="X91" s="2">
        <f t="shared" si="20"/>
        <v>19.369565217391305</v>
      </c>
      <c r="Y91" s="5" t="str">
        <f t="shared" ref="Y91:Y103" si="35">IF(R91&gt;1,"1","2")</f>
        <v>1</v>
      </c>
      <c r="Z91" s="5" t="str">
        <f t="shared" ref="Z91:Z103" si="36">IF(S91&gt;1,"1","2")</f>
        <v>1</v>
      </c>
      <c r="AA91" s="5" t="str">
        <f t="shared" ref="AA91:AA103" si="37">IF(T91&gt;1,"1","2")</f>
        <v>1</v>
      </c>
      <c r="AB91" s="5" t="str">
        <f t="shared" si="31"/>
        <v>1</v>
      </c>
      <c r="AC91" s="5" t="str">
        <f t="shared" si="32"/>
        <v>1</v>
      </c>
      <c r="AD91" s="5" t="str">
        <f t="shared" si="33"/>
        <v>1</v>
      </c>
      <c r="AE91" s="5" t="str">
        <f t="shared" si="34"/>
        <v>1</v>
      </c>
    </row>
    <row r="92" spans="1:31" ht="14.4" x14ac:dyDescent="0.3">
      <c r="A92" s="14">
        <v>89</v>
      </c>
      <c r="B92" s="15" t="s">
        <v>187</v>
      </c>
      <c r="C92" s="10">
        <v>12</v>
      </c>
      <c r="D92" s="10">
        <v>25</v>
      </c>
      <c r="E92" s="17">
        <v>365</v>
      </c>
      <c r="F92" s="21">
        <v>9.9000000000000008E-3</v>
      </c>
      <c r="G92" s="10">
        <v>1200</v>
      </c>
      <c r="H92" s="13">
        <v>0.02</v>
      </c>
      <c r="I92" s="18">
        <v>10950</v>
      </c>
      <c r="J92" s="20">
        <v>12</v>
      </c>
      <c r="K92" s="19">
        <f t="shared" si="23"/>
        <v>0.19008000000000003</v>
      </c>
      <c r="L92" s="2">
        <f t="shared" si="21"/>
        <v>7.9200000000000007E-2</v>
      </c>
      <c r="M92" s="2">
        <f t="shared" si="24"/>
        <v>0.15840000000000001</v>
      </c>
      <c r="N92" s="2">
        <f t="shared" si="25"/>
        <v>0.23760000000000006</v>
      </c>
      <c r="O92" s="2">
        <f t="shared" si="26"/>
        <v>0.31680000000000003</v>
      </c>
      <c r="P92" s="2">
        <f t="shared" si="27"/>
        <v>0.39600000000000007</v>
      </c>
      <c r="Q92" s="2">
        <f t="shared" si="28"/>
        <v>0.47520000000000012</v>
      </c>
      <c r="R92" s="2">
        <f t="shared" si="29"/>
        <v>9.5040000000000013</v>
      </c>
      <c r="S92" s="2">
        <f t="shared" si="16"/>
        <v>3.9600000000000004</v>
      </c>
      <c r="T92" s="2">
        <f t="shared" si="30"/>
        <v>7.9200000000000008</v>
      </c>
      <c r="U92" s="2">
        <f t="shared" si="17"/>
        <v>11.880000000000003</v>
      </c>
      <c r="V92" s="2">
        <f t="shared" si="18"/>
        <v>15.840000000000002</v>
      </c>
      <c r="W92" s="2">
        <f t="shared" si="19"/>
        <v>19.800000000000004</v>
      </c>
      <c r="X92" s="2">
        <f t="shared" si="20"/>
        <v>23.760000000000005</v>
      </c>
      <c r="Y92" s="5" t="str">
        <f t="shared" si="35"/>
        <v>1</v>
      </c>
      <c r="Z92" s="5" t="str">
        <f t="shared" si="36"/>
        <v>1</v>
      </c>
      <c r="AA92" s="5" t="str">
        <f t="shared" si="37"/>
        <v>1</v>
      </c>
      <c r="AB92" s="5" t="str">
        <f t="shared" si="31"/>
        <v>1</v>
      </c>
      <c r="AC92" s="5" t="str">
        <f t="shared" si="32"/>
        <v>1</v>
      </c>
      <c r="AD92" s="5" t="str">
        <f t="shared" si="33"/>
        <v>1</v>
      </c>
      <c r="AE92" s="5" t="str">
        <f t="shared" si="34"/>
        <v>1</v>
      </c>
    </row>
    <row r="93" spans="1:31" ht="14.4" x14ac:dyDescent="0.3">
      <c r="A93" s="14">
        <v>90</v>
      </c>
      <c r="B93" s="15" t="s">
        <v>188</v>
      </c>
      <c r="C93" s="10">
        <v>12</v>
      </c>
      <c r="D93" s="10">
        <v>28</v>
      </c>
      <c r="E93" s="17">
        <v>365</v>
      </c>
      <c r="F93" s="21">
        <v>6.1000000000000004E-3</v>
      </c>
      <c r="G93" s="10">
        <v>1800</v>
      </c>
      <c r="H93" s="13">
        <v>0.02</v>
      </c>
      <c r="I93" s="18">
        <v>10950</v>
      </c>
      <c r="J93" s="20">
        <v>12</v>
      </c>
      <c r="K93" s="19">
        <f t="shared" si="23"/>
        <v>0.15685714285714286</v>
      </c>
      <c r="L93" s="2">
        <f t="shared" si="21"/>
        <v>6.5357142857142864E-2</v>
      </c>
      <c r="M93" s="2">
        <f t="shared" si="24"/>
        <v>0.13071428571428573</v>
      </c>
      <c r="N93" s="2">
        <f t="shared" si="25"/>
        <v>0.19607142857142859</v>
      </c>
      <c r="O93" s="2">
        <f t="shared" si="26"/>
        <v>0.26142857142857145</v>
      </c>
      <c r="P93" s="2">
        <f t="shared" si="27"/>
        <v>0.32678571428571429</v>
      </c>
      <c r="Q93" s="2">
        <f t="shared" si="28"/>
        <v>0.39214285714285718</v>
      </c>
      <c r="R93" s="2">
        <f t="shared" si="29"/>
        <v>7.8428571428571425</v>
      </c>
      <c r="S93" s="2">
        <f t="shared" si="16"/>
        <v>3.2678571428571432</v>
      </c>
      <c r="T93" s="2">
        <f t="shared" si="30"/>
        <v>6.5357142857142865</v>
      </c>
      <c r="U93" s="2">
        <f t="shared" si="17"/>
        <v>9.8035714285714288</v>
      </c>
      <c r="V93" s="2">
        <f t="shared" si="18"/>
        <v>13.071428571428573</v>
      </c>
      <c r="W93" s="2">
        <f t="shared" si="19"/>
        <v>16.339285714285715</v>
      </c>
      <c r="X93" s="2">
        <f t="shared" si="20"/>
        <v>19.607142857142858</v>
      </c>
      <c r="Y93" s="5" t="str">
        <f t="shared" si="35"/>
        <v>1</v>
      </c>
      <c r="Z93" s="5" t="str">
        <f t="shared" si="36"/>
        <v>1</v>
      </c>
      <c r="AA93" s="5" t="str">
        <f t="shared" si="37"/>
        <v>1</v>
      </c>
      <c r="AB93" s="5" t="str">
        <f t="shared" si="31"/>
        <v>1</v>
      </c>
      <c r="AC93" s="5" t="str">
        <f t="shared" si="32"/>
        <v>1</v>
      </c>
      <c r="AD93" s="5" t="str">
        <f t="shared" si="33"/>
        <v>1</v>
      </c>
      <c r="AE93" s="5" t="str">
        <f t="shared" si="34"/>
        <v>1</v>
      </c>
    </row>
    <row r="94" spans="1:31" ht="14.4" x14ac:dyDescent="0.3">
      <c r="A94" s="14">
        <v>91</v>
      </c>
      <c r="B94" s="15" t="s">
        <v>147</v>
      </c>
      <c r="C94" s="10">
        <v>12</v>
      </c>
      <c r="D94" s="10">
        <v>28</v>
      </c>
      <c r="E94" s="17">
        <v>365</v>
      </c>
      <c r="F94" s="21">
        <v>3.2500000000000001E-2</v>
      </c>
      <c r="G94" s="10">
        <v>900</v>
      </c>
      <c r="H94" s="13">
        <v>0.02</v>
      </c>
      <c r="I94" s="18">
        <v>10950</v>
      </c>
      <c r="J94" s="20">
        <v>12</v>
      </c>
      <c r="K94" s="19">
        <f t="shared" si="23"/>
        <v>0.41785714285714287</v>
      </c>
      <c r="L94" s="2">
        <f t="shared" si="21"/>
        <v>0.17410714285714285</v>
      </c>
      <c r="M94" s="2">
        <f t="shared" si="24"/>
        <v>0.3482142857142857</v>
      </c>
      <c r="N94" s="2">
        <f t="shared" si="25"/>
        <v>0.5223214285714286</v>
      </c>
      <c r="O94" s="2">
        <f t="shared" si="26"/>
        <v>0.6964285714285714</v>
      </c>
      <c r="P94" s="2">
        <f t="shared" si="27"/>
        <v>0.8705357142857143</v>
      </c>
      <c r="Q94" s="2">
        <f t="shared" si="28"/>
        <v>1.0446428571428572</v>
      </c>
      <c r="R94" s="2">
        <f t="shared" si="29"/>
        <v>20.892857142857142</v>
      </c>
      <c r="S94" s="2">
        <f t="shared" si="16"/>
        <v>8.7053571428571423</v>
      </c>
      <c r="T94" s="2">
        <f t="shared" si="30"/>
        <v>17.410714285714285</v>
      </c>
      <c r="U94" s="2">
        <f t="shared" si="17"/>
        <v>26.116071428571431</v>
      </c>
      <c r="V94" s="2">
        <f t="shared" si="18"/>
        <v>34.821428571428569</v>
      </c>
      <c r="W94" s="2">
        <f t="shared" si="19"/>
        <v>43.526785714285715</v>
      </c>
      <c r="X94" s="2">
        <f t="shared" si="20"/>
        <v>52.232142857142861</v>
      </c>
      <c r="Y94" s="5" t="str">
        <f t="shared" si="35"/>
        <v>1</v>
      </c>
      <c r="Z94" s="5" t="str">
        <f t="shared" si="36"/>
        <v>1</v>
      </c>
      <c r="AA94" s="5" t="str">
        <f t="shared" si="37"/>
        <v>1</v>
      </c>
      <c r="AB94" s="5" t="str">
        <f t="shared" si="31"/>
        <v>1</v>
      </c>
      <c r="AC94" s="5" t="str">
        <f t="shared" si="32"/>
        <v>1</v>
      </c>
      <c r="AD94" s="5" t="str">
        <f t="shared" si="33"/>
        <v>1</v>
      </c>
      <c r="AE94" s="5" t="str">
        <f t="shared" si="34"/>
        <v>1</v>
      </c>
    </row>
    <row r="95" spans="1:31" ht="14.4" x14ac:dyDescent="0.3">
      <c r="A95" s="14">
        <v>92</v>
      </c>
      <c r="B95" s="15" t="s">
        <v>189</v>
      </c>
      <c r="C95" s="10">
        <v>12</v>
      </c>
      <c r="D95" s="10">
        <v>40</v>
      </c>
      <c r="E95" s="17">
        <v>365</v>
      </c>
      <c r="F95" s="21">
        <v>3.2500000000000001E-2</v>
      </c>
      <c r="G95" s="10">
        <v>1800</v>
      </c>
      <c r="H95" s="13">
        <v>0.02</v>
      </c>
      <c r="I95" s="18">
        <v>10950</v>
      </c>
      <c r="J95" s="20">
        <v>5</v>
      </c>
      <c r="K95" s="19">
        <f t="shared" si="23"/>
        <v>0.24374999999999999</v>
      </c>
      <c r="L95" s="2">
        <f t="shared" si="21"/>
        <v>0.24374999999999999</v>
      </c>
      <c r="M95" s="2">
        <f t="shared" si="24"/>
        <v>0.48749999999999999</v>
      </c>
      <c r="N95" s="2">
        <f t="shared" si="25"/>
        <v>0.73124999999999996</v>
      </c>
      <c r="O95" s="2">
        <f t="shared" si="26"/>
        <v>0.97499999999999998</v>
      </c>
      <c r="P95" s="2">
        <f t="shared" si="27"/>
        <v>1.21875</v>
      </c>
      <c r="Q95" s="2">
        <f t="shared" si="28"/>
        <v>1.4624999999999999</v>
      </c>
      <c r="R95" s="2">
        <f t="shared" si="29"/>
        <v>12.1875</v>
      </c>
      <c r="S95" s="2">
        <f t="shared" si="16"/>
        <v>12.1875</v>
      </c>
      <c r="T95" s="2">
        <f t="shared" si="30"/>
        <v>24.375</v>
      </c>
      <c r="U95" s="2">
        <f t="shared" si="17"/>
        <v>36.5625</v>
      </c>
      <c r="V95" s="2">
        <f t="shared" si="18"/>
        <v>48.75</v>
      </c>
      <c r="W95" s="2">
        <f t="shared" si="19"/>
        <v>60.9375</v>
      </c>
      <c r="X95" s="2">
        <f t="shared" si="20"/>
        <v>73.125</v>
      </c>
      <c r="Y95" s="5" t="str">
        <f t="shared" si="35"/>
        <v>1</v>
      </c>
      <c r="Z95" s="5" t="str">
        <f t="shared" si="36"/>
        <v>1</v>
      </c>
      <c r="AA95" s="5" t="str">
        <f t="shared" si="37"/>
        <v>1</v>
      </c>
      <c r="AB95" s="5" t="str">
        <f t="shared" si="31"/>
        <v>1</v>
      </c>
      <c r="AC95" s="5" t="str">
        <f t="shared" si="32"/>
        <v>1</v>
      </c>
      <c r="AD95" s="5" t="str">
        <f t="shared" si="33"/>
        <v>1</v>
      </c>
      <c r="AE95" s="5" t="str">
        <f t="shared" si="34"/>
        <v>1</v>
      </c>
    </row>
    <row r="96" spans="1:31" ht="14.4" x14ac:dyDescent="0.3">
      <c r="A96" s="14">
        <v>93</v>
      </c>
      <c r="B96" s="15" t="s">
        <v>190</v>
      </c>
      <c r="C96" s="10">
        <v>12</v>
      </c>
      <c r="D96" s="10">
        <v>23</v>
      </c>
      <c r="E96" s="17">
        <v>365</v>
      </c>
      <c r="F96" s="21">
        <v>5.21E-2</v>
      </c>
      <c r="G96" s="10">
        <v>900</v>
      </c>
      <c r="H96" s="13">
        <v>0.02</v>
      </c>
      <c r="I96" s="18">
        <v>10950</v>
      </c>
      <c r="J96" s="20">
        <v>12</v>
      </c>
      <c r="K96" s="19">
        <f t="shared" si="23"/>
        <v>0.8154782608695651</v>
      </c>
      <c r="L96" s="2">
        <f t="shared" si="21"/>
        <v>0.33978260869565219</v>
      </c>
      <c r="M96" s="2">
        <f t="shared" si="24"/>
        <v>0.67956521739130438</v>
      </c>
      <c r="N96" s="2">
        <f t="shared" si="25"/>
        <v>1.0193478260869564</v>
      </c>
      <c r="O96" s="2">
        <f t="shared" si="26"/>
        <v>1.3591304347826088</v>
      </c>
      <c r="P96" s="2">
        <f t="shared" si="27"/>
        <v>1.6989130434782607</v>
      </c>
      <c r="Q96" s="2">
        <f t="shared" si="28"/>
        <v>2.0386956521739128</v>
      </c>
      <c r="R96" s="2">
        <f t="shared" si="29"/>
        <v>40.773913043478252</v>
      </c>
      <c r="S96" s="2">
        <f t="shared" si="16"/>
        <v>16.989130434782609</v>
      </c>
      <c r="T96" s="2">
        <f t="shared" si="30"/>
        <v>33.978260869565219</v>
      </c>
      <c r="U96" s="2">
        <f t="shared" si="17"/>
        <v>50.967391304347821</v>
      </c>
      <c r="V96" s="2">
        <f t="shared" si="18"/>
        <v>67.956521739130437</v>
      </c>
      <c r="W96" s="2">
        <f t="shared" si="19"/>
        <v>84.945652173913032</v>
      </c>
      <c r="X96" s="2">
        <f t="shared" si="20"/>
        <v>101.93478260869564</v>
      </c>
      <c r="Y96" s="5" t="str">
        <f t="shared" si="35"/>
        <v>1</v>
      </c>
      <c r="Z96" s="5" t="str">
        <f t="shared" si="36"/>
        <v>1</v>
      </c>
      <c r="AA96" s="5" t="str">
        <f t="shared" si="37"/>
        <v>1</v>
      </c>
      <c r="AB96" s="5" t="str">
        <f t="shared" si="31"/>
        <v>1</v>
      </c>
      <c r="AC96" s="5" t="str">
        <f t="shared" si="32"/>
        <v>1</v>
      </c>
      <c r="AD96" s="5" t="str">
        <f t="shared" si="33"/>
        <v>1</v>
      </c>
      <c r="AE96" s="5" t="str">
        <f t="shared" si="34"/>
        <v>1</v>
      </c>
    </row>
    <row r="97" spans="1:31" ht="14.4" x14ac:dyDescent="0.3">
      <c r="A97" s="14">
        <v>94</v>
      </c>
      <c r="B97" s="15" t="s">
        <v>191</v>
      </c>
      <c r="C97" s="10">
        <v>12</v>
      </c>
      <c r="D97" s="10">
        <v>25</v>
      </c>
      <c r="E97" s="17">
        <v>365</v>
      </c>
      <c r="F97" s="21">
        <v>4.99E-2</v>
      </c>
      <c r="G97" s="10">
        <v>900</v>
      </c>
      <c r="H97" s="13">
        <v>0.02</v>
      </c>
      <c r="I97" s="18">
        <v>10950</v>
      </c>
      <c r="J97" s="20">
        <v>12</v>
      </c>
      <c r="K97" s="19">
        <f t="shared" si="23"/>
        <v>0.71855999999999998</v>
      </c>
      <c r="L97" s="2">
        <f t="shared" si="21"/>
        <v>0.29939999999999994</v>
      </c>
      <c r="M97" s="2">
        <f t="shared" si="24"/>
        <v>0.59879999999999989</v>
      </c>
      <c r="N97" s="2">
        <f t="shared" si="25"/>
        <v>0.89819999999999989</v>
      </c>
      <c r="O97" s="2">
        <f t="shared" si="26"/>
        <v>1.1975999999999998</v>
      </c>
      <c r="P97" s="2">
        <f t="shared" si="27"/>
        <v>1.4969999999999999</v>
      </c>
      <c r="Q97" s="2">
        <f t="shared" si="28"/>
        <v>1.7963999999999998</v>
      </c>
      <c r="R97" s="2">
        <f t="shared" si="29"/>
        <v>35.927999999999997</v>
      </c>
      <c r="S97" s="2">
        <f t="shared" si="16"/>
        <v>14.969999999999997</v>
      </c>
      <c r="T97" s="2">
        <f t="shared" si="30"/>
        <v>29.939999999999994</v>
      </c>
      <c r="U97" s="2">
        <f t="shared" si="17"/>
        <v>44.91</v>
      </c>
      <c r="V97" s="2">
        <f t="shared" si="18"/>
        <v>59.879999999999988</v>
      </c>
      <c r="W97" s="2">
        <f t="shared" si="19"/>
        <v>74.849999999999994</v>
      </c>
      <c r="X97" s="2">
        <f t="shared" si="20"/>
        <v>89.82</v>
      </c>
      <c r="Y97" s="5" t="str">
        <f t="shared" si="35"/>
        <v>1</v>
      </c>
      <c r="Z97" s="5" t="str">
        <f t="shared" si="36"/>
        <v>1</v>
      </c>
      <c r="AA97" s="5" t="str">
        <f t="shared" si="37"/>
        <v>1</v>
      </c>
      <c r="AB97" s="5" t="str">
        <f t="shared" si="31"/>
        <v>1</v>
      </c>
      <c r="AC97" s="5" t="str">
        <f t="shared" si="32"/>
        <v>1</v>
      </c>
      <c r="AD97" s="5" t="str">
        <f t="shared" si="33"/>
        <v>1</v>
      </c>
      <c r="AE97" s="5" t="str">
        <f t="shared" si="34"/>
        <v>1</v>
      </c>
    </row>
    <row r="98" spans="1:31" ht="14.4" x14ac:dyDescent="0.3">
      <c r="A98" s="14">
        <v>95</v>
      </c>
      <c r="B98" s="15" t="s">
        <v>192</v>
      </c>
      <c r="C98" s="10">
        <v>12</v>
      </c>
      <c r="D98" s="10">
        <v>28</v>
      </c>
      <c r="E98" s="17">
        <v>365</v>
      </c>
      <c r="F98" s="21">
        <v>3.8399999999999997E-2</v>
      </c>
      <c r="G98" s="10">
        <v>900</v>
      </c>
      <c r="H98" s="13">
        <v>0.02</v>
      </c>
      <c r="I98" s="18">
        <v>10950</v>
      </c>
      <c r="J98" s="20">
        <v>12</v>
      </c>
      <c r="K98" s="19">
        <f t="shared" si="23"/>
        <v>0.49371428571428566</v>
      </c>
      <c r="L98" s="2">
        <f t="shared" si="21"/>
        <v>0.20571428571428566</v>
      </c>
      <c r="M98" s="2">
        <f t="shared" si="24"/>
        <v>0.41142857142857131</v>
      </c>
      <c r="N98" s="2">
        <f t="shared" si="25"/>
        <v>0.61714285714285699</v>
      </c>
      <c r="O98" s="2">
        <f t="shared" si="26"/>
        <v>0.82285714285714262</v>
      </c>
      <c r="P98" s="2">
        <f t="shared" si="27"/>
        <v>1.0285714285714285</v>
      </c>
      <c r="Q98" s="2">
        <f t="shared" si="28"/>
        <v>1.234285714285714</v>
      </c>
      <c r="R98" s="2">
        <f t="shared" si="29"/>
        <v>24.685714285714283</v>
      </c>
      <c r="S98" s="2">
        <f t="shared" si="16"/>
        <v>10.285714285714283</v>
      </c>
      <c r="T98" s="2">
        <f t="shared" si="30"/>
        <v>20.571428571428566</v>
      </c>
      <c r="U98" s="2">
        <f t="shared" si="17"/>
        <v>30.857142857142851</v>
      </c>
      <c r="V98" s="2">
        <f t="shared" si="18"/>
        <v>41.142857142857132</v>
      </c>
      <c r="W98" s="2">
        <f t="shared" si="19"/>
        <v>51.428571428571423</v>
      </c>
      <c r="X98" s="2">
        <f t="shared" si="20"/>
        <v>61.714285714285701</v>
      </c>
      <c r="Y98" s="5" t="str">
        <f t="shared" si="35"/>
        <v>1</v>
      </c>
      <c r="Z98" s="5" t="str">
        <f t="shared" si="36"/>
        <v>1</v>
      </c>
      <c r="AA98" s="5" t="str">
        <f t="shared" si="37"/>
        <v>1</v>
      </c>
      <c r="AB98" s="5" t="str">
        <f t="shared" si="31"/>
        <v>1</v>
      </c>
      <c r="AC98" s="5" t="str">
        <f t="shared" si="32"/>
        <v>1</v>
      </c>
      <c r="AD98" s="5" t="str">
        <f t="shared" si="33"/>
        <v>1</v>
      </c>
      <c r="AE98" s="5" t="str">
        <f t="shared" si="34"/>
        <v>1</v>
      </c>
    </row>
    <row r="99" spans="1:31" ht="14.4" x14ac:dyDescent="0.3">
      <c r="A99" s="14">
        <v>96</v>
      </c>
      <c r="B99" s="15" t="s">
        <v>193</v>
      </c>
      <c r="C99" s="10">
        <v>12</v>
      </c>
      <c r="D99" s="10">
        <v>40</v>
      </c>
      <c r="E99" s="17">
        <v>365</v>
      </c>
      <c r="F99" s="21">
        <v>3.8399999999999997E-2</v>
      </c>
      <c r="G99" s="10">
        <v>1800</v>
      </c>
      <c r="H99" s="13">
        <v>0.02</v>
      </c>
      <c r="I99" s="18">
        <v>10950</v>
      </c>
      <c r="J99" s="20">
        <v>5</v>
      </c>
      <c r="K99" s="19">
        <f t="shared" si="23"/>
        <v>0.28799999999999992</v>
      </c>
      <c r="L99" s="2">
        <f t="shared" si="21"/>
        <v>0.28799999999999992</v>
      </c>
      <c r="M99" s="2">
        <f t="shared" si="24"/>
        <v>0.57599999999999985</v>
      </c>
      <c r="N99" s="2">
        <f t="shared" si="25"/>
        <v>0.86399999999999988</v>
      </c>
      <c r="O99" s="2">
        <f t="shared" si="26"/>
        <v>1.1519999999999997</v>
      </c>
      <c r="P99" s="2">
        <f t="shared" si="27"/>
        <v>1.4399999999999997</v>
      </c>
      <c r="Q99" s="2">
        <f t="shared" si="28"/>
        <v>1.7279999999999998</v>
      </c>
      <c r="R99" s="2">
        <f t="shared" si="29"/>
        <v>14.399999999999995</v>
      </c>
      <c r="S99" s="2">
        <f t="shared" si="16"/>
        <v>14.399999999999995</v>
      </c>
      <c r="T99" s="2">
        <f t="shared" si="30"/>
        <v>28.79999999999999</v>
      </c>
      <c r="U99" s="2">
        <f t="shared" si="17"/>
        <v>43.199999999999996</v>
      </c>
      <c r="V99" s="2">
        <f t="shared" si="18"/>
        <v>57.59999999999998</v>
      </c>
      <c r="W99" s="2">
        <f t="shared" si="19"/>
        <v>71.999999999999986</v>
      </c>
      <c r="X99" s="2">
        <f t="shared" si="20"/>
        <v>86.399999999999991</v>
      </c>
      <c r="Y99" s="5" t="str">
        <f t="shared" si="35"/>
        <v>1</v>
      </c>
      <c r="Z99" s="5" t="str">
        <f t="shared" si="36"/>
        <v>1</v>
      </c>
      <c r="AA99" s="5" t="str">
        <f t="shared" si="37"/>
        <v>1</v>
      </c>
      <c r="AB99" s="5" t="str">
        <f t="shared" si="31"/>
        <v>1</v>
      </c>
      <c r="AC99" s="5" t="str">
        <f t="shared" si="32"/>
        <v>1</v>
      </c>
      <c r="AD99" s="5" t="str">
        <f t="shared" si="33"/>
        <v>1</v>
      </c>
      <c r="AE99" s="5" t="str">
        <f t="shared" si="34"/>
        <v>1</v>
      </c>
    </row>
    <row r="100" spans="1:31" ht="14.4" x14ac:dyDescent="0.3">
      <c r="A100" s="14">
        <v>97</v>
      </c>
      <c r="B100" s="15" t="s">
        <v>194</v>
      </c>
      <c r="C100" s="10">
        <v>12</v>
      </c>
      <c r="D100" s="10">
        <v>28</v>
      </c>
      <c r="E100" s="17">
        <v>365</v>
      </c>
      <c r="F100" s="21">
        <v>3.8399999999999997E-2</v>
      </c>
      <c r="G100" s="10">
        <v>900</v>
      </c>
      <c r="H100" s="13">
        <v>0.02</v>
      </c>
      <c r="I100" s="18">
        <v>10950</v>
      </c>
      <c r="J100" s="20">
        <v>12</v>
      </c>
      <c r="K100" s="19">
        <f t="shared" si="23"/>
        <v>0.49371428571428566</v>
      </c>
      <c r="L100" s="2">
        <f t="shared" si="21"/>
        <v>0.20571428571428566</v>
      </c>
      <c r="M100" s="2">
        <f t="shared" si="24"/>
        <v>0.41142857142857131</v>
      </c>
      <c r="N100" s="2">
        <f t="shared" si="25"/>
        <v>0.61714285714285699</v>
      </c>
      <c r="O100" s="2">
        <f t="shared" si="26"/>
        <v>0.82285714285714262</v>
      </c>
      <c r="P100" s="2">
        <f t="shared" si="27"/>
        <v>1.0285714285714285</v>
      </c>
      <c r="Q100" s="2">
        <f t="shared" si="28"/>
        <v>1.234285714285714</v>
      </c>
      <c r="R100" s="2">
        <f t="shared" si="29"/>
        <v>24.685714285714283</v>
      </c>
      <c r="S100" s="2">
        <f t="shared" si="16"/>
        <v>10.285714285714283</v>
      </c>
      <c r="T100" s="2">
        <f t="shared" si="30"/>
        <v>20.571428571428566</v>
      </c>
      <c r="U100" s="2">
        <f t="shared" si="17"/>
        <v>30.857142857142851</v>
      </c>
      <c r="V100" s="2">
        <f t="shared" si="18"/>
        <v>41.142857142857132</v>
      </c>
      <c r="W100" s="2">
        <f t="shared" si="19"/>
        <v>51.428571428571423</v>
      </c>
      <c r="X100" s="2">
        <f t="shared" si="20"/>
        <v>61.714285714285701</v>
      </c>
      <c r="Y100" s="5" t="str">
        <f t="shared" si="35"/>
        <v>1</v>
      </c>
      <c r="Z100" s="5" t="str">
        <f t="shared" si="36"/>
        <v>1</v>
      </c>
      <c r="AA100" s="5" t="str">
        <f t="shared" si="37"/>
        <v>1</v>
      </c>
      <c r="AB100" s="5" t="str">
        <f t="shared" si="31"/>
        <v>1</v>
      </c>
      <c r="AC100" s="5" t="str">
        <f t="shared" si="32"/>
        <v>1</v>
      </c>
      <c r="AD100" s="5" t="str">
        <f t="shared" si="33"/>
        <v>1</v>
      </c>
      <c r="AE100" s="5" t="str">
        <f t="shared" si="34"/>
        <v>1</v>
      </c>
    </row>
    <row r="101" spans="1:31" ht="14.4" x14ac:dyDescent="0.3">
      <c r="A101" s="14">
        <v>98</v>
      </c>
      <c r="B101" s="15" t="s">
        <v>193</v>
      </c>
      <c r="C101" s="10">
        <v>12</v>
      </c>
      <c r="D101" s="10">
        <v>40</v>
      </c>
      <c r="E101" s="17">
        <v>365</v>
      </c>
      <c r="F101" s="21">
        <v>3.9100000000000003E-2</v>
      </c>
      <c r="G101" s="10">
        <v>1800</v>
      </c>
      <c r="H101" s="13">
        <v>0.02</v>
      </c>
      <c r="I101" s="18">
        <v>10950</v>
      </c>
      <c r="J101" s="20">
        <v>5</v>
      </c>
      <c r="K101" s="19">
        <f t="shared" si="23"/>
        <v>0.29325000000000007</v>
      </c>
      <c r="L101" s="2">
        <f t="shared" si="21"/>
        <v>0.29325000000000007</v>
      </c>
      <c r="M101" s="2">
        <f t="shared" si="24"/>
        <v>0.58650000000000013</v>
      </c>
      <c r="N101" s="2">
        <f t="shared" si="25"/>
        <v>0.87975000000000014</v>
      </c>
      <c r="O101" s="2">
        <f t="shared" si="26"/>
        <v>1.1730000000000003</v>
      </c>
      <c r="P101" s="2">
        <f t="shared" si="27"/>
        <v>1.4662500000000003</v>
      </c>
      <c r="Q101" s="2">
        <f t="shared" si="28"/>
        <v>1.7595000000000003</v>
      </c>
      <c r="R101" s="2">
        <f t="shared" si="29"/>
        <v>14.662500000000003</v>
      </c>
      <c r="S101" s="2">
        <f t="shared" si="16"/>
        <v>14.662500000000003</v>
      </c>
      <c r="T101" s="2">
        <f t="shared" si="30"/>
        <v>29.325000000000006</v>
      </c>
      <c r="U101" s="2">
        <f t="shared" si="17"/>
        <v>43.987500000000004</v>
      </c>
      <c r="V101" s="2">
        <f t="shared" si="18"/>
        <v>58.650000000000013</v>
      </c>
      <c r="W101" s="2">
        <f t="shared" si="19"/>
        <v>73.312500000000014</v>
      </c>
      <c r="X101" s="2">
        <f t="shared" si="20"/>
        <v>87.975000000000009</v>
      </c>
      <c r="Y101" s="5" t="str">
        <f t="shared" si="35"/>
        <v>1</v>
      </c>
      <c r="Z101" s="5" t="str">
        <f t="shared" si="36"/>
        <v>1</v>
      </c>
      <c r="AA101" s="5" t="str">
        <f t="shared" si="37"/>
        <v>1</v>
      </c>
      <c r="AB101" s="5" t="str">
        <f t="shared" si="31"/>
        <v>1</v>
      </c>
      <c r="AC101" s="5" t="str">
        <f t="shared" si="32"/>
        <v>1</v>
      </c>
      <c r="AD101" s="5" t="str">
        <f t="shared" si="33"/>
        <v>1</v>
      </c>
      <c r="AE101" s="5" t="str">
        <f t="shared" si="34"/>
        <v>1</v>
      </c>
    </row>
    <row r="102" spans="1:31" ht="14.4" x14ac:dyDescent="0.3">
      <c r="A102" s="14">
        <v>99</v>
      </c>
      <c r="B102" s="15" t="s">
        <v>195</v>
      </c>
      <c r="C102" s="10">
        <v>12</v>
      </c>
      <c r="D102" s="10">
        <v>28</v>
      </c>
      <c r="E102" s="17">
        <v>365</v>
      </c>
      <c r="F102" s="21">
        <v>4.1200000000000001E-2</v>
      </c>
      <c r="G102" s="10">
        <v>1800</v>
      </c>
      <c r="H102" s="13">
        <v>0.02</v>
      </c>
      <c r="I102" s="18">
        <v>10950</v>
      </c>
      <c r="J102" s="20">
        <v>12</v>
      </c>
      <c r="K102" s="19">
        <f t="shared" si="23"/>
        <v>1.0594285714285714</v>
      </c>
      <c r="L102" s="2">
        <f t="shared" si="21"/>
        <v>0.44142857142857145</v>
      </c>
      <c r="M102" s="2">
        <f t="shared" si="24"/>
        <v>0.8828571428571429</v>
      </c>
      <c r="N102" s="2">
        <f t="shared" si="25"/>
        <v>1.3242857142857141</v>
      </c>
      <c r="O102" s="2">
        <f t="shared" si="26"/>
        <v>1.7657142857142858</v>
      </c>
      <c r="P102" s="2">
        <f t="shared" si="27"/>
        <v>2.2071428571428573</v>
      </c>
      <c r="Q102" s="2">
        <f t="shared" si="28"/>
        <v>2.6485714285714281</v>
      </c>
      <c r="R102" s="2">
        <f t="shared" si="29"/>
        <v>52.971428571428568</v>
      </c>
      <c r="S102" s="2">
        <f t="shared" si="16"/>
        <v>22.071428571428573</v>
      </c>
      <c r="T102" s="2">
        <f t="shared" si="30"/>
        <v>44.142857142857146</v>
      </c>
      <c r="U102" s="2">
        <f t="shared" si="17"/>
        <v>66.214285714285708</v>
      </c>
      <c r="V102" s="2">
        <f t="shared" si="18"/>
        <v>88.285714285714292</v>
      </c>
      <c r="W102" s="2">
        <f t="shared" si="19"/>
        <v>110.35714285714286</v>
      </c>
      <c r="X102" s="2">
        <f t="shared" si="20"/>
        <v>132.42857142857142</v>
      </c>
      <c r="Y102" s="5" t="str">
        <f t="shared" si="35"/>
        <v>1</v>
      </c>
      <c r="Z102" s="5" t="str">
        <f t="shared" si="36"/>
        <v>1</v>
      </c>
      <c r="AA102" s="5" t="str">
        <f t="shared" si="37"/>
        <v>1</v>
      </c>
      <c r="AB102" s="5" t="str">
        <f t="shared" si="31"/>
        <v>1</v>
      </c>
      <c r="AC102" s="5" t="str">
        <f t="shared" si="32"/>
        <v>1</v>
      </c>
      <c r="AD102" s="5" t="str">
        <f t="shared" si="33"/>
        <v>1</v>
      </c>
      <c r="AE102" s="5" t="str">
        <f t="shared" si="34"/>
        <v>1</v>
      </c>
    </row>
    <row r="103" spans="1:31" ht="14.4" x14ac:dyDescent="0.3">
      <c r="A103" s="14">
        <v>100</v>
      </c>
      <c r="B103" s="15" t="s">
        <v>196</v>
      </c>
      <c r="C103" s="10">
        <v>12</v>
      </c>
      <c r="D103" s="10">
        <v>28</v>
      </c>
      <c r="E103" s="17">
        <v>365</v>
      </c>
      <c r="F103" s="21">
        <v>6.2899999999999998E-2</v>
      </c>
      <c r="G103" s="10">
        <v>900</v>
      </c>
      <c r="H103" s="13">
        <v>0.02</v>
      </c>
      <c r="I103" s="18">
        <v>10950</v>
      </c>
      <c r="J103" s="20">
        <v>12</v>
      </c>
      <c r="K103" s="19">
        <f t="shared" si="23"/>
        <v>0.80871428571428572</v>
      </c>
      <c r="L103" s="2">
        <f t="shared" si="21"/>
        <v>0.33696428571428572</v>
      </c>
      <c r="M103" s="2">
        <f t="shared" si="24"/>
        <v>0.67392857142857143</v>
      </c>
      <c r="N103" s="2">
        <f t="shared" si="25"/>
        <v>1.010892857142857</v>
      </c>
      <c r="O103" s="2">
        <f t="shared" si="26"/>
        <v>1.3478571428571429</v>
      </c>
      <c r="P103" s="2">
        <f t="shared" si="27"/>
        <v>1.6848214285714287</v>
      </c>
      <c r="Q103" s="2">
        <f t="shared" si="28"/>
        <v>2.0217857142857141</v>
      </c>
      <c r="R103" s="2">
        <f t="shared" si="29"/>
        <v>40.435714285714283</v>
      </c>
      <c r="S103" s="2">
        <f t="shared" si="16"/>
        <v>16.848214285714285</v>
      </c>
      <c r="T103" s="2">
        <f t="shared" si="30"/>
        <v>33.696428571428569</v>
      </c>
      <c r="U103" s="2">
        <f t="shared" si="17"/>
        <v>50.544642857142854</v>
      </c>
      <c r="V103" s="2">
        <f t="shared" si="18"/>
        <v>67.392857142857139</v>
      </c>
      <c r="W103" s="2">
        <f t="shared" si="19"/>
        <v>84.241071428571431</v>
      </c>
      <c r="X103" s="2">
        <f t="shared" si="20"/>
        <v>101.08928571428571</v>
      </c>
      <c r="Y103" s="5" t="str">
        <f t="shared" si="35"/>
        <v>1</v>
      </c>
      <c r="Z103" s="5" t="str">
        <f t="shared" si="36"/>
        <v>1</v>
      </c>
      <c r="AA103" s="5" t="str">
        <f t="shared" si="37"/>
        <v>1</v>
      </c>
      <c r="AB103" s="5" t="str">
        <f t="shared" si="31"/>
        <v>1</v>
      </c>
      <c r="AC103" s="5" t="str">
        <f t="shared" si="32"/>
        <v>1</v>
      </c>
      <c r="AD103" s="5" t="str">
        <f t="shared" si="33"/>
        <v>1</v>
      </c>
      <c r="AE103" s="5" t="str">
        <f t="shared" si="34"/>
        <v>1</v>
      </c>
    </row>
    <row r="105" spans="1:31" x14ac:dyDescent="0.25">
      <c r="A105" s="3" t="s">
        <v>76</v>
      </c>
    </row>
    <row r="106" spans="1:31" x14ac:dyDescent="0.25">
      <c r="A106" s="3" t="s">
        <v>6</v>
      </c>
    </row>
    <row r="107" spans="1:31" x14ac:dyDescent="0.25">
      <c r="A107" s="3" t="s">
        <v>7</v>
      </c>
    </row>
  </sheetData>
  <mergeCells count="31">
    <mergeCell ref="G1:G2"/>
    <mergeCell ref="C1:C2"/>
    <mergeCell ref="A1:A2"/>
    <mergeCell ref="B1:B2"/>
    <mergeCell ref="D1:D2"/>
    <mergeCell ref="E1:E2"/>
    <mergeCell ref="F1:F2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AE1:AE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E107"/>
  <sheetViews>
    <sheetView workbookViewId="0">
      <selection activeCell="F4" sqref="F4:F103"/>
    </sheetView>
  </sheetViews>
  <sheetFormatPr defaultColWidth="9.109375" defaultRowHeight="13.8" x14ac:dyDescent="0.25"/>
  <cols>
    <col min="1" max="1" width="5.33203125" style="3" customWidth="1"/>
    <col min="2" max="2" width="13" style="3" customWidth="1"/>
    <col min="3" max="3" width="8.44140625" style="3" customWidth="1"/>
    <col min="4" max="4" width="8.5546875" style="3" customWidth="1"/>
    <col min="5" max="5" width="5" style="6" customWidth="1"/>
    <col min="6" max="6" width="10.6640625" style="3" customWidth="1"/>
    <col min="7" max="10" width="9.109375" style="3"/>
    <col min="11" max="11" width="10" style="3" bestFit="1" customWidth="1"/>
    <col min="12" max="25" width="10.88671875" style="3" customWidth="1"/>
    <col min="26" max="26" width="9.5546875" style="3" bestFit="1" customWidth="1"/>
    <col min="27" max="16384" width="9.109375" style="3"/>
  </cols>
  <sheetData>
    <row r="1" spans="1:31" ht="15" customHeight="1" x14ac:dyDescent="0.25">
      <c r="A1" s="24" t="s">
        <v>104</v>
      </c>
      <c r="B1" s="26" t="s">
        <v>4</v>
      </c>
      <c r="C1" s="27" t="s">
        <v>197</v>
      </c>
      <c r="D1" s="26" t="s">
        <v>0</v>
      </c>
      <c r="E1" s="26" t="s">
        <v>3</v>
      </c>
      <c r="F1" s="23" t="s">
        <v>52</v>
      </c>
      <c r="G1" s="23" t="s">
        <v>1</v>
      </c>
      <c r="H1" s="23" t="s">
        <v>53</v>
      </c>
      <c r="I1" s="26" t="s">
        <v>2</v>
      </c>
      <c r="J1" s="23" t="s">
        <v>96</v>
      </c>
      <c r="K1" s="23" t="s">
        <v>97</v>
      </c>
      <c r="L1" s="23" t="s">
        <v>59</v>
      </c>
      <c r="M1" s="23" t="s">
        <v>60</v>
      </c>
      <c r="N1" s="23" t="s">
        <v>61</v>
      </c>
      <c r="O1" s="23" t="s">
        <v>62</v>
      </c>
      <c r="P1" s="23" t="s">
        <v>63</v>
      </c>
      <c r="Q1" s="23" t="s">
        <v>64</v>
      </c>
      <c r="R1" s="23" t="s">
        <v>95</v>
      </c>
      <c r="S1" s="23" t="s">
        <v>65</v>
      </c>
      <c r="T1" s="23" t="s">
        <v>66</v>
      </c>
      <c r="U1" s="23" t="s">
        <v>67</v>
      </c>
      <c r="V1" s="23" t="s">
        <v>68</v>
      </c>
      <c r="W1" s="23" t="s">
        <v>69</v>
      </c>
      <c r="X1" s="23" t="s">
        <v>70</v>
      </c>
      <c r="Y1" s="23" t="s">
        <v>98</v>
      </c>
      <c r="Z1" s="23" t="s">
        <v>75</v>
      </c>
      <c r="AA1" s="23" t="s">
        <v>71</v>
      </c>
      <c r="AB1" s="23" t="s">
        <v>72</v>
      </c>
      <c r="AC1" s="23" t="s">
        <v>73</v>
      </c>
      <c r="AD1" s="23" t="s">
        <v>74</v>
      </c>
      <c r="AE1" s="23" t="s">
        <v>54</v>
      </c>
    </row>
    <row r="2" spans="1:31" ht="30.75" customHeight="1" x14ac:dyDescent="0.25">
      <c r="A2" s="25"/>
      <c r="B2" s="26"/>
      <c r="C2" s="28"/>
      <c r="D2" s="26"/>
      <c r="E2" s="26"/>
      <c r="F2" s="23"/>
      <c r="G2" s="23"/>
      <c r="H2" s="23"/>
      <c r="I2" s="26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spans="1:31" s="9" customFormat="1" ht="13.2" x14ac:dyDescent="0.25">
      <c r="A3" s="7">
        <v>1</v>
      </c>
      <c r="B3" s="8">
        <v>2</v>
      </c>
      <c r="C3" s="7">
        <v>3</v>
      </c>
      <c r="D3" s="8">
        <v>4</v>
      </c>
      <c r="E3" s="7">
        <v>5</v>
      </c>
      <c r="F3" s="8">
        <v>6</v>
      </c>
      <c r="G3" s="7">
        <v>7</v>
      </c>
      <c r="H3" s="8">
        <v>8</v>
      </c>
      <c r="I3" s="7">
        <v>9</v>
      </c>
      <c r="J3" s="8">
        <v>10</v>
      </c>
      <c r="K3" s="7">
        <v>11</v>
      </c>
      <c r="L3" s="8">
        <v>12</v>
      </c>
      <c r="M3" s="7">
        <v>13</v>
      </c>
      <c r="N3" s="8">
        <v>14</v>
      </c>
      <c r="O3" s="7">
        <v>15</v>
      </c>
      <c r="P3" s="8">
        <v>16</v>
      </c>
      <c r="Q3" s="7">
        <v>17</v>
      </c>
      <c r="R3" s="8">
        <v>18</v>
      </c>
      <c r="S3" s="7">
        <v>19</v>
      </c>
      <c r="T3" s="8">
        <v>20</v>
      </c>
      <c r="U3" s="7">
        <v>21</v>
      </c>
      <c r="V3" s="8">
        <v>22</v>
      </c>
      <c r="W3" s="7">
        <v>23</v>
      </c>
      <c r="X3" s="8">
        <v>24</v>
      </c>
      <c r="Y3" s="7">
        <v>25</v>
      </c>
      <c r="Z3" s="8">
        <v>26</v>
      </c>
      <c r="AA3" s="7">
        <v>27</v>
      </c>
      <c r="AB3" s="8">
        <v>28</v>
      </c>
      <c r="AC3" s="7">
        <v>29</v>
      </c>
      <c r="AD3" s="8">
        <v>30</v>
      </c>
      <c r="AE3" s="7">
        <v>31</v>
      </c>
    </row>
    <row r="4" spans="1:31" ht="14.4" x14ac:dyDescent="0.3">
      <c r="A4" s="14">
        <v>1</v>
      </c>
      <c r="B4" s="15" t="s">
        <v>109</v>
      </c>
      <c r="C4" s="10">
        <v>9</v>
      </c>
      <c r="D4" s="10">
        <v>25</v>
      </c>
      <c r="E4" s="16">
        <v>365</v>
      </c>
      <c r="F4" s="22">
        <v>2.0000000000000001E-4</v>
      </c>
      <c r="G4" s="10">
        <v>1500</v>
      </c>
      <c r="H4" s="12">
        <v>2.9999999999999997E-4</v>
      </c>
      <c r="I4" s="18">
        <v>10950</v>
      </c>
      <c r="J4" s="20">
        <v>9</v>
      </c>
      <c r="K4" s="19">
        <f t="shared" ref="K4:K28" si="0">(F4*G4*E4*J4)/(D4*I4)</f>
        <v>3.5999999999999999E-3</v>
      </c>
      <c r="L4" s="2">
        <f t="shared" ref="L4:L27" si="1">(F4*G4*E4*5)/(D4*I4)</f>
        <v>2E-3</v>
      </c>
      <c r="M4" s="2">
        <f t="shared" ref="M4:M27" si="2">(F4*G4*E4*10)/(D4*I4)</f>
        <v>4.0000000000000001E-3</v>
      </c>
      <c r="N4" s="2">
        <f t="shared" ref="N4:N27" si="3">(F4*G4*E4*15)/(D4*I4)</f>
        <v>6.0000000000000001E-3</v>
      </c>
      <c r="O4" s="2">
        <f t="shared" ref="O4:O27" si="4">(F4*G4*E4*20)/(D4*I4)</f>
        <v>8.0000000000000002E-3</v>
      </c>
      <c r="P4" s="2">
        <f t="shared" ref="P4:P27" si="5">(F4*G4*E4*25)/(D4*I4)</f>
        <v>0.01</v>
      </c>
      <c r="Q4" s="2">
        <f t="shared" ref="Q4:Q27" si="6">(F4*G4*E4*30)/(D4*I4)</f>
        <v>1.2E-2</v>
      </c>
      <c r="R4" s="2">
        <f t="shared" ref="R4:R28" si="7">K4/H4</f>
        <v>12</v>
      </c>
      <c r="S4" s="2">
        <f t="shared" ref="S4:S28" si="8">L4/H4</f>
        <v>6.666666666666667</v>
      </c>
      <c r="T4" s="2">
        <f t="shared" ref="T4:T28" si="9">M4/H4</f>
        <v>13.333333333333334</v>
      </c>
      <c r="U4" s="2">
        <f t="shared" ref="U4:U28" si="10">N4/H4</f>
        <v>20.000000000000004</v>
      </c>
      <c r="V4" s="2">
        <f t="shared" ref="V4:V28" si="11">O4/H4</f>
        <v>26.666666666666668</v>
      </c>
      <c r="W4" s="2">
        <f t="shared" ref="W4:W28" si="12">P4/H4</f>
        <v>33.333333333333336</v>
      </c>
      <c r="X4" s="2">
        <f t="shared" ref="X4:X28" si="13">Q4/H4</f>
        <v>40.000000000000007</v>
      </c>
      <c r="Y4" s="5" t="str">
        <f t="shared" ref="Y4:Y28" si="14">IF(R4&gt;1,"1","2")</f>
        <v>1</v>
      </c>
      <c r="Z4" s="5" t="str">
        <f t="shared" ref="Z4:Z28" si="15">IF(S4&gt;1,"1","2")</f>
        <v>1</v>
      </c>
      <c r="AA4" s="5" t="str">
        <f t="shared" ref="AA4:AE28" si="16">IF(T4&gt;1,"1","2")</f>
        <v>1</v>
      </c>
      <c r="AB4" s="5" t="str">
        <f t="shared" si="16"/>
        <v>1</v>
      </c>
      <c r="AC4" s="5" t="str">
        <f t="shared" si="16"/>
        <v>1</v>
      </c>
      <c r="AD4" s="5" t="str">
        <f t="shared" si="16"/>
        <v>1</v>
      </c>
      <c r="AE4" s="5" t="str">
        <f t="shared" si="16"/>
        <v>1</v>
      </c>
    </row>
    <row r="5" spans="1:31" ht="14.4" x14ac:dyDescent="0.3">
      <c r="A5" s="14">
        <v>2</v>
      </c>
      <c r="B5" s="15" t="s">
        <v>110</v>
      </c>
      <c r="C5" s="10">
        <v>9</v>
      </c>
      <c r="D5" s="10">
        <v>25</v>
      </c>
      <c r="E5" s="16">
        <v>365</v>
      </c>
      <c r="F5" s="22">
        <v>2.0000000000000001E-4</v>
      </c>
      <c r="G5" s="10">
        <v>900</v>
      </c>
      <c r="H5" s="12">
        <v>2.9999999999999997E-4</v>
      </c>
      <c r="I5" s="18">
        <v>10950</v>
      </c>
      <c r="J5" s="20">
        <v>9</v>
      </c>
      <c r="K5" s="19">
        <f t="shared" si="0"/>
        <v>2.1600000000000005E-3</v>
      </c>
      <c r="L5" s="2">
        <f t="shared" si="1"/>
        <v>1.1999999999999999E-3</v>
      </c>
      <c r="M5" s="2">
        <f t="shared" si="2"/>
        <v>2.3999999999999998E-3</v>
      </c>
      <c r="N5" s="2">
        <f t="shared" si="3"/>
        <v>3.5999999999999999E-3</v>
      </c>
      <c r="O5" s="2">
        <f t="shared" si="4"/>
        <v>4.7999999999999996E-3</v>
      </c>
      <c r="P5" s="2">
        <f t="shared" si="5"/>
        <v>6.0000000000000001E-3</v>
      </c>
      <c r="Q5" s="2">
        <f t="shared" si="6"/>
        <v>7.1999999999999998E-3</v>
      </c>
      <c r="R5" s="2">
        <f t="shared" si="7"/>
        <v>7.200000000000002</v>
      </c>
      <c r="S5" s="2">
        <f t="shared" si="8"/>
        <v>4</v>
      </c>
      <c r="T5" s="2">
        <f t="shared" si="9"/>
        <v>8</v>
      </c>
      <c r="U5" s="2">
        <f t="shared" si="10"/>
        <v>12</v>
      </c>
      <c r="V5" s="2">
        <f t="shared" si="11"/>
        <v>16</v>
      </c>
      <c r="W5" s="2">
        <f t="shared" si="12"/>
        <v>20.000000000000004</v>
      </c>
      <c r="X5" s="2">
        <f t="shared" si="13"/>
        <v>24</v>
      </c>
      <c r="Y5" s="5" t="str">
        <f t="shared" si="14"/>
        <v>1</v>
      </c>
      <c r="Z5" s="5" t="str">
        <f t="shared" si="15"/>
        <v>1</v>
      </c>
      <c r="AA5" s="5" t="str">
        <f t="shared" si="16"/>
        <v>1</v>
      </c>
      <c r="AB5" s="5" t="str">
        <f t="shared" si="16"/>
        <v>1</v>
      </c>
      <c r="AC5" s="5" t="str">
        <f t="shared" si="16"/>
        <v>1</v>
      </c>
      <c r="AD5" s="5" t="str">
        <f t="shared" si="16"/>
        <v>1</v>
      </c>
      <c r="AE5" s="5" t="str">
        <f t="shared" si="16"/>
        <v>1</v>
      </c>
    </row>
    <row r="6" spans="1:31" ht="14.4" x14ac:dyDescent="0.3">
      <c r="A6" s="14">
        <v>3</v>
      </c>
      <c r="B6" s="15" t="s">
        <v>111</v>
      </c>
      <c r="C6" s="10">
        <v>9</v>
      </c>
      <c r="D6" s="10">
        <v>25</v>
      </c>
      <c r="E6" s="16">
        <v>365</v>
      </c>
      <c r="F6" s="22">
        <v>2.0000000000000001E-4</v>
      </c>
      <c r="G6" s="10">
        <v>900</v>
      </c>
      <c r="H6" s="12">
        <v>2.9999999999999997E-4</v>
      </c>
      <c r="I6" s="18">
        <v>10950</v>
      </c>
      <c r="J6" s="20">
        <v>9</v>
      </c>
      <c r="K6" s="19">
        <f t="shared" si="0"/>
        <v>2.1600000000000005E-3</v>
      </c>
      <c r="L6" s="2">
        <f t="shared" si="1"/>
        <v>1.1999999999999999E-3</v>
      </c>
      <c r="M6" s="2">
        <f t="shared" si="2"/>
        <v>2.3999999999999998E-3</v>
      </c>
      <c r="N6" s="2">
        <f t="shared" si="3"/>
        <v>3.5999999999999999E-3</v>
      </c>
      <c r="O6" s="2">
        <f t="shared" si="4"/>
        <v>4.7999999999999996E-3</v>
      </c>
      <c r="P6" s="2">
        <f t="shared" si="5"/>
        <v>6.0000000000000001E-3</v>
      </c>
      <c r="Q6" s="2">
        <f t="shared" si="6"/>
        <v>7.1999999999999998E-3</v>
      </c>
      <c r="R6" s="2">
        <f t="shared" si="7"/>
        <v>7.200000000000002</v>
      </c>
      <c r="S6" s="2">
        <f t="shared" si="8"/>
        <v>4</v>
      </c>
      <c r="T6" s="2">
        <f t="shared" si="9"/>
        <v>8</v>
      </c>
      <c r="U6" s="2">
        <f t="shared" si="10"/>
        <v>12</v>
      </c>
      <c r="V6" s="2">
        <f t="shared" si="11"/>
        <v>16</v>
      </c>
      <c r="W6" s="2">
        <f t="shared" si="12"/>
        <v>20.000000000000004</v>
      </c>
      <c r="X6" s="2">
        <f t="shared" si="13"/>
        <v>24</v>
      </c>
      <c r="Y6" s="5" t="str">
        <f t="shared" si="14"/>
        <v>1</v>
      </c>
      <c r="Z6" s="5" t="str">
        <f t="shared" si="15"/>
        <v>1</v>
      </c>
      <c r="AA6" s="5" t="str">
        <f t="shared" si="16"/>
        <v>1</v>
      </c>
      <c r="AB6" s="5" t="str">
        <f t="shared" si="16"/>
        <v>1</v>
      </c>
      <c r="AC6" s="5" t="str">
        <f t="shared" si="16"/>
        <v>1</v>
      </c>
      <c r="AD6" s="5" t="str">
        <f t="shared" si="16"/>
        <v>1</v>
      </c>
      <c r="AE6" s="5" t="str">
        <f t="shared" si="16"/>
        <v>1</v>
      </c>
    </row>
    <row r="7" spans="1:31" ht="14.4" x14ac:dyDescent="0.3">
      <c r="A7" s="14">
        <v>4</v>
      </c>
      <c r="B7" s="15" t="s">
        <v>112</v>
      </c>
      <c r="C7" s="10">
        <v>9</v>
      </c>
      <c r="D7" s="10">
        <v>23</v>
      </c>
      <c r="E7" s="16">
        <v>365</v>
      </c>
      <c r="F7" s="22">
        <v>2.0000000000000001E-4</v>
      </c>
      <c r="G7" s="10">
        <v>1500</v>
      </c>
      <c r="H7" s="12">
        <v>2.9999999999999997E-4</v>
      </c>
      <c r="I7" s="18">
        <v>10950</v>
      </c>
      <c r="J7" s="20">
        <v>9</v>
      </c>
      <c r="K7" s="19">
        <f t="shared" si="0"/>
        <v>3.9130434782608699E-3</v>
      </c>
      <c r="L7" s="2">
        <f t="shared" si="1"/>
        <v>2.1739130434782609E-3</v>
      </c>
      <c r="M7" s="2">
        <f t="shared" si="2"/>
        <v>4.3478260869565218E-3</v>
      </c>
      <c r="N7" s="2">
        <f t="shared" si="3"/>
        <v>6.5217391304347823E-3</v>
      </c>
      <c r="O7" s="2">
        <f t="shared" si="4"/>
        <v>8.6956521739130436E-3</v>
      </c>
      <c r="P7" s="2">
        <f t="shared" si="5"/>
        <v>1.0869565217391304E-2</v>
      </c>
      <c r="Q7" s="2">
        <f t="shared" si="6"/>
        <v>1.3043478260869565E-2</v>
      </c>
      <c r="R7" s="2">
        <f t="shared" si="7"/>
        <v>13.043478260869568</v>
      </c>
      <c r="S7" s="2">
        <f t="shared" si="8"/>
        <v>7.246376811594204</v>
      </c>
      <c r="T7" s="2">
        <f t="shared" si="9"/>
        <v>14.492753623188408</v>
      </c>
      <c r="U7" s="2">
        <f t="shared" si="10"/>
        <v>21.739130434782609</v>
      </c>
      <c r="V7" s="2">
        <f t="shared" si="11"/>
        <v>28.985507246376816</v>
      </c>
      <c r="W7" s="2">
        <f t="shared" si="12"/>
        <v>36.231884057971016</v>
      </c>
      <c r="X7" s="2">
        <f t="shared" si="13"/>
        <v>43.478260869565219</v>
      </c>
      <c r="Y7" s="5" t="str">
        <f t="shared" si="14"/>
        <v>1</v>
      </c>
      <c r="Z7" s="5" t="str">
        <f t="shared" si="15"/>
        <v>1</v>
      </c>
      <c r="AA7" s="5" t="str">
        <f t="shared" si="16"/>
        <v>1</v>
      </c>
      <c r="AB7" s="5" t="str">
        <f t="shared" si="16"/>
        <v>1</v>
      </c>
      <c r="AC7" s="5" t="str">
        <f t="shared" si="16"/>
        <v>1</v>
      </c>
      <c r="AD7" s="5" t="str">
        <f t="shared" si="16"/>
        <v>1</v>
      </c>
      <c r="AE7" s="5" t="str">
        <f t="shared" si="16"/>
        <v>1</v>
      </c>
    </row>
    <row r="8" spans="1:31" ht="14.4" x14ac:dyDescent="0.3">
      <c r="A8" s="14">
        <v>5</v>
      </c>
      <c r="B8" s="15" t="s">
        <v>113</v>
      </c>
      <c r="C8" s="10">
        <v>9</v>
      </c>
      <c r="D8" s="10">
        <v>20</v>
      </c>
      <c r="E8" s="16">
        <v>365</v>
      </c>
      <c r="F8" s="22">
        <v>2.0000000000000001E-4</v>
      </c>
      <c r="G8" s="10">
        <v>2100</v>
      </c>
      <c r="H8" s="12">
        <v>2.9999999999999997E-4</v>
      </c>
      <c r="I8" s="18">
        <v>10950</v>
      </c>
      <c r="J8" s="20">
        <v>9</v>
      </c>
      <c r="K8" s="19">
        <f t="shared" si="0"/>
        <v>6.3E-3</v>
      </c>
      <c r="L8" s="2">
        <f t="shared" si="1"/>
        <v>3.5000000000000001E-3</v>
      </c>
      <c r="M8" s="2">
        <f t="shared" si="2"/>
        <v>7.0000000000000001E-3</v>
      </c>
      <c r="N8" s="2">
        <f t="shared" si="3"/>
        <v>1.0500000000000001E-2</v>
      </c>
      <c r="O8" s="2">
        <f t="shared" si="4"/>
        <v>1.4E-2</v>
      </c>
      <c r="P8" s="2">
        <f t="shared" si="5"/>
        <v>1.7500000000000002E-2</v>
      </c>
      <c r="Q8" s="2">
        <f t="shared" si="6"/>
        <v>2.1000000000000001E-2</v>
      </c>
      <c r="R8" s="2">
        <f t="shared" si="7"/>
        <v>21.000000000000004</v>
      </c>
      <c r="S8" s="2">
        <f t="shared" si="8"/>
        <v>11.666666666666668</v>
      </c>
      <c r="T8" s="2">
        <f t="shared" si="9"/>
        <v>23.333333333333336</v>
      </c>
      <c r="U8" s="2">
        <f t="shared" si="10"/>
        <v>35.000000000000007</v>
      </c>
      <c r="V8" s="2">
        <f t="shared" si="11"/>
        <v>46.666666666666671</v>
      </c>
      <c r="W8" s="2">
        <f t="shared" si="12"/>
        <v>58.333333333333343</v>
      </c>
      <c r="X8" s="2">
        <f t="shared" si="13"/>
        <v>70.000000000000014</v>
      </c>
      <c r="Y8" s="5" t="str">
        <f t="shared" si="14"/>
        <v>1</v>
      </c>
      <c r="Z8" s="5" t="str">
        <f t="shared" si="15"/>
        <v>1</v>
      </c>
      <c r="AA8" s="5" t="str">
        <f t="shared" si="16"/>
        <v>1</v>
      </c>
      <c r="AB8" s="5" t="str">
        <f t="shared" si="16"/>
        <v>1</v>
      </c>
      <c r="AC8" s="5" t="str">
        <f t="shared" si="16"/>
        <v>1</v>
      </c>
      <c r="AD8" s="5" t="str">
        <f t="shared" si="16"/>
        <v>1</v>
      </c>
      <c r="AE8" s="5" t="str">
        <f t="shared" si="16"/>
        <v>1</v>
      </c>
    </row>
    <row r="9" spans="1:31" ht="14.4" x14ac:dyDescent="0.3">
      <c r="A9" s="14">
        <v>6</v>
      </c>
      <c r="B9" s="15" t="s">
        <v>114</v>
      </c>
      <c r="C9" s="10">
        <v>9</v>
      </c>
      <c r="D9" s="10">
        <v>40</v>
      </c>
      <c r="E9" s="16">
        <v>365</v>
      </c>
      <c r="F9" s="22">
        <v>2.0000000000000001E-4</v>
      </c>
      <c r="G9" s="10">
        <v>900</v>
      </c>
      <c r="H9" s="12">
        <v>2.9999999999999997E-4</v>
      </c>
      <c r="I9" s="18">
        <v>10950</v>
      </c>
      <c r="J9" s="20">
        <v>5</v>
      </c>
      <c r="K9" s="19">
        <f t="shared" si="0"/>
        <v>7.5000000000000002E-4</v>
      </c>
      <c r="L9" s="2">
        <f t="shared" si="1"/>
        <v>7.5000000000000002E-4</v>
      </c>
      <c r="M9" s="2">
        <f t="shared" si="2"/>
        <v>1.5E-3</v>
      </c>
      <c r="N9" s="2">
        <f t="shared" si="3"/>
        <v>2.2499999999999998E-3</v>
      </c>
      <c r="O9" s="2">
        <f t="shared" si="4"/>
        <v>3.0000000000000001E-3</v>
      </c>
      <c r="P9" s="2">
        <f t="shared" si="5"/>
        <v>3.7499999999999999E-3</v>
      </c>
      <c r="Q9" s="2">
        <f t="shared" si="6"/>
        <v>4.4999999999999997E-3</v>
      </c>
      <c r="R9" s="2">
        <f t="shared" si="7"/>
        <v>2.5000000000000004</v>
      </c>
      <c r="S9" s="2">
        <f t="shared" si="8"/>
        <v>2.5000000000000004</v>
      </c>
      <c r="T9" s="2">
        <f t="shared" si="9"/>
        <v>5.0000000000000009</v>
      </c>
      <c r="U9" s="2">
        <f t="shared" si="10"/>
        <v>7.5</v>
      </c>
      <c r="V9" s="2">
        <f t="shared" si="11"/>
        <v>10.000000000000002</v>
      </c>
      <c r="W9" s="2">
        <f t="shared" si="12"/>
        <v>12.5</v>
      </c>
      <c r="X9" s="2">
        <f t="shared" si="13"/>
        <v>15</v>
      </c>
      <c r="Y9" s="5" t="str">
        <f t="shared" si="14"/>
        <v>1</v>
      </c>
      <c r="Z9" s="5" t="str">
        <f t="shared" si="15"/>
        <v>1</v>
      </c>
      <c r="AA9" s="5" t="str">
        <f t="shared" si="16"/>
        <v>1</v>
      </c>
      <c r="AB9" s="5" t="str">
        <f t="shared" si="16"/>
        <v>1</v>
      </c>
      <c r="AC9" s="5" t="str">
        <f t="shared" si="16"/>
        <v>1</v>
      </c>
      <c r="AD9" s="5" t="str">
        <f t="shared" si="16"/>
        <v>1</v>
      </c>
      <c r="AE9" s="5" t="str">
        <f t="shared" si="16"/>
        <v>1</v>
      </c>
    </row>
    <row r="10" spans="1:31" ht="14.4" x14ac:dyDescent="0.3">
      <c r="A10" s="14">
        <v>7</v>
      </c>
      <c r="B10" s="15" t="s">
        <v>115</v>
      </c>
      <c r="C10" s="10">
        <v>9</v>
      </c>
      <c r="D10" s="10">
        <v>22</v>
      </c>
      <c r="E10" s="16">
        <v>365</v>
      </c>
      <c r="F10" s="22">
        <v>2.0000000000000001E-4</v>
      </c>
      <c r="G10" s="10">
        <v>900</v>
      </c>
      <c r="H10" s="12">
        <v>2.9999999999999997E-4</v>
      </c>
      <c r="I10" s="18">
        <v>10950</v>
      </c>
      <c r="J10" s="20">
        <v>9</v>
      </c>
      <c r="K10" s="19">
        <f t="shared" si="0"/>
        <v>2.4545454545454549E-3</v>
      </c>
      <c r="L10" s="2">
        <f t="shared" si="1"/>
        <v>1.3636363636363637E-3</v>
      </c>
      <c r="M10" s="2">
        <f t="shared" si="2"/>
        <v>2.7272727272727275E-3</v>
      </c>
      <c r="N10" s="2">
        <f t="shared" si="3"/>
        <v>4.0909090909090912E-3</v>
      </c>
      <c r="O10" s="2">
        <f t="shared" si="4"/>
        <v>5.454545454545455E-3</v>
      </c>
      <c r="P10" s="2">
        <f t="shared" si="5"/>
        <v>6.8181818181818179E-3</v>
      </c>
      <c r="Q10" s="2">
        <f t="shared" si="6"/>
        <v>8.1818181818181825E-3</v>
      </c>
      <c r="R10" s="2">
        <f t="shared" si="7"/>
        <v>8.1818181818181834</v>
      </c>
      <c r="S10" s="2">
        <f t="shared" si="8"/>
        <v>4.5454545454545459</v>
      </c>
      <c r="T10" s="2">
        <f t="shared" si="9"/>
        <v>9.0909090909090917</v>
      </c>
      <c r="U10" s="2">
        <f t="shared" si="10"/>
        <v>13.636363636363638</v>
      </c>
      <c r="V10" s="2">
        <f t="shared" si="11"/>
        <v>18.181818181818183</v>
      </c>
      <c r="W10" s="2">
        <f t="shared" si="12"/>
        <v>22.727272727272727</v>
      </c>
      <c r="X10" s="2">
        <f t="shared" si="13"/>
        <v>27.272727272727277</v>
      </c>
      <c r="Y10" s="5" t="str">
        <f t="shared" si="14"/>
        <v>1</v>
      </c>
      <c r="Z10" s="5" t="str">
        <f t="shared" si="15"/>
        <v>1</v>
      </c>
      <c r="AA10" s="5" t="str">
        <f t="shared" si="16"/>
        <v>1</v>
      </c>
      <c r="AB10" s="5" t="str">
        <f t="shared" si="16"/>
        <v>1</v>
      </c>
      <c r="AC10" s="5" t="str">
        <f t="shared" si="16"/>
        <v>1</v>
      </c>
      <c r="AD10" s="5" t="str">
        <f t="shared" si="16"/>
        <v>1</v>
      </c>
      <c r="AE10" s="5" t="str">
        <f t="shared" si="16"/>
        <v>1</v>
      </c>
    </row>
    <row r="11" spans="1:31" ht="14.4" x14ac:dyDescent="0.3">
      <c r="A11" s="14">
        <v>8</v>
      </c>
      <c r="B11" s="15" t="s">
        <v>116</v>
      </c>
      <c r="C11" s="10">
        <v>9</v>
      </c>
      <c r="D11" s="10">
        <v>20</v>
      </c>
      <c r="E11" s="16">
        <v>365</v>
      </c>
      <c r="F11" s="22">
        <v>2.0000000000000001E-4</v>
      </c>
      <c r="G11" s="10">
        <v>900</v>
      </c>
      <c r="H11" s="12">
        <v>2.9999999999999997E-4</v>
      </c>
      <c r="I11" s="18">
        <v>10950</v>
      </c>
      <c r="J11" s="20">
        <v>6</v>
      </c>
      <c r="K11" s="19">
        <f t="shared" si="0"/>
        <v>1.8000000000000002E-3</v>
      </c>
      <c r="L11" s="2">
        <f t="shared" si="1"/>
        <v>1.5E-3</v>
      </c>
      <c r="M11" s="2">
        <f t="shared" si="2"/>
        <v>3.0000000000000001E-3</v>
      </c>
      <c r="N11" s="2">
        <f t="shared" si="3"/>
        <v>4.4999999999999997E-3</v>
      </c>
      <c r="O11" s="2">
        <f t="shared" si="4"/>
        <v>6.0000000000000001E-3</v>
      </c>
      <c r="P11" s="2">
        <f t="shared" si="5"/>
        <v>7.4999999999999997E-3</v>
      </c>
      <c r="Q11" s="2">
        <f t="shared" si="6"/>
        <v>8.9999999999999993E-3</v>
      </c>
      <c r="R11" s="2">
        <f t="shared" si="7"/>
        <v>6.0000000000000009</v>
      </c>
      <c r="S11" s="2">
        <f t="shared" si="8"/>
        <v>5.0000000000000009</v>
      </c>
      <c r="T11" s="2">
        <f t="shared" si="9"/>
        <v>10.000000000000002</v>
      </c>
      <c r="U11" s="2">
        <f t="shared" si="10"/>
        <v>15</v>
      </c>
      <c r="V11" s="2">
        <f t="shared" si="11"/>
        <v>20.000000000000004</v>
      </c>
      <c r="W11" s="2">
        <f t="shared" si="12"/>
        <v>25</v>
      </c>
      <c r="X11" s="2">
        <f t="shared" si="13"/>
        <v>30</v>
      </c>
      <c r="Y11" s="5" t="str">
        <f t="shared" si="14"/>
        <v>1</v>
      </c>
      <c r="Z11" s="5" t="str">
        <f t="shared" si="15"/>
        <v>1</v>
      </c>
      <c r="AA11" s="5" t="str">
        <f t="shared" si="16"/>
        <v>1</v>
      </c>
      <c r="AB11" s="5" t="str">
        <f t="shared" si="16"/>
        <v>1</v>
      </c>
      <c r="AC11" s="5" t="str">
        <f t="shared" si="16"/>
        <v>1</v>
      </c>
      <c r="AD11" s="5" t="str">
        <f t="shared" si="16"/>
        <v>1</v>
      </c>
      <c r="AE11" s="5" t="str">
        <f t="shared" si="16"/>
        <v>1</v>
      </c>
    </row>
    <row r="12" spans="1:31" ht="14.4" x14ac:dyDescent="0.3">
      <c r="A12" s="14">
        <v>9</v>
      </c>
      <c r="B12" s="15" t="s">
        <v>117</v>
      </c>
      <c r="C12" s="10">
        <v>9</v>
      </c>
      <c r="D12" s="10">
        <v>39</v>
      </c>
      <c r="E12" s="16">
        <v>365</v>
      </c>
      <c r="F12" s="22">
        <v>2.0000000000000001E-4</v>
      </c>
      <c r="G12" s="10">
        <v>900</v>
      </c>
      <c r="H12" s="12">
        <v>2.9999999999999997E-4</v>
      </c>
      <c r="I12" s="18">
        <v>10950</v>
      </c>
      <c r="J12" s="20">
        <v>1</v>
      </c>
      <c r="K12" s="19">
        <f t="shared" si="0"/>
        <v>1.5384615384615385E-4</v>
      </c>
      <c r="L12" s="2">
        <f t="shared" si="1"/>
        <v>7.6923076923076923E-4</v>
      </c>
      <c r="M12" s="2">
        <f t="shared" si="2"/>
        <v>1.5384615384615385E-3</v>
      </c>
      <c r="N12" s="2">
        <f t="shared" si="3"/>
        <v>2.3076923076923079E-3</v>
      </c>
      <c r="O12" s="2">
        <f t="shared" si="4"/>
        <v>3.0769230769230769E-3</v>
      </c>
      <c r="P12" s="2">
        <f t="shared" si="5"/>
        <v>3.8461538461538464E-3</v>
      </c>
      <c r="Q12" s="2">
        <f t="shared" si="6"/>
        <v>4.6153846153846158E-3</v>
      </c>
      <c r="R12" s="2">
        <f t="shared" si="7"/>
        <v>0.51282051282051289</v>
      </c>
      <c r="S12" s="2">
        <f t="shared" si="8"/>
        <v>2.5641025641025643</v>
      </c>
      <c r="T12" s="2">
        <f t="shared" si="9"/>
        <v>5.1282051282051286</v>
      </c>
      <c r="U12" s="2">
        <f t="shared" si="10"/>
        <v>7.6923076923076934</v>
      </c>
      <c r="V12" s="2">
        <f t="shared" si="11"/>
        <v>10.256410256410257</v>
      </c>
      <c r="W12" s="2">
        <f t="shared" si="12"/>
        <v>12.820512820512823</v>
      </c>
      <c r="X12" s="2">
        <f t="shared" si="13"/>
        <v>15.384615384615387</v>
      </c>
      <c r="Y12" s="5" t="str">
        <f t="shared" si="14"/>
        <v>2</v>
      </c>
      <c r="Z12" s="5" t="str">
        <f t="shared" si="15"/>
        <v>1</v>
      </c>
      <c r="AA12" s="5" t="str">
        <f t="shared" si="16"/>
        <v>1</v>
      </c>
      <c r="AB12" s="5" t="str">
        <f t="shared" si="16"/>
        <v>1</v>
      </c>
      <c r="AC12" s="5" t="str">
        <f t="shared" si="16"/>
        <v>1</v>
      </c>
      <c r="AD12" s="5" t="str">
        <f t="shared" si="16"/>
        <v>1</v>
      </c>
      <c r="AE12" s="5" t="str">
        <f t="shared" si="16"/>
        <v>1</v>
      </c>
    </row>
    <row r="13" spans="1:31" ht="14.4" x14ac:dyDescent="0.3">
      <c r="A13" s="14">
        <v>10</v>
      </c>
      <c r="B13" s="15" t="s">
        <v>118</v>
      </c>
      <c r="C13" s="10">
        <v>9</v>
      </c>
      <c r="D13" s="10">
        <v>26</v>
      </c>
      <c r="E13" s="16">
        <v>365</v>
      </c>
      <c r="F13" s="22">
        <v>2.0000000000000001E-4</v>
      </c>
      <c r="G13" s="10">
        <v>900</v>
      </c>
      <c r="H13" s="12">
        <v>2.9999999999999997E-4</v>
      </c>
      <c r="I13" s="18">
        <v>10950</v>
      </c>
      <c r="J13" s="20">
        <v>9</v>
      </c>
      <c r="K13" s="19">
        <f t="shared" si="0"/>
        <v>2.0769230769230773E-3</v>
      </c>
      <c r="L13" s="2">
        <f t="shared" si="1"/>
        <v>1.153846153846154E-3</v>
      </c>
      <c r="M13" s="2">
        <f t="shared" si="2"/>
        <v>2.3076923076923079E-3</v>
      </c>
      <c r="N13" s="2">
        <f t="shared" si="3"/>
        <v>3.4615384615384616E-3</v>
      </c>
      <c r="O13" s="2">
        <f t="shared" si="4"/>
        <v>4.6153846153846158E-3</v>
      </c>
      <c r="P13" s="2">
        <f t="shared" si="5"/>
        <v>5.7692307692307696E-3</v>
      </c>
      <c r="Q13" s="2">
        <f t="shared" si="6"/>
        <v>6.9230769230769233E-3</v>
      </c>
      <c r="R13" s="2">
        <f t="shared" si="7"/>
        <v>6.9230769230769251</v>
      </c>
      <c r="S13" s="2">
        <f t="shared" si="8"/>
        <v>3.8461538461538467</v>
      </c>
      <c r="T13" s="2">
        <f t="shared" si="9"/>
        <v>7.6923076923076934</v>
      </c>
      <c r="U13" s="2">
        <f t="shared" si="10"/>
        <v>11.53846153846154</v>
      </c>
      <c r="V13" s="2">
        <f t="shared" si="11"/>
        <v>15.384615384615387</v>
      </c>
      <c r="W13" s="2">
        <f t="shared" si="12"/>
        <v>19.230769230769234</v>
      </c>
      <c r="X13" s="2">
        <f t="shared" si="13"/>
        <v>23.07692307692308</v>
      </c>
      <c r="Y13" s="5" t="str">
        <f t="shared" si="14"/>
        <v>1</v>
      </c>
      <c r="Z13" s="5" t="str">
        <f t="shared" si="15"/>
        <v>1</v>
      </c>
      <c r="AA13" s="5" t="str">
        <f t="shared" si="16"/>
        <v>1</v>
      </c>
      <c r="AB13" s="5" t="str">
        <f t="shared" si="16"/>
        <v>1</v>
      </c>
      <c r="AC13" s="5" t="str">
        <f t="shared" si="16"/>
        <v>1</v>
      </c>
      <c r="AD13" s="5" t="str">
        <f t="shared" si="16"/>
        <v>1</v>
      </c>
      <c r="AE13" s="5" t="str">
        <f t="shared" si="16"/>
        <v>1</v>
      </c>
    </row>
    <row r="14" spans="1:31" ht="14.4" x14ac:dyDescent="0.3">
      <c r="A14" s="14">
        <v>11</v>
      </c>
      <c r="B14" s="15" t="s">
        <v>119</v>
      </c>
      <c r="C14" s="10">
        <v>9</v>
      </c>
      <c r="D14" s="10">
        <v>25</v>
      </c>
      <c r="E14" s="16">
        <v>365</v>
      </c>
      <c r="F14" s="22">
        <v>2.0000000000000001E-4</v>
      </c>
      <c r="G14" s="10">
        <v>900</v>
      </c>
      <c r="H14" s="12">
        <v>2.9999999999999997E-4</v>
      </c>
      <c r="I14" s="18">
        <v>10950</v>
      </c>
      <c r="J14" s="20">
        <v>1</v>
      </c>
      <c r="K14" s="19">
        <f t="shared" si="0"/>
        <v>2.4000000000000001E-4</v>
      </c>
      <c r="L14" s="2">
        <f t="shared" si="1"/>
        <v>1.1999999999999999E-3</v>
      </c>
      <c r="M14" s="2">
        <f t="shared" si="2"/>
        <v>2.3999999999999998E-3</v>
      </c>
      <c r="N14" s="2">
        <f t="shared" si="3"/>
        <v>3.5999999999999999E-3</v>
      </c>
      <c r="O14" s="2">
        <f t="shared" si="4"/>
        <v>4.7999999999999996E-3</v>
      </c>
      <c r="P14" s="2">
        <f t="shared" si="5"/>
        <v>6.0000000000000001E-3</v>
      </c>
      <c r="Q14" s="2">
        <f t="shared" si="6"/>
        <v>7.1999999999999998E-3</v>
      </c>
      <c r="R14" s="2">
        <f t="shared" si="7"/>
        <v>0.8</v>
      </c>
      <c r="S14" s="2">
        <f t="shared" si="8"/>
        <v>4</v>
      </c>
      <c r="T14" s="2">
        <f t="shared" si="9"/>
        <v>8</v>
      </c>
      <c r="U14" s="2">
        <f t="shared" si="10"/>
        <v>12</v>
      </c>
      <c r="V14" s="2">
        <f t="shared" si="11"/>
        <v>16</v>
      </c>
      <c r="W14" s="2">
        <f t="shared" si="12"/>
        <v>20.000000000000004</v>
      </c>
      <c r="X14" s="2">
        <f t="shared" si="13"/>
        <v>24</v>
      </c>
      <c r="Y14" s="5" t="str">
        <f t="shared" si="14"/>
        <v>2</v>
      </c>
      <c r="Z14" s="5" t="str">
        <f t="shared" si="15"/>
        <v>1</v>
      </c>
      <c r="AA14" s="5" t="str">
        <f t="shared" si="16"/>
        <v>1</v>
      </c>
      <c r="AB14" s="5" t="str">
        <f t="shared" si="16"/>
        <v>1</v>
      </c>
      <c r="AC14" s="5" t="str">
        <f t="shared" si="16"/>
        <v>1</v>
      </c>
      <c r="AD14" s="5" t="str">
        <f t="shared" si="16"/>
        <v>1</v>
      </c>
      <c r="AE14" s="5" t="str">
        <f t="shared" si="16"/>
        <v>1</v>
      </c>
    </row>
    <row r="15" spans="1:31" ht="14.4" x14ac:dyDescent="0.3">
      <c r="A15" s="14">
        <v>12</v>
      </c>
      <c r="B15" s="15" t="s">
        <v>120</v>
      </c>
      <c r="C15" s="10">
        <v>9</v>
      </c>
      <c r="D15" s="10">
        <v>32</v>
      </c>
      <c r="E15" s="16">
        <v>365</v>
      </c>
      <c r="F15" s="22">
        <v>2.0000000000000001E-4</v>
      </c>
      <c r="G15" s="10">
        <v>900</v>
      </c>
      <c r="H15" s="12">
        <v>2.9999999999999997E-4</v>
      </c>
      <c r="I15" s="18">
        <v>10950</v>
      </c>
      <c r="J15" s="20">
        <v>9</v>
      </c>
      <c r="K15" s="19">
        <f t="shared" si="0"/>
        <v>1.6875000000000002E-3</v>
      </c>
      <c r="L15" s="2">
        <f t="shared" si="1"/>
        <v>9.3749999999999997E-4</v>
      </c>
      <c r="M15" s="2">
        <f t="shared" si="2"/>
        <v>1.8749999999999999E-3</v>
      </c>
      <c r="N15" s="2">
        <f t="shared" si="3"/>
        <v>2.8124999999999999E-3</v>
      </c>
      <c r="O15" s="2">
        <f t="shared" si="4"/>
        <v>3.7499999999999999E-3</v>
      </c>
      <c r="P15" s="2">
        <f t="shared" si="5"/>
        <v>4.6874999999999998E-3</v>
      </c>
      <c r="Q15" s="2">
        <f t="shared" si="6"/>
        <v>5.6249999999999998E-3</v>
      </c>
      <c r="R15" s="2">
        <f t="shared" si="7"/>
        <v>5.6250000000000009</v>
      </c>
      <c r="S15" s="2">
        <f t="shared" si="8"/>
        <v>3.125</v>
      </c>
      <c r="T15" s="2">
        <f t="shared" si="9"/>
        <v>6.25</v>
      </c>
      <c r="U15" s="2">
        <f t="shared" si="10"/>
        <v>9.375</v>
      </c>
      <c r="V15" s="2">
        <f t="shared" si="11"/>
        <v>12.5</v>
      </c>
      <c r="W15" s="2">
        <f t="shared" si="12"/>
        <v>15.625</v>
      </c>
      <c r="X15" s="2">
        <f t="shared" si="13"/>
        <v>18.75</v>
      </c>
      <c r="Y15" s="5" t="str">
        <f t="shared" si="14"/>
        <v>1</v>
      </c>
      <c r="Z15" s="5" t="str">
        <f t="shared" si="15"/>
        <v>1</v>
      </c>
      <c r="AA15" s="5" t="str">
        <f t="shared" si="16"/>
        <v>1</v>
      </c>
      <c r="AB15" s="5" t="str">
        <f t="shared" si="16"/>
        <v>1</v>
      </c>
      <c r="AC15" s="5" t="str">
        <f t="shared" si="16"/>
        <v>1</v>
      </c>
      <c r="AD15" s="5" t="str">
        <f t="shared" si="16"/>
        <v>1</v>
      </c>
      <c r="AE15" s="5" t="str">
        <f t="shared" si="16"/>
        <v>1</v>
      </c>
    </row>
    <row r="16" spans="1:31" ht="14.4" x14ac:dyDescent="0.3">
      <c r="A16" s="14">
        <v>13</v>
      </c>
      <c r="B16" s="15" t="s">
        <v>121</v>
      </c>
      <c r="C16" s="10">
        <v>9</v>
      </c>
      <c r="D16" s="10">
        <v>24</v>
      </c>
      <c r="E16" s="16">
        <v>365</v>
      </c>
      <c r="F16" s="22">
        <v>2.0000000000000001E-4</v>
      </c>
      <c r="G16" s="10">
        <v>900</v>
      </c>
      <c r="H16" s="12">
        <v>2.9999999999999997E-4</v>
      </c>
      <c r="I16" s="18">
        <v>10950</v>
      </c>
      <c r="J16" s="20">
        <v>9</v>
      </c>
      <c r="K16" s="19">
        <f t="shared" si="0"/>
        <v>2.2500000000000003E-3</v>
      </c>
      <c r="L16" s="2">
        <f t="shared" si="1"/>
        <v>1.25E-3</v>
      </c>
      <c r="M16" s="2">
        <f t="shared" si="2"/>
        <v>2.5000000000000001E-3</v>
      </c>
      <c r="N16" s="2">
        <f t="shared" si="3"/>
        <v>3.7499999999999999E-3</v>
      </c>
      <c r="O16" s="2">
        <f t="shared" si="4"/>
        <v>5.0000000000000001E-3</v>
      </c>
      <c r="P16" s="2">
        <f t="shared" si="5"/>
        <v>6.2500000000000003E-3</v>
      </c>
      <c r="Q16" s="2">
        <f t="shared" si="6"/>
        <v>7.4999999999999997E-3</v>
      </c>
      <c r="R16" s="2">
        <f t="shared" si="7"/>
        <v>7.5000000000000018</v>
      </c>
      <c r="S16" s="2">
        <f t="shared" si="8"/>
        <v>4.166666666666667</v>
      </c>
      <c r="T16" s="2">
        <f t="shared" si="9"/>
        <v>8.3333333333333339</v>
      </c>
      <c r="U16" s="2">
        <f t="shared" si="10"/>
        <v>12.5</v>
      </c>
      <c r="V16" s="2">
        <f t="shared" si="11"/>
        <v>16.666666666666668</v>
      </c>
      <c r="W16" s="2">
        <f t="shared" si="12"/>
        <v>20.833333333333336</v>
      </c>
      <c r="X16" s="2">
        <f t="shared" si="13"/>
        <v>25</v>
      </c>
      <c r="Y16" s="5" t="str">
        <f t="shared" si="14"/>
        <v>1</v>
      </c>
      <c r="Z16" s="5" t="str">
        <f t="shared" si="15"/>
        <v>1</v>
      </c>
      <c r="AA16" s="5" t="str">
        <f t="shared" si="16"/>
        <v>1</v>
      </c>
      <c r="AB16" s="5" t="str">
        <f t="shared" si="16"/>
        <v>1</v>
      </c>
      <c r="AC16" s="5" t="str">
        <f t="shared" si="16"/>
        <v>1</v>
      </c>
      <c r="AD16" s="5" t="str">
        <f t="shared" si="16"/>
        <v>1</v>
      </c>
      <c r="AE16" s="5" t="str">
        <f t="shared" si="16"/>
        <v>1</v>
      </c>
    </row>
    <row r="17" spans="1:31" ht="14.4" x14ac:dyDescent="0.3">
      <c r="A17" s="14">
        <v>14</v>
      </c>
      <c r="B17" s="15" t="s">
        <v>107</v>
      </c>
      <c r="C17" s="10">
        <v>9</v>
      </c>
      <c r="D17" s="10">
        <v>28</v>
      </c>
      <c r="E17" s="16">
        <v>365</v>
      </c>
      <c r="F17" s="22">
        <v>2.0000000000000001E-4</v>
      </c>
      <c r="G17" s="10">
        <v>900</v>
      </c>
      <c r="H17" s="12">
        <v>2.9999999999999997E-4</v>
      </c>
      <c r="I17" s="18">
        <v>10950</v>
      </c>
      <c r="J17" s="20">
        <v>4</v>
      </c>
      <c r="K17" s="19">
        <f t="shared" si="0"/>
        <v>8.5714285714285721E-4</v>
      </c>
      <c r="L17" s="2">
        <f t="shared" si="1"/>
        <v>1.0714285714285715E-3</v>
      </c>
      <c r="M17" s="2">
        <f t="shared" si="2"/>
        <v>2.142857142857143E-3</v>
      </c>
      <c r="N17" s="2">
        <f t="shared" si="3"/>
        <v>3.2142857142857142E-3</v>
      </c>
      <c r="O17" s="2">
        <f t="shared" si="4"/>
        <v>4.2857142857142859E-3</v>
      </c>
      <c r="P17" s="2">
        <f t="shared" si="5"/>
        <v>5.3571428571428572E-3</v>
      </c>
      <c r="Q17" s="2">
        <f t="shared" si="6"/>
        <v>6.4285714285714285E-3</v>
      </c>
      <c r="R17" s="2">
        <f t="shared" si="7"/>
        <v>2.8571428571428577</v>
      </c>
      <c r="S17" s="2">
        <f t="shared" si="8"/>
        <v>3.5714285714285721</v>
      </c>
      <c r="T17" s="2">
        <f t="shared" si="9"/>
        <v>7.1428571428571441</v>
      </c>
      <c r="U17" s="2">
        <f t="shared" si="10"/>
        <v>10.714285714285715</v>
      </c>
      <c r="V17" s="2">
        <f t="shared" si="11"/>
        <v>14.285714285714288</v>
      </c>
      <c r="W17" s="2">
        <f t="shared" si="12"/>
        <v>17.857142857142858</v>
      </c>
      <c r="X17" s="2">
        <f t="shared" si="13"/>
        <v>21.428571428571431</v>
      </c>
      <c r="Y17" s="5" t="str">
        <f t="shared" si="14"/>
        <v>1</v>
      </c>
      <c r="Z17" s="5" t="str">
        <f t="shared" si="15"/>
        <v>1</v>
      </c>
      <c r="AA17" s="5" t="str">
        <f t="shared" si="16"/>
        <v>1</v>
      </c>
      <c r="AB17" s="5" t="str">
        <f t="shared" si="16"/>
        <v>1</v>
      </c>
      <c r="AC17" s="5" t="str">
        <f t="shared" si="16"/>
        <v>1</v>
      </c>
      <c r="AD17" s="5" t="str">
        <f t="shared" si="16"/>
        <v>1</v>
      </c>
      <c r="AE17" s="5" t="str">
        <f t="shared" si="16"/>
        <v>1</v>
      </c>
    </row>
    <row r="18" spans="1:31" ht="14.4" x14ac:dyDescent="0.3">
      <c r="A18" s="14">
        <v>15</v>
      </c>
      <c r="B18" s="15" t="s">
        <v>122</v>
      </c>
      <c r="C18" s="10">
        <v>9</v>
      </c>
      <c r="D18" s="10">
        <v>29</v>
      </c>
      <c r="E18" s="16">
        <v>365</v>
      </c>
      <c r="F18" s="22">
        <v>2.0000000000000001E-4</v>
      </c>
      <c r="G18" s="10">
        <v>900</v>
      </c>
      <c r="H18" s="12">
        <v>2.9999999999999997E-4</v>
      </c>
      <c r="I18" s="18">
        <v>10950</v>
      </c>
      <c r="J18" s="20">
        <v>9</v>
      </c>
      <c r="K18" s="19">
        <f t="shared" si="0"/>
        <v>1.8620689655172416E-3</v>
      </c>
      <c r="L18" s="2">
        <f t="shared" si="1"/>
        <v>1.0344827586206897E-3</v>
      </c>
      <c r="M18" s="2">
        <f t="shared" si="2"/>
        <v>2.0689655172413794E-3</v>
      </c>
      <c r="N18" s="2">
        <f t="shared" si="3"/>
        <v>3.1034482758620688E-3</v>
      </c>
      <c r="O18" s="2">
        <f t="shared" si="4"/>
        <v>4.1379310344827587E-3</v>
      </c>
      <c r="P18" s="2">
        <f t="shared" si="5"/>
        <v>5.1724137931034482E-3</v>
      </c>
      <c r="Q18" s="2">
        <f t="shared" si="6"/>
        <v>6.2068965517241377E-3</v>
      </c>
      <c r="R18" s="2">
        <f t="shared" si="7"/>
        <v>6.2068965517241388</v>
      </c>
      <c r="S18" s="2">
        <f t="shared" si="8"/>
        <v>3.4482758620689657</v>
      </c>
      <c r="T18" s="2">
        <f t="shared" si="9"/>
        <v>6.8965517241379315</v>
      </c>
      <c r="U18" s="2">
        <f t="shared" si="10"/>
        <v>10.344827586206897</v>
      </c>
      <c r="V18" s="2">
        <f t="shared" si="11"/>
        <v>13.793103448275863</v>
      </c>
      <c r="W18" s="2">
        <f t="shared" si="12"/>
        <v>17.241379310344829</v>
      </c>
      <c r="X18" s="2">
        <f t="shared" si="13"/>
        <v>20.689655172413794</v>
      </c>
      <c r="Y18" s="5" t="str">
        <f t="shared" si="14"/>
        <v>1</v>
      </c>
      <c r="Z18" s="5" t="str">
        <f t="shared" si="15"/>
        <v>1</v>
      </c>
      <c r="AA18" s="5" t="str">
        <f t="shared" si="16"/>
        <v>1</v>
      </c>
      <c r="AB18" s="5" t="str">
        <f t="shared" si="16"/>
        <v>1</v>
      </c>
      <c r="AC18" s="5" t="str">
        <f t="shared" si="16"/>
        <v>1</v>
      </c>
      <c r="AD18" s="5" t="str">
        <f t="shared" si="16"/>
        <v>1</v>
      </c>
      <c r="AE18" s="5" t="str">
        <f t="shared" si="16"/>
        <v>1</v>
      </c>
    </row>
    <row r="19" spans="1:31" ht="14.4" x14ac:dyDescent="0.3">
      <c r="A19" s="14">
        <v>16</v>
      </c>
      <c r="B19" s="15" t="s">
        <v>111</v>
      </c>
      <c r="C19" s="10">
        <v>9</v>
      </c>
      <c r="D19" s="10">
        <v>25</v>
      </c>
      <c r="E19" s="16">
        <v>365</v>
      </c>
      <c r="F19" s="22">
        <v>2.0000000000000001E-4</v>
      </c>
      <c r="G19" s="10">
        <v>900</v>
      </c>
      <c r="H19" s="12">
        <v>2.9999999999999997E-4</v>
      </c>
      <c r="I19" s="18">
        <v>10950</v>
      </c>
      <c r="J19" s="20">
        <v>9</v>
      </c>
      <c r="K19" s="19">
        <f t="shared" si="0"/>
        <v>2.1600000000000005E-3</v>
      </c>
      <c r="L19" s="2">
        <f t="shared" si="1"/>
        <v>1.1999999999999999E-3</v>
      </c>
      <c r="M19" s="2">
        <f t="shared" si="2"/>
        <v>2.3999999999999998E-3</v>
      </c>
      <c r="N19" s="2">
        <f t="shared" si="3"/>
        <v>3.5999999999999999E-3</v>
      </c>
      <c r="O19" s="2">
        <f t="shared" si="4"/>
        <v>4.7999999999999996E-3</v>
      </c>
      <c r="P19" s="2">
        <f t="shared" si="5"/>
        <v>6.0000000000000001E-3</v>
      </c>
      <c r="Q19" s="2">
        <f t="shared" si="6"/>
        <v>7.1999999999999998E-3</v>
      </c>
      <c r="R19" s="2">
        <f t="shared" si="7"/>
        <v>7.200000000000002</v>
      </c>
      <c r="S19" s="2">
        <f t="shared" si="8"/>
        <v>4</v>
      </c>
      <c r="T19" s="2">
        <f t="shared" si="9"/>
        <v>8</v>
      </c>
      <c r="U19" s="2">
        <f t="shared" si="10"/>
        <v>12</v>
      </c>
      <c r="V19" s="2">
        <f t="shared" si="11"/>
        <v>16</v>
      </c>
      <c r="W19" s="2">
        <f t="shared" si="12"/>
        <v>20.000000000000004</v>
      </c>
      <c r="X19" s="2">
        <f t="shared" si="13"/>
        <v>24</v>
      </c>
      <c r="Y19" s="5" t="str">
        <f t="shared" si="14"/>
        <v>1</v>
      </c>
      <c r="Z19" s="5" t="str">
        <f t="shared" si="15"/>
        <v>1</v>
      </c>
      <c r="AA19" s="5" t="str">
        <f t="shared" si="16"/>
        <v>1</v>
      </c>
      <c r="AB19" s="5" t="str">
        <f t="shared" si="16"/>
        <v>1</v>
      </c>
      <c r="AC19" s="5" t="str">
        <f t="shared" si="16"/>
        <v>1</v>
      </c>
      <c r="AD19" s="5" t="str">
        <f t="shared" si="16"/>
        <v>1</v>
      </c>
      <c r="AE19" s="5" t="str">
        <f t="shared" si="16"/>
        <v>1</v>
      </c>
    </row>
    <row r="20" spans="1:31" ht="14.4" x14ac:dyDescent="0.3">
      <c r="A20" s="14">
        <v>17</v>
      </c>
      <c r="B20" s="15" t="s">
        <v>123</v>
      </c>
      <c r="C20" s="10">
        <v>9</v>
      </c>
      <c r="D20" s="10">
        <v>25</v>
      </c>
      <c r="E20" s="16">
        <v>365</v>
      </c>
      <c r="F20" s="22">
        <v>2.0000000000000001E-4</v>
      </c>
      <c r="G20" s="10">
        <v>1500</v>
      </c>
      <c r="H20" s="12">
        <v>2.9999999999999997E-4</v>
      </c>
      <c r="I20" s="18">
        <v>10950</v>
      </c>
      <c r="J20" s="20">
        <v>9</v>
      </c>
      <c r="K20" s="19">
        <f t="shared" si="0"/>
        <v>3.5999999999999999E-3</v>
      </c>
      <c r="L20" s="2">
        <f t="shared" si="1"/>
        <v>2E-3</v>
      </c>
      <c r="M20" s="2">
        <f t="shared" si="2"/>
        <v>4.0000000000000001E-3</v>
      </c>
      <c r="N20" s="2">
        <f t="shared" si="3"/>
        <v>6.0000000000000001E-3</v>
      </c>
      <c r="O20" s="2">
        <f t="shared" si="4"/>
        <v>8.0000000000000002E-3</v>
      </c>
      <c r="P20" s="2">
        <f t="shared" si="5"/>
        <v>0.01</v>
      </c>
      <c r="Q20" s="2">
        <f t="shared" si="6"/>
        <v>1.2E-2</v>
      </c>
      <c r="R20" s="2">
        <f t="shared" si="7"/>
        <v>12</v>
      </c>
      <c r="S20" s="2">
        <f t="shared" si="8"/>
        <v>6.666666666666667</v>
      </c>
      <c r="T20" s="2">
        <f t="shared" si="9"/>
        <v>13.333333333333334</v>
      </c>
      <c r="U20" s="2">
        <f t="shared" si="10"/>
        <v>20.000000000000004</v>
      </c>
      <c r="V20" s="2">
        <f t="shared" si="11"/>
        <v>26.666666666666668</v>
      </c>
      <c r="W20" s="2">
        <f t="shared" si="12"/>
        <v>33.333333333333336</v>
      </c>
      <c r="X20" s="2">
        <f t="shared" si="13"/>
        <v>40.000000000000007</v>
      </c>
      <c r="Y20" s="5" t="str">
        <f t="shared" si="14"/>
        <v>1</v>
      </c>
      <c r="Z20" s="5" t="str">
        <f t="shared" si="15"/>
        <v>1</v>
      </c>
      <c r="AA20" s="5" t="str">
        <f t="shared" si="16"/>
        <v>1</v>
      </c>
      <c r="AB20" s="5" t="str">
        <f t="shared" si="16"/>
        <v>1</v>
      </c>
      <c r="AC20" s="5" t="str">
        <f t="shared" si="16"/>
        <v>1</v>
      </c>
      <c r="AD20" s="5" t="str">
        <f t="shared" si="16"/>
        <v>1</v>
      </c>
      <c r="AE20" s="5" t="str">
        <f t="shared" si="16"/>
        <v>1</v>
      </c>
    </row>
    <row r="21" spans="1:31" ht="14.4" x14ac:dyDescent="0.3">
      <c r="A21" s="14">
        <v>18</v>
      </c>
      <c r="B21" s="15" t="s">
        <v>124</v>
      </c>
      <c r="C21" s="10">
        <v>9</v>
      </c>
      <c r="D21" s="10">
        <v>25</v>
      </c>
      <c r="E21" s="16">
        <v>365</v>
      </c>
      <c r="F21" s="22">
        <v>2.0000000000000001E-4</v>
      </c>
      <c r="G21" s="10">
        <v>900</v>
      </c>
      <c r="H21" s="12">
        <v>2.9999999999999997E-4</v>
      </c>
      <c r="I21" s="18">
        <v>10950</v>
      </c>
      <c r="J21" s="20">
        <v>9</v>
      </c>
      <c r="K21" s="19">
        <f t="shared" si="0"/>
        <v>2.1600000000000005E-3</v>
      </c>
      <c r="L21" s="2">
        <f t="shared" si="1"/>
        <v>1.1999999999999999E-3</v>
      </c>
      <c r="M21" s="2">
        <f t="shared" si="2"/>
        <v>2.3999999999999998E-3</v>
      </c>
      <c r="N21" s="2">
        <f t="shared" si="3"/>
        <v>3.5999999999999999E-3</v>
      </c>
      <c r="O21" s="2">
        <f t="shared" si="4"/>
        <v>4.7999999999999996E-3</v>
      </c>
      <c r="P21" s="2">
        <f t="shared" si="5"/>
        <v>6.0000000000000001E-3</v>
      </c>
      <c r="Q21" s="2">
        <f t="shared" si="6"/>
        <v>7.1999999999999998E-3</v>
      </c>
      <c r="R21" s="2">
        <f t="shared" si="7"/>
        <v>7.200000000000002</v>
      </c>
      <c r="S21" s="2">
        <f t="shared" si="8"/>
        <v>4</v>
      </c>
      <c r="T21" s="2">
        <f t="shared" si="9"/>
        <v>8</v>
      </c>
      <c r="U21" s="2">
        <f t="shared" si="10"/>
        <v>12</v>
      </c>
      <c r="V21" s="2">
        <f t="shared" si="11"/>
        <v>16</v>
      </c>
      <c r="W21" s="2">
        <f t="shared" si="12"/>
        <v>20.000000000000004</v>
      </c>
      <c r="X21" s="2">
        <f t="shared" si="13"/>
        <v>24</v>
      </c>
      <c r="Y21" s="5" t="str">
        <f t="shared" si="14"/>
        <v>1</v>
      </c>
      <c r="Z21" s="5" t="str">
        <f t="shared" si="15"/>
        <v>1</v>
      </c>
      <c r="AA21" s="5" t="str">
        <f t="shared" si="16"/>
        <v>1</v>
      </c>
      <c r="AB21" s="5" t="str">
        <f t="shared" si="16"/>
        <v>1</v>
      </c>
      <c r="AC21" s="5" t="str">
        <f t="shared" si="16"/>
        <v>1</v>
      </c>
      <c r="AD21" s="5" t="str">
        <f t="shared" si="16"/>
        <v>1</v>
      </c>
      <c r="AE21" s="5" t="str">
        <f t="shared" si="16"/>
        <v>1</v>
      </c>
    </row>
    <row r="22" spans="1:31" ht="14.4" x14ac:dyDescent="0.3">
      <c r="A22" s="14">
        <v>19</v>
      </c>
      <c r="B22" s="15" t="s">
        <v>125</v>
      </c>
      <c r="C22" s="10">
        <v>9</v>
      </c>
      <c r="D22" s="10">
        <v>25</v>
      </c>
      <c r="E22" s="16">
        <v>365</v>
      </c>
      <c r="F22" s="22">
        <v>2.0000000000000001E-4</v>
      </c>
      <c r="G22" s="10">
        <v>900</v>
      </c>
      <c r="H22" s="12">
        <v>2.9999999999999997E-4</v>
      </c>
      <c r="I22" s="18">
        <v>10950</v>
      </c>
      <c r="J22" s="20">
        <v>9</v>
      </c>
      <c r="K22" s="19">
        <f t="shared" si="0"/>
        <v>2.1600000000000005E-3</v>
      </c>
      <c r="L22" s="2">
        <f t="shared" si="1"/>
        <v>1.1999999999999999E-3</v>
      </c>
      <c r="M22" s="2">
        <f t="shared" si="2"/>
        <v>2.3999999999999998E-3</v>
      </c>
      <c r="N22" s="2">
        <f t="shared" si="3"/>
        <v>3.5999999999999999E-3</v>
      </c>
      <c r="O22" s="2">
        <f t="shared" si="4"/>
        <v>4.7999999999999996E-3</v>
      </c>
      <c r="P22" s="2">
        <f t="shared" si="5"/>
        <v>6.0000000000000001E-3</v>
      </c>
      <c r="Q22" s="2">
        <f t="shared" si="6"/>
        <v>7.1999999999999998E-3</v>
      </c>
      <c r="R22" s="2">
        <f t="shared" si="7"/>
        <v>7.200000000000002</v>
      </c>
      <c r="S22" s="2">
        <f t="shared" si="8"/>
        <v>4</v>
      </c>
      <c r="T22" s="2">
        <f t="shared" si="9"/>
        <v>8</v>
      </c>
      <c r="U22" s="2">
        <f t="shared" si="10"/>
        <v>12</v>
      </c>
      <c r="V22" s="2">
        <f t="shared" si="11"/>
        <v>16</v>
      </c>
      <c r="W22" s="2">
        <f t="shared" si="12"/>
        <v>20.000000000000004</v>
      </c>
      <c r="X22" s="2">
        <f t="shared" si="13"/>
        <v>24</v>
      </c>
      <c r="Y22" s="5" t="str">
        <f t="shared" si="14"/>
        <v>1</v>
      </c>
      <c r="Z22" s="5" t="str">
        <f t="shared" si="15"/>
        <v>1</v>
      </c>
      <c r="AA22" s="5" t="str">
        <f t="shared" si="16"/>
        <v>1</v>
      </c>
      <c r="AB22" s="5" t="str">
        <f t="shared" si="16"/>
        <v>1</v>
      </c>
      <c r="AC22" s="5" t="str">
        <f t="shared" si="16"/>
        <v>1</v>
      </c>
      <c r="AD22" s="5" t="str">
        <f t="shared" si="16"/>
        <v>1</v>
      </c>
      <c r="AE22" s="5" t="str">
        <f t="shared" si="16"/>
        <v>1</v>
      </c>
    </row>
    <row r="23" spans="1:31" ht="14.4" x14ac:dyDescent="0.3">
      <c r="A23" s="14">
        <v>20</v>
      </c>
      <c r="B23" s="15" t="s">
        <v>126</v>
      </c>
      <c r="C23" s="10">
        <v>9</v>
      </c>
      <c r="D23" s="10">
        <v>29</v>
      </c>
      <c r="E23" s="16">
        <v>365</v>
      </c>
      <c r="F23" s="22">
        <v>2.0000000000000001E-4</v>
      </c>
      <c r="G23" s="10">
        <v>900</v>
      </c>
      <c r="H23" s="12">
        <v>2.9999999999999997E-4</v>
      </c>
      <c r="I23" s="18">
        <v>10950</v>
      </c>
      <c r="J23" s="20">
        <v>9</v>
      </c>
      <c r="K23" s="19">
        <f t="shared" si="0"/>
        <v>1.8620689655172416E-3</v>
      </c>
      <c r="L23" s="2">
        <f t="shared" si="1"/>
        <v>1.0344827586206897E-3</v>
      </c>
      <c r="M23" s="2">
        <f t="shared" si="2"/>
        <v>2.0689655172413794E-3</v>
      </c>
      <c r="N23" s="2">
        <f t="shared" si="3"/>
        <v>3.1034482758620688E-3</v>
      </c>
      <c r="O23" s="2">
        <f t="shared" si="4"/>
        <v>4.1379310344827587E-3</v>
      </c>
      <c r="P23" s="2">
        <f t="shared" si="5"/>
        <v>5.1724137931034482E-3</v>
      </c>
      <c r="Q23" s="2">
        <f t="shared" si="6"/>
        <v>6.2068965517241377E-3</v>
      </c>
      <c r="R23" s="2">
        <f t="shared" si="7"/>
        <v>6.2068965517241388</v>
      </c>
      <c r="S23" s="2">
        <f t="shared" si="8"/>
        <v>3.4482758620689657</v>
      </c>
      <c r="T23" s="2">
        <f t="shared" si="9"/>
        <v>6.8965517241379315</v>
      </c>
      <c r="U23" s="2">
        <f t="shared" si="10"/>
        <v>10.344827586206897</v>
      </c>
      <c r="V23" s="2">
        <f t="shared" si="11"/>
        <v>13.793103448275863</v>
      </c>
      <c r="W23" s="2">
        <f t="shared" si="12"/>
        <v>17.241379310344829</v>
      </c>
      <c r="X23" s="2">
        <f t="shared" si="13"/>
        <v>20.689655172413794</v>
      </c>
      <c r="Y23" s="5" t="str">
        <f t="shared" si="14"/>
        <v>1</v>
      </c>
      <c r="Z23" s="5" t="str">
        <f t="shared" si="15"/>
        <v>1</v>
      </c>
      <c r="AA23" s="5" t="str">
        <f t="shared" si="16"/>
        <v>1</v>
      </c>
      <c r="AB23" s="5" t="str">
        <f t="shared" si="16"/>
        <v>1</v>
      </c>
      <c r="AC23" s="5" t="str">
        <f t="shared" si="16"/>
        <v>1</v>
      </c>
      <c r="AD23" s="5" t="str">
        <f t="shared" si="16"/>
        <v>1</v>
      </c>
      <c r="AE23" s="5" t="str">
        <f t="shared" si="16"/>
        <v>1</v>
      </c>
    </row>
    <row r="24" spans="1:31" ht="14.4" x14ac:dyDescent="0.3">
      <c r="A24" s="14">
        <v>21</v>
      </c>
      <c r="B24" s="15" t="s">
        <v>127</v>
      </c>
      <c r="C24" s="10">
        <v>9</v>
      </c>
      <c r="D24" s="10">
        <v>25</v>
      </c>
      <c r="E24" s="16">
        <v>365</v>
      </c>
      <c r="F24" s="22">
        <v>2.0000000000000001E-4</v>
      </c>
      <c r="G24" s="10">
        <v>1500</v>
      </c>
      <c r="H24" s="12">
        <v>2.9999999999999997E-4</v>
      </c>
      <c r="I24" s="18">
        <v>10950</v>
      </c>
      <c r="J24" s="20">
        <v>9</v>
      </c>
      <c r="K24" s="19">
        <f t="shared" si="0"/>
        <v>3.5999999999999999E-3</v>
      </c>
      <c r="L24" s="2">
        <f t="shared" si="1"/>
        <v>2E-3</v>
      </c>
      <c r="M24" s="2">
        <f t="shared" si="2"/>
        <v>4.0000000000000001E-3</v>
      </c>
      <c r="N24" s="2">
        <f t="shared" si="3"/>
        <v>6.0000000000000001E-3</v>
      </c>
      <c r="O24" s="2">
        <f t="shared" si="4"/>
        <v>8.0000000000000002E-3</v>
      </c>
      <c r="P24" s="2">
        <f t="shared" si="5"/>
        <v>0.01</v>
      </c>
      <c r="Q24" s="2">
        <f t="shared" si="6"/>
        <v>1.2E-2</v>
      </c>
      <c r="R24" s="2">
        <f t="shared" si="7"/>
        <v>12</v>
      </c>
      <c r="S24" s="2">
        <f t="shared" si="8"/>
        <v>6.666666666666667</v>
      </c>
      <c r="T24" s="2">
        <f t="shared" si="9"/>
        <v>13.333333333333334</v>
      </c>
      <c r="U24" s="2">
        <f t="shared" si="10"/>
        <v>20.000000000000004</v>
      </c>
      <c r="V24" s="2">
        <f t="shared" si="11"/>
        <v>26.666666666666668</v>
      </c>
      <c r="W24" s="2">
        <f t="shared" si="12"/>
        <v>33.333333333333336</v>
      </c>
      <c r="X24" s="2">
        <f t="shared" si="13"/>
        <v>40.000000000000007</v>
      </c>
      <c r="Y24" s="5" t="str">
        <f t="shared" si="14"/>
        <v>1</v>
      </c>
      <c r="Z24" s="5" t="str">
        <f t="shared" si="15"/>
        <v>1</v>
      </c>
      <c r="AA24" s="5" t="str">
        <f t="shared" si="16"/>
        <v>1</v>
      </c>
      <c r="AB24" s="5" t="str">
        <f t="shared" si="16"/>
        <v>1</v>
      </c>
      <c r="AC24" s="5" t="str">
        <f t="shared" si="16"/>
        <v>1</v>
      </c>
      <c r="AD24" s="5" t="str">
        <f t="shared" si="16"/>
        <v>1</v>
      </c>
      <c r="AE24" s="5" t="str">
        <f t="shared" ref="AE24:AE43" si="17">IF(X24&gt;1,"1","2")</f>
        <v>1</v>
      </c>
    </row>
    <row r="25" spans="1:31" ht="14.4" x14ac:dyDescent="0.3">
      <c r="A25" s="14">
        <v>22</v>
      </c>
      <c r="B25" s="15" t="s">
        <v>128</v>
      </c>
      <c r="C25" s="10">
        <v>9</v>
      </c>
      <c r="D25" s="10">
        <v>25</v>
      </c>
      <c r="E25" s="16">
        <v>365</v>
      </c>
      <c r="F25" s="22">
        <v>2.0000000000000001E-4</v>
      </c>
      <c r="G25" s="10">
        <v>900</v>
      </c>
      <c r="H25" s="12">
        <v>2.9999999999999997E-4</v>
      </c>
      <c r="I25" s="18">
        <v>10950</v>
      </c>
      <c r="J25" s="20">
        <v>9</v>
      </c>
      <c r="K25" s="19">
        <f t="shared" si="0"/>
        <v>2.1600000000000005E-3</v>
      </c>
      <c r="L25" s="2">
        <f t="shared" si="1"/>
        <v>1.1999999999999999E-3</v>
      </c>
      <c r="M25" s="2">
        <f t="shared" si="2"/>
        <v>2.3999999999999998E-3</v>
      </c>
      <c r="N25" s="2">
        <f t="shared" si="3"/>
        <v>3.5999999999999999E-3</v>
      </c>
      <c r="O25" s="2">
        <f t="shared" si="4"/>
        <v>4.7999999999999996E-3</v>
      </c>
      <c r="P25" s="2">
        <f t="shared" si="5"/>
        <v>6.0000000000000001E-3</v>
      </c>
      <c r="Q25" s="2">
        <f t="shared" si="6"/>
        <v>7.1999999999999998E-3</v>
      </c>
      <c r="R25" s="2">
        <f t="shared" si="7"/>
        <v>7.200000000000002</v>
      </c>
      <c r="S25" s="2">
        <f t="shared" si="8"/>
        <v>4</v>
      </c>
      <c r="T25" s="2">
        <f t="shared" si="9"/>
        <v>8</v>
      </c>
      <c r="U25" s="2">
        <f t="shared" si="10"/>
        <v>12</v>
      </c>
      <c r="V25" s="2">
        <f t="shared" si="11"/>
        <v>16</v>
      </c>
      <c r="W25" s="2">
        <f t="shared" si="12"/>
        <v>20.000000000000004</v>
      </c>
      <c r="X25" s="2">
        <f t="shared" si="13"/>
        <v>24</v>
      </c>
      <c r="Y25" s="5" t="str">
        <f t="shared" si="14"/>
        <v>1</v>
      </c>
      <c r="Z25" s="5" t="str">
        <f t="shared" si="15"/>
        <v>1</v>
      </c>
      <c r="AA25" s="5" t="str">
        <f t="shared" si="16"/>
        <v>1</v>
      </c>
      <c r="AB25" s="5" t="str">
        <f t="shared" si="16"/>
        <v>1</v>
      </c>
      <c r="AC25" s="5" t="str">
        <f t="shared" si="16"/>
        <v>1</v>
      </c>
      <c r="AD25" s="5" t="str">
        <f t="shared" si="16"/>
        <v>1</v>
      </c>
      <c r="AE25" s="5" t="str">
        <f t="shared" si="17"/>
        <v>1</v>
      </c>
    </row>
    <row r="26" spans="1:31" ht="14.4" x14ac:dyDescent="0.3">
      <c r="A26" s="14">
        <v>23</v>
      </c>
      <c r="B26" s="15" t="s">
        <v>129</v>
      </c>
      <c r="C26" s="10">
        <v>9</v>
      </c>
      <c r="D26" s="10">
        <v>39</v>
      </c>
      <c r="E26" s="16">
        <v>365</v>
      </c>
      <c r="F26" s="22">
        <v>2.0000000000000001E-4</v>
      </c>
      <c r="G26" s="10">
        <v>900</v>
      </c>
      <c r="H26" s="12">
        <v>2.9999999999999997E-4</v>
      </c>
      <c r="I26" s="18">
        <v>10950</v>
      </c>
      <c r="J26" s="20">
        <v>1</v>
      </c>
      <c r="K26" s="19">
        <f t="shared" si="0"/>
        <v>1.5384615384615385E-4</v>
      </c>
      <c r="L26" s="2">
        <f t="shared" si="1"/>
        <v>7.6923076923076923E-4</v>
      </c>
      <c r="M26" s="2">
        <f t="shared" si="2"/>
        <v>1.5384615384615385E-3</v>
      </c>
      <c r="N26" s="2">
        <f t="shared" si="3"/>
        <v>2.3076923076923079E-3</v>
      </c>
      <c r="O26" s="2">
        <f t="shared" si="4"/>
        <v>3.0769230769230769E-3</v>
      </c>
      <c r="P26" s="2">
        <f t="shared" si="5"/>
        <v>3.8461538461538464E-3</v>
      </c>
      <c r="Q26" s="2">
        <f t="shared" si="6"/>
        <v>4.6153846153846158E-3</v>
      </c>
      <c r="R26" s="2">
        <f t="shared" si="7"/>
        <v>0.51282051282051289</v>
      </c>
      <c r="S26" s="2">
        <f t="shared" si="8"/>
        <v>2.5641025641025643</v>
      </c>
      <c r="T26" s="2">
        <f t="shared" si="9"/>
        <v>5.1282051282051286</v>
      </c>
      <c r="U26" s="2">
        <f t="shared" si="10"/>
        <v>7.6923076923076934</v>
      </c>
      <c r="V26" s="2">
        <f t="shared" si="11"/>
        <v>10.256410256410257</v>
      </c>
      <c r="W26" s="2">
        <f t="shared" si="12"/>
        <v>12.820512820512823</v>
      </c>
      <c r="X26" s="2">
        <f t="shared" si="13"/>
        <v>15.384615384615387</v>
      </c>
      <c r="Y26" s="5" t="str">
        <f t="shared" si="14"/>
        <v>2</v>
      </c>
      <c r="Z26" s="5" t="str">
        <f t="shared" si="15"/>
        <v>1</v>
      </c>
      <c r="AA26" s="5" t="str">
        <f t="shared" si="16"/>
        <v>1</v>
      </c>
      <c r="AB26" s="5" t="str">
        <f t="shared" si="16"/>
        <v>1</v>
      </c>
      <c r="AC26" s="5" t="str">
        <f t="shared" si="16"/>
        <v>1</v>
      </c>
      <c r="AD26" s="5" t="str">
        <f t="shared" si="16"/>
        <v>1</v>
      </c>
      <c r="AE26" s="5" t="str">
        <f t="shared" si="17"/>
        <v>1</v>
      </c>
    </row>
    <row r="27" spans="1:31" ht="14.4" x14ac:dyDescent="0.3">
      <c r="A27" s="14">
        <v>24</v>
      </c>
      <c r="B27" s="15" t="s">
        <v>130</v>
      </c>
      <c r="C27" s="10">
        <v>9</v>
      </c>
      <c r="D27" s="10">
        <v>26</v>
      </c>
      <c r="E27" s="16">
        <v>365</v>
      </c>
      <c r="F27" s="22">
        <v>2.0000000000000001E-4</v>
      </c>
      <c r="G27" s="10">
        <v>900</v>
      </c>
      <c r="H27" s="12">
        <v>2.9999999999999997E-4</v>
      </c>
      <c r="I27" s="18">
        <v>10950</v>
      </c>
      <c r="J27" s="20">
        <v>9</v>
      </c>
      <c r="K27" s="19">
        <f t="shared" si="0"/>
        <v>2.0769230769230773E-3</v>
      </c>
      <c r="L27" s="2">
        <f t="shared" si="1"/>
        <v>1.153846153846154E-3</v>
      </c>
      <c r="M27" s="2">
        <f t="shared" si="2"/>
        <v>2.3076923076923079E-3</v>
      </c>
      <c r="N27" s="2">
        <f t="shared" si="3"/>
        <v>3.4615384615384616E-3</v>
      </c>
      <c r="O27" s="2">
        <f t="shared" si="4"/>
        <v>4.6153846153846158E-3</v>
      </c>
      <c r="P27" s="2">
        <f t="shared" si="5"/>
        <v>5.7692307692307696E-3</v>
      </c>
      <c r="Q27" s="2">
        <f t="shared" si="6"/>
        <v>6.9230769230769233E-3</v>
      </c>
      <c r="R27" s="2">
        <f t="shared" si="7"/>
        <v>6.9230769230769251</v>
      </c>
      <c r="S27" s="2">
        <f t="shared" si="8"/>
        <v>3.8461538461538467</v>
      </c>
      <c r="T27" s="2">
        <f t="shared" si="9"/>
        <v>7.6923076923076934</v>
      </c>
      <c r="U27" s="2">
        <f t="shared" si="10"/>
        <v>11.53846153846154</v>
      </c>
      <c r="V27" s="2">
        <f t="shared" si="11"/>
        <v>15.384615384615387</v>
      </c>
      <c r="W27" s="2">
        <f t="shared" si="12"/>
        <v>19.230769230769234</v>
      </c>
      <c r="X27" s="2">
        <f t="shared" si="13"/>
        <v>23.07692307692308</v>
      </c>
      <c r="Y27" s="5" t="str">
        <f t="shared" si="14"/>
        <v>1</v>
      </c>
      <c r="Z27" s="5" t="str">
        <f t="shared" si="15"/>
        <v>1</v>
      </c>
      <c r="AA27" s="5" t="str">
        <f t="shared" si="16"/>
        <v>1</v>
      </c>
      <c r="AB27" s="5" t="str">
        <f t="shared" si="16"/>
        <v>1</v>
      </c>
      <c r="AC27" s="5" t="str">
        <f t="shared" si="16"/>
        <v>1</v>
      </c>
      <c r="AD27" s="5" t="str">
        <f t="shared" si="16"/>
        <v>1</v>
      </c>
      <c r="AE27" s="5" t="str">
        <f t="shared" si="17"/>
        <v>1</v>
      </c>
    </row>
    <row r="28" spans="1:31" ht="14.4" x14ac:dyDescent="0.3">
      <c r="A28" s="14">
        <v>25</v>
      </c>
      <c r="B28" s="15" t="s">
        <v>131</v>
      </c>
      <c r="C28" s="10">
        <v>9</v>
      </c>
      <c r="D28" s="10">
        <v>20</v>
      </c>
      <c r="E28" s="16">
        <v>365</v>
      </c>
      <c r="F28" s="22">
        <v>2.0000000000000001E-4</v>
      </c>
      <c r="G28" s="10">
        <v>2100</v>
      </c>
      <c r="H28" s="12">
        <v>2.9999999999999997E-4</v>
      </c>
      <c r="I28" s="18">
        <v>10950</v>
      </c>
      <c r="J28" s="20">
        <v>9</v>
      </c>
      <c r="K28" s="19">
        <f t="shared" si="0"/>
        <v>6.3E-3</v>
      </c>
      <c r="L28" s="2">
        <f t="shared" ref="L28:L45" si="18">(F28*G28*E28*5)/(D28*I28)</f>
        <v>3.5000000000000001E-3</v>
      </c>
      <c r="M28" s="2">
        <f t="shared" ref="M28:M53" si="19">(F28*G28*E28*10)/(D28*I28)</f>
        <v>7.0000000000000001E-3</v>
      </c>
      <c r="N28" s="2">
        <f t="shared" ref="N28:N53" si="20">(F28*G28*E28*15)/(D28*I28)</f>
        <v>1.0500000000000001E-2</v>
      </c>
      <c r="O28" s="2">
        <f t="shared" ref="O28:O53" si="21">(F28*G28*E28*20)/(D28*I28)</f>
        <v>1.4E-2</v>
      </c>
      <c r="P28" s="2">
        <f t="shared" ref="P28:P53" si="22">(F28*G28*E28*25)/(D28*I28)</f>
        <v>1.7500000000000002E-2</v>
      </c>
      <c r="Q28" s="2">
        <f t="shared" ref="Q28:Q53" si="23">(F28*G28*E28*30)/(D28*I28)</f>
        <v>2.1000000000000001E-2</v>
      </c>
      <c r="R28" s="2">
        <f t="shared" si="7"/>
        <v>21.000000000000004</v>
      </c>
      <c r="S28" s="2">
        <f t="shared" si="8"/>
        <v>11.666666666666668</v>
      </c>
      <c r="T28" s="2">
        <f t="shared" si="9"/>
        <v>23.333333333333336</v>
      </c>
      <c r="U28" s="2">
        <f t="shared" si="10"/>
        <v>35.000000000000007</v>
      </c>
      <c r="V28" s="2">
        <f t="shared" si="11"/>
        <v>46.666666666666671</v>
      </c>
      <c r="W28" s="2">
        <f t="shared" si="12"/>
        <v>58.333333333333343</v>
      </c>
      <c r="X28" s="2">
        <f t="shared" si="13"/>
        <v>70.000000000000014</v>
      </c>
      <c r="Y28" s="5" t="str">
        <f t="shared" si="14"/>
        <v>1</v>
      </c>
      <c r="Z28" s="5" t="str">
        <f t="shared" si="15"/>
        <v>1</v>
      </c>
      <c r="AA28" s="5" t="str">
        <f t="shared" si="16"/>
        <v>1</v>
      </c>
      <c r="AB28" s="5" t="str">
        <f t="shared" si="16"/>
        <v>1</v>
      </c>
      <c r="AC28" s="5" t="str">
        <f t="shared" si="16"/>
        <v>1</v>
      </c>
      <c r="AD28" s="5" t="str">
        <f t="shared" si="16"/>
        <v>1</v>
      </c>
      <c r="AE28" s="5" t="str">
        <f t="shared" si="17"/>
        <v>1</v>
      </c>
    </row>
    <row r="29" spans="1:31" ht="14.4" x14ac:dyDescent="0.3">
      <c r="A29" s="14">
        <v>26</v>
      </c>
      <c r="B29" s="15" t="s">
        <v>132</v>
      </c>
      <c r="C29" s="10">
        <v>9</v>
      </c>
      <c r="D29" s="10">
        <v>40</v>
      </c>
      <c r="E29" s="16">
        <v>365</v>
      </c>
      <c r="F29" s="22">
        <v>2.0000000000000001E-4</v>
      </c>
      <c r="G29" s="10">
        <v>900</v>
      </c>
      <c r="H29" s="12">
        <v>2.9999999999999997E-4</v>
      </c>
      <c r="I29" s="18">
        <v>10950</v>
      </c>
      <c r="J29" s="20">
        <v>5</v>
      </c>
      <c r="K29" s="19">
        <f t="shared" ref="K29:K53" si="24">(F29*G29*E29*J29)/(D29*I29)</f>
        <v>7.5000000000000002E-4</v>
      </c>
      <c r="L29" s="2">
        <f t="shared" si="18"/>
        <v>7.5000000000000002E-4</v>
      </c>
      <c r="M29" s="2">
        <f t="shared" si="19"/>
        <v>1.5E-3</v>
      </c>
      <c r="N29" s="2">
        <f t="shared" si="20"/>
        <v>2.2499999999999998E-3</v>
      </c>
      <c r="O29" s="2">
        <f t="shared" si="21"/>
        <v>3.0000000000000001E-3</v>
      </c>
      <c r="P29" s="2">
        <f t="shared" si="22"/>
        <v>3.7499999999999999E-3</v>
      </c>
      <c r="Q29" s="2">
        <f t="shared" si="23"/>
        <v>4.4999999999999997E-3</v>
      </c>
      <c r="R29" s="2">
        <f t="shared" ref="R29:R53" si="25">K29/H29</f>
        <v>2.5000000000000004</v>
      </c>
      <c r="S29" s="2">
        <f t="shared" ref="S29:S42" si="26">L29/H29</f>
        <v>2.5000000000000004</v>
      </c>
      <c r="T29" s="2">
        <f t="shared" ref="T29:T53" si="27">M29/H29</f>
        <v>5.0000000000000009</v>
      </c>
      <c r="U29" s="2">
        <f t="shared" ref="U29:U43" si="28">N29/H29</f>
        <v>7.5</v>
      </c>
      <c r="V29" s="2">
        <f t="shared" ref="V29:V43" si="29">O29/H29</f>
        <v>10.000000000000002</v>
      </c>
      <c r="W29" s="2">
        <f t="shared" ref="W29:W43" si="30">P29/H29</f>
        <v>12.5</v>
      </c>
      <c r="X29" s="2">
        <f t="shared" ref="X29:X43" si="31">Q29/H29</f>
        <v>15</v>
      </c>
      <c r="Y29" s="5" t="str">
        <f t="shared" ref="Y29:Y53" si="32">IF(R29&gt;1,"1","2")</f>
        <v>1</v>
      </c>
      <c r="Z29" s="5" t="str">
        <f t="shared" ref="Z29:Z43" si="33">IF(S29&gt;1,"1","2")</f>
        <v>1</v>
      </c>
      <c r="AA29" s="5" t="str">
        <f t="shared" ref="AA29:AD43" si="34">IF(T29&gt;1,"1","2")</f>
        <v>1</v>
      </c>
      <c r="AB29" s="5" t="str">
        <f t="shared" si="34"/>
        <v>1</v>
      </c>
      <c r="AC29" s="5" t="str">
        <f t="shared" si="34"/>
        <v>1</v>
      </c>
      <c r="AD29" s="5" t="str">
        <f t="shared" si="34"/>
        <v>1</v>
      </c>
      <c r="AE29" s="5" t="str">
        <f t="shared" si="17"/>
        <v>1</v>
      </c>
    </row>
    <row r="30" spans="1:31" ht="14.4" x14ac:dyDescent="0.3">
      <c r="A30" s="14">
        <v>27</v>
      </c>
      <c r="B30" s="15" t="s">
        <v>105</v>
      </c>
      <c r="C30" s="10">
        <v>9</v>
      </c>
      <c r="D30" s="10">
        <v>39</v>
      </c>
      <c r="E30" s="16">
        <v>365</v>
      </c>
      <c r="F30" s="22">
        <v>2.0000000000000001E-4</v>
      </c>
      <c r="G30" s="10">
        <v>900</v>
      </c>
      <c r="H30" s="12">
        <v>2.9999999999999997E-4</v>
      </c>
      <c r="I30" s="18">
        <v>10950</v>
      </c>
      <c r="J30" s="20">
        <v>1</v>
      </c>
      <c r="K30" s="19">
        <f t="shared" si="24"/>
        <v>1.5384615384615385E-4</v>
      </c>
      <c r="L30" s="2">
        <f t="shared" si="18"/>
        <v>7.6923076923076923E-4</v>
      </c>
      <c r="M30" s="2">
        <f t="shared" si="19"/>
        <v>1.5384615384615385E-3</v>
      </c>
      <c r="N30" s="2">
        <f t="shared" si="20"/>
        <v>2.3076923076923079E-3</v>
      </c>
      <c r="O30" s="2">
        <f t="shared" si="21"/>
        <v>3.0769230769230769E-3</v>
      </c>
      <c r="P30" s="2">
        <f t="shared" si="22"/>
        <v>3.8461538461538464E-3</v>
      </c>
      <c r="Q30" s="2">
        <f t="shared" si="23"/>
        <v>4.6153846153846158E-3</v>
      </c>
      <c r="R30" s="2">
        <f t="shared" si="25"/>
        <v>0.51282051282051289</v>
      </c>
      <c r="S30" s="2">
        <f t="shared" si="26"/>
        <v>2.5641025641025643</v>
      </c>
      <c r="T30" s="2">
        <f t="shared" si="27"/>
        <v>5.1282051282051286</v>
      </c>
      <c r="U30" s="2">
        <f t="shared" si="28"/>
        <v>7.6923076923076934</v>
      </c>
      <c r="V30" s="2">
        <f t="shared" si="29"/>
        <v>10.256410256410257</v>
      </c>
      <c r="W30" s="2">
        <f t="shared" si="30"/>
        <v>12.820512820512823</v>
      </c>
      <c r="X30" s="2">
        <f t="shared" si="31"/>
        <v>15.384615384615387</v>
      </c>
      <c r="Y30" s="5" t="str">
        <f t="shared" si="32"/>
        <v>2</v>
      </c>
      <c r="Z30" s="5" t="str">
        <f t="shared" si="33"/>
        <v>1</v>
      </c>
      <c r="AA30" s="5" t="str">
        <f t="shared" si="34"/>
        <v>1</v>
      </c>
      <c r="AB30" s="5" t="str">
        <f t="shared" si="34"/>
        <v>1</v>
      </c>
      <c r="AC30" s="5" t="str">
        <f t="shared" si="34"/>
        <v>1</v>
      </c>
      <c r="AD30" s="5" t="str">
        <f t="shared" si="34"/>
        <v>1</v>
      </c>
      <c r="AE30" s="5" t="str">
        <f t="shared" si="17"/>
        <v>1</v>
      </c>
    </row>
    <row r="31" spans="1:31" ht="14.4" x14ac:dyDescent="0.3">
      <c r="A31" s="14">
        <v>28</v>
      </c>
      <c r="B31" s="15" t="s">
        <v>133</v>
      </c>
      <c r="C31" s="10">
        <v>9</v>
      </c>
      <c r="D31" s="10">
        <v>26</v>
      </c>
      <c r="E31" s="16">
        <v>365</v>
      </c>
      <c r="F31" s="22">
        <v>2.0000000000000001E-4</v>
      </c>
      <c r="G31" s="10">
        <v>900</v>
      </c>
      <c r="H31" s="12">
        <v>2.9999999999999997E-4</v>
      </c>
      <c r="I31" s="18">
        <v>10950</v>
      </c>
      <c r="J31" s="20">
        <v>9</v>
      </c>
      <c r="K31" s="19">
        <f t="shared" si="24"/>
        <v>2.0769230769230773E-3</v>
      </c>
      <c r="L31" s="2">
        <f t="shared" si="18"/>
        <v>1.153846153846154E-3</v>
      </c>
      <c r="M31" s="2">
        <f t="shared" si="19"/>
        <v>2.3076923076923079E-3</v>
      </c>
      <c r="N31" s="2">
        <f t="shared" si="20"/>
        <v>3.4615384615384616E-3</v>
      </c>
      <c r="O31" s="2">
        <f t="shared" si="21"/>
        <v>4.6153846153846158E-3</v>
      </c>
      <c r="P31" s="2">
        <f t="shared" si="22"/>
        <v>5.7692307692307696E-3</v>
      </c>
      <c r="Q31" s="2">
        <f t="shared" si="23"/>
        <v>6.9230769230769233E-3</v>
      </c>
      <c r="R31" s="2">
        <f t="shared" si="25"/>
        <v>6.9230769230769251</v>
      </c>
      <c r="S31" s="2">
        <f t="shared" si="26"/>
        <v>3.8461538461538467</v>
      </c>
      <c r="T31" s="2">
        <f t="shared" si="27"/>
        <v>7.6923076923076934</v>
      </c>
      <c r="U31" s="2">
        <f t="shared" si="28"/>
        <v>11.53846153846154</v>
      </c>
      <c r="V31" s="2">
        <f t="shared" si="29"/>
        <v>15.384615384615387</v>
      </c>
      <c r="W31" s="2">
        <f t="shared" si="30"/>
        <v>19.230769230769234</v>
      </c>
      <c r="X31" s="2">
        <f t="shared" si="31"/>
        <v>23.07692307692308</v>
      </c>
      <c r="Y31" s="5" t="str">
        <f t="shared" si="32"/>
        <v>1</v>
      </c>
      <c r="Z31" s="5" t="str">
        <f t="shared" si="33"/>
        <v>1</v>
      </c>
      <c r="AA31" s="5" t="str">
        <f t="shared" si="34"/>
        <v>1</v>
      </c>
      <c r="AB31" s="5" t="str">
        <f t="shared" si="34"/>
        <v>1</v>
      </c>
      <c r="AC31" s="5" t="str">
        <f t="shared" si="34"/>
        <v>1</v>
      </c>
      <c r="AD31" s="5" t="str">
        <f t="shared" si="34"/>
        <v>1</v>
      </c>
      <c r="AE31" s="5" t="str">
        <f t="shared" si="17"/>
        <v>1</v>
      </c>
    </row>
    <row r="32" spans="1:31" ht="14.4" x14ac:dyDescent="0.3">
      <c r="A32" s="14">
        <v>29</v>
      </c>
      <c r="B32" s="15" t="s">
        <v>134</v>
      </c>
      <c r="C32" s="10">
        <v>9</v>
      </c>
      <c r="D32" s="10">
        <v>25</v>
      </c>
      <c r="E32" s="16">
        <v>365</v>
      </c>
      <c r="F32" s="22">
        <v>2.0000000000000001E-4</v>
      </c>
      <c r="G32" s="10">
        <v>900</v>
      </c>
      <c r="H32" s="12">
        <v>2.9999999999999997E-4</v>
      </c>
      <c r="I32" s="18">
        <v>10950</v>
      </c>
      <c r="J32" s="20">
        <v>9</v>
      </c>
      <c r="K32" s="19">
        <f t="shared" si="24"/>
        <v>2.1600000000000005E-3</v>
      </c>
      <c r="L32" s="2">
        <f t="shared" si="18"/>
        <v>1.1999999999999999E-3</v>
      </c>
      <c r="M32" s="2">
        <f t="shared" si="19"/>
        <v>2.3999999999999998E-3</v>
      </c>
      <c r="N32" s="2">
        <f t="shared" si="20"/>
        <v>3.5999999999999999E-3</v>
      </c>
      <c r="O32" s="2">
        <f t="shared" si="21"/>
        <v>4.7999999999999996E-3</v>
      </c>
      <c r="P32" s="2">
        <f t="shared" si="22"/>
        <v>6.0000000000000001E-3</v>
      </c>
      <c r="Q32" s="2">
        <f t="shared" si="23"/>
        <v>7.1999999999999998E-3</v>
      </c>
      <c r="R32" s="2">
        <f t="shared" si="25"/>
        <v>7.200000000000002</v>
      </c>
      <c r="S32" s="2">
        <f t="shared" si="26"/>
        <v>4</v>
      </c>
      <c r="T32" s="2">
        <f t="shared" si="27"/>
        <v>8</v>
      </c>
      <c r="U32" s="2">
        <f t="shared" si="28"/>
        <v>12</v>
      </c>
      <c r="V32" s="2">
        <f t="shared" si="29"/>
        <v>16</v>
      </c>
      <c r="W32" s="2">
        <f t="shared" si="30"/>
        <v>20.000000000000004</v>
      </c>
      <c r="X32" s="2">
        <f t="shared" si="31"/>
        <v>24</v>
      </c>
      <c r="Y32" s="5" t="str">
        <f t="shared" si="32"/>
        <v>1</v>
      </c>
      <c r="Z32" s="5" t="str">
        <f t="shared" si="33"/>
        <v>1</v>
      </c>
      <c r="AA32" s="5" t="str">
        <f t="shared" si="34"/>
        <v>1</v>
      </c>
      <c r="AB32" s="5" t="str">
        <f t="shared" si="34"/>
        <v>1</v>
      </c>
      <c r="AC32" s="5" t="str">
        <f t="shared" si="34"/>
        <v>1</v>
      </c>
      <c r="AD32" s="5" t="str">
        <f t="shared" si="34"/>
        <v>1</v>
      </c>
      <c r="AE32" s="5" t="str">
        <f t="shared" si="17"/>
        <v>1</v>
      </c>
    </row>
    <row r="33" spans="1:31" ht="14.4" x14ac:dyDescent="0.3">
      <c r="A33" s="14">
        <v>30</v>
      </c>
      <c r="B33" s="15" t="s">
        <v>135</v>
      </c>
      <c r="C33" s="10">
        <v>10</v>
      </c>
      <c r="D33" s="10">
        <v>25</v>
      </c>
      <c r="E33" s="16">
        <v>365</v>
      </c>
      <c r="F33" s="22">
        <v>2.0000000000000001E-4</v>
      </c>
      <c r="G33" s="10">
        <v>900</v>
      </c>
      <c r="H33" s="12">
        <v>2.9999999999999997E-4</v>
      </c>
      <c r="I33" s="18">
        <v>10950</v>
      </c>
      <c r="J33" s="20">
        <v>10</v>
      </c>
      <c r="K33" s="19">
        <f t="shared" si="24"/>
        <v>2.3999999999999998E-3</v>
      </c>
      <c r="L33" s="2">
        <f t="shared" si="18"/>
        <v>1.1999999999999999E-3</v>
      </c>
      <c r="M33" s="2">
        <f t="shared" si="19"/>
        <v>2.3999999999999998E-3</v>
      </c>
      <c r="N33" s="2">
        <f t="shared" si="20"/>
        <v>3.5999999999999999E-3</v>
      </c>
      <c r="O33" s="2">
        <f t="shared" si="21"/>
        <v>4.7999999999999996E-3</v>
      </c>
      <c r="P33" s="2">
        <f t="shared" si="22"/>
        <v>6.0000000000000001E-3</v>
      </c>
      <c r="Q33" s="2">
        <f t="shared" si="23"/>
        <v>7.1999999999999998E-3</v>
      </c>
      <c r="R33" s="2">
        <f t="shared" si="25"/>
        <v>8</v>
      </c>
      <c r="S33" s="2">
        <f t="shared" si="26"/>
        <v>4</v>
      </c>
      <c r="T33" s="2">
        <f t="shared" si="27"/>
        <v>8</v>
      </c>
      <c r="U33" s="2">
        <f t="shared" si="28"/>
        <v>12</v>
      </c>
      <c r="V33" s="2">
        <f t="shared" si="29"/>
        <v>16</v>
      </c>
      <c r="W33" s="2">
        <f t="shared" si="30"/>
        <v>20.000000000000004</v>
      </c>
      <c r="X33" s="2">
        <f t="shared" si="31"/>
        <v>24</v>
      </c>
      <c r="Y33" s="5" t="str">
        <f t="shared" si="32"/>
        <v>1</v>
      </c>
      <c r="Z33" s="5" t="str">
        <f t="shared" si="33"/>
        <v>1</v>
      </c>
      <c r="AA33" s="5" t="str">
        <f t="shared" si="34"/>
        <v>1</v>
      </c>
      <c r="AB33" s="5" t="str">
        <f t="shared" si="34"/>
        <v>1</v>
      </c>
      <c r="AC33" s="5" t="str">
        <f t="shared" si="34"/>
        <v>1</v>
      </c>
      <c r="AD33" s="5" t="str">
        <f t="shared" si="34"/>
        <v>1</v>
      </c>
      <c r="AE33" s="5" t="str">
        <f t="shared" si="17"/>
        <v>1</v>
      </c>
    </row>
    <row r="34" spans="1:31" ht="14.4" x14ac:dyDescent="0.3">
      <c r="A34" s="14">
        <v>31</v>
      </c>
      <c r="B34" s="15" t="s">
        <v>136</v>
      </c>
      <c r="C34" s="10">
        <v>10</v>
      </c>
      <c r="D34" s="10">
        <v>33</v>
      </c>
      <c r="E34" s="16">
        <v>365</v>
      </c>
      <c r="F34" s="22">
        <v>2.0000000000000001E-4</v>
      </c>
      <c r="G34" s="10">
        <v>900</v>
      </c>
      <c r="H34" s="12">
        <v>2.9999999999999997E-4</v>
      </c>
      <c r="I34" s="18">
        <v>10950</v>
      </c>
      <c r="J34" s="20">
        <v>10</v>
      </c>
      <c r="K34" s="19">
        <f t="shared" si="24"/>
        <v>1.8181818181818182E-3</v>
      </c>
      <c r="L34" s="2">
        <f t="shared" si="18"/>
        <v>9.0909090909090909E-4</v>
      </c>
      <c r="M34" s="2">
        <f t="shared" si="19"/>
        <v>1.8181818181818182E-3</v>
      </c>
      <c r="N34" s="2">
        <f t="shared" si="20"/>
        <v>2.7272727272727275E-3</v>
      </c>
      <c r="O34" s="2">
        <f t="shared" si="21"/>
        <v>3.6363636363636364E-3</v>
      </c>
      <c r="P34" s="2">
        <f t="shared" si="22"/>
        <v>4.5454545454545452E-3</v>
      </c>
      <c r="Q34" s="2">
        <f t="shared" si="23"/>
        <v>5.454545454545455E-3</v>
      </c>
      <c r="R34" s="2">
        <f t="shared" si="25"/>
        <v>6.0606060606060614</v>
      </c>
      <c r="S34" s="2">
        <f t="shared" si="26"/>
        <v>3.0303030303030307</v>
      </c>
      <c r="T34" s="2">
        <f t="shared" si="27"/>
        <v>6.0606060606060614</v>
      </c>
      <c r="U34" s="2">
        <f t="shared" si="28"/>
        <v>9.0909090909090917</v>
      </c>
      <c r="V34" s="2">
        <f t="shared" si="29"/>
        <v>12.121212121212123</v>
      </c>
      <c r="W34" s="2">
        <f t="shared" si="30"/>
        <v>15.151515151515152</v>
      </c>
      <c r="X34" s="2">
        <f t="shared" si="31"/>
        <v>18.181818181818183</v>
      </c>
      <c r="Y34" s="5" t="str">
        <f t="shared" si="32"/>
        <v>1</v>
      </c>
      <c r="Z34" s="5" t="str">
        <f t="shared" si="33"/>
        <v>1</v>
      </c>
      <c r="AA34" s="5" t="str">
        <f t="shared" si="34"/>
        <v>1</v>
      </c>
      <c r="AB34" s="5" t="str">
        <f t="shared" si="34"/>
        <v>1</v>
      </c>
      <c r="AC34" s="5" t="str">
        <f t="shared" si="34"/>
        <v>1</v>
      </c>
      <c r="AD34" s="5" t="str">
        <f t="shared" si="34"/>
        <v>1</v>
      </c>
      <c r="AE34" s="5" t="str">
        <f t="shared" si="17"/>
        <v>1</v>
      </c>
    </row>
    <row r="35" spans="1:31" ht="14.4" x14ac:dyDescent="0.3">
      <c r="A35" s="14">
        <v>32</v>
      </c>
      <c r="B35" s="15" t="s">
        <v>137</v>
      </c>
      <c r="C35" s="10">
        <v>10</v>
      </c>
      <c r="D35" s="10">
        <v>25</v>
      </c>
      <c r="E35" s="16">
        <v>365</v>
      </c>
      <c r="F35" s="22">
        <v>2.0000000000000001E-4</v>
      </c>
      <c r="G35" s="10">
        <v>900</v>
      </c>
      <c r="H35" s="12">
        <v>2.9999999999999997E-4</v>
      </c>
      <c r="I35" s="18">
        <v>10950</v>
      </c>
      <c r="J35" s="20">
        <v>10</v>
      </c>
      <c r="K35" s="19">
        <f t="shared" si="24"/>
        <v>2.3999999999999998E-3</v>
      </c>
      <c r="L35" s="2">
        <f t="shared" si="18"/>
        <v>1.1999999999999999E-3</v>
      </c>
      <c r="M35" s="2">
        <f t="shared" si="19"/>
        <v>2.3999999999999998E-3</v>
      </c>
      <c r="N35" s="2">
        <f t="shared" si="20"/>
        <v>3.5999999999999999E-3</v>
      </c>
      <c r="O35" s="2">
        <f t="shared" si="21"/>
        <v>4.7999999999999996E-3</v>
      </c>
      <c r="P35" s="2">
        <f t="shared" si="22"/>
        <v>6.0000000000000001E-3</v>
      </c>
      <c r="Q35" s="2">
        <f t="shared" si="23"/>
        <v>7.1999999999999998E-3</v>
      </c>
      <c r="R35" s="2">
        <f t="shared" si="25"/>
        <v>8</v>
      </c>
      <c r="S35" s="2">
        <f t="shared" si="26"/>
        <v>4</v>
      </c>
      <c r="T35" s="2">
        <f t="shared" si="27"/>
        <v>8</v>
      </c>
      <c r="U35" s="2">
        <f t="shared" si="28"/>
        <v>12</v>
      </c>
      <c r="V35" s="2">
        <f t="shared" si="29"/>
        <v>16</v>
      </c>
      <c r="W35" s="2">
        <f t="shared" si="30"/>
        <v>20.000000000000004</v>
      </c>
      <c r="X35" s="2">
        <f t="shared" si="31"/>
        <v>24</v>
      </c>
      <c r="Y35" s="5" t="str">
        <f t="shared" si="32"/>
        <v>1</v>
      </c>
      <c r="Z35" s="5" t="str">
        <f t="shared" si="33"/>
        <v>1</v>
      </c>
      <c r="AA35" s="5" t="str">
        <f t="shared" si="34"/>
        <v>1</v>
      </c>
      <c r="AB35" s="5" t="str">
        <f t="shared" si="34"/>
        <v>1</v>
      </c>
      <c r="AC35" s="5" t="str">
        <f t="shared" si="34"/>
        <v>1</v>
      </c>
      <c r="AD35" s="5" t="str">
        <f t="shared" si="34"/>
        <v>1</v>
      </c>
      <c r="AE35" s="5" t="str">
        <f t="shared" si="17"/>
        <v>1</v>
      </c>
    </row>
    <row r="36" spans="1:31" ht="14.4" x14ac:dyDescent="0.3">
      <c r="A36" s="14">
        <v>33</v>
      </c>
      <c r="B36" s="15" t="s">
        <v>138</v>
      </c>
      <c r="C36" s="10">
        <v>10</v>
      </c>
      <c r="D36" s="10">
        <v>25</v>
      </c>
      <c r="E36" s="16">
        <v>365</v>
      </c>
      <c r="F36" s="22">
        <v>2.0000000000000001E-4</v>
      </c>
      <c r="G36" s="10">
        <v>900</v>
      </c>
      <c r="H36" s="12">
        <v>2.9999999999999997E-4</v>
      </c>
      <c r="I36" s="18">
        <v>10950</v>
      </c>
      <c r="J36" s="20">
        <v>10</v>
      </c>
      <c r="K36" s="19">
        <f t="shared" si="24"/>
        <v>2.3999999999999998E-3</v>
      </c>
      <c r="L36" s="2">
        <f t="shared" si="18"/>
        <v>1.1999999999999999E-3</v>
      </c>
      <c r="M36" s="2">
        <f t="shared" si="19"/>
        <v>2.3999999999999998E-3</v>
      </c>
      <c r="N36" s="2">
        <f t="shared" si="20"/>
        <v>3.5999999999999999E-3</v>
      </c>
      <c r="O36" s="2">
        <f t="shared" si="21"/>
        <v>4.7999999999999996E-3</v>
      </c>
      <c r="P36" s="2">
        <f t="shared" si="22"/>
        <v>6.0000000000000001E-3</v>
      </c>
      <c r="Q36" s="2">
        <f t="shared" si="23"/>
        <v>7.1999999999999998E-3</v>
      </c>
      <c r="R36" s="2">
        <f t="shared" si="25"/>
        <v>8</v>
      </c>
      <c r="S36" s="2">
        <f t="shared" si="26"/>
        <v>4</v>
      </c>
      <c r="T36" s="2">
        <f t="shared" si="27"/>
        <v>8</v>
      </c>
      <c r="U36" s="2">
        <f t="shared" si="28"/>
        <v>12</v>
      </c>
      <c r="V36" s="2">
        <f t="shared" si="29"/>
        <v>16</v>
      </c>
      <c r="W36" s="2">
        <f t="shared" si="30"/>
        <v>20.000000000000004</v>
      </c>
      <c r="X36" s="2">
        <f t="shared" si="31"/>
        <v>24</v>
      </c>
      <c r="Y36" s="5" t="str">
        <f t="shared" si="32"/>
        <v>1</v>
      </c>
      <c r="Z36" s="5" t="str">
        <f t="shared" si="33"/>
        <v>1</v>
      </c>
      <c r="AA36" s="5" t="str">
        <f t="shared" si="34"/>
        <v>1</v>
      </c>
      <c r="AB36" s="5" t="str">
        <f t="shared" si="34"/>
        <v>1</v>
      </c>
      <c r="AC36" s="5" t="str">
        <f t="shared" si="34"/>
        <v>1</v>
      </c>
      <c r="AD36" s="5" t="str">
        <f t="shared" si="34"/>
        <v>1</v>
      </c>
      <c r="AE36" s="5" t="str">
        <f t="shared" si="17"/>
        <v>1</v>
      </c>
    </row>
    <row r="37" spans="1:31" ht="14.4" x14ac:dyDescent="0.3">
      <c r="A37" s="14">
        <v>34</v>
      </c>
      <c r="B37" s="15" t="s">
        <v>139</v>
      </c>
      <c r="C37" s="10">
        <v>10</v>
      </c>
      <c r="D37" s="10">
        <v>33</v>
      </c>
      <c r="E37" s="17">
        <v>365</v>
      </c>
      <c r="F37" s="22">
        <v>2.0000000000000001E-4</v>
      </c>
      <c r="G37" s="10">
        <v>900</v>
      </c>
      <c r="H37" s="12">
        <v>2.9999999999999997E-4</v>
      </c>
      <c r="I37" s="18">
        <v>10950</v>
      </c>
      <c r="J37" s="20">
        <v>10</v>
      </c>
      <c r="K37" s="19">
        <f t="shared" si="24"/>
        <v>1.8181818181818182E-3</v>
      </c>
      <c r="L37" s="2">
        <f t="shared" si="18"/>
        <v>9.0909090909090909E-4</v>
      </c>
      <c r="M37" s="2">
        <f t="shared" si="19"/>
        <v>1.8181818181818182E-3</v>
      </c>
      <c r="N37" s="2">
        <f t="shared" si="20"/>
        <v>2.7272727272727275E-3</v>
      </c>
      <c r="O37" s="2">
        <f t="shared" si="21"/>
        <v>3.6363636363636364E-3</v>
      </c>
      <c r="P37" s="2">
        <f t="shared" si="22"/>
        <v>4.5454545454545452E-3</v>
      </c>
      <c r="Q37" s="2">
        <f t="shared" si="23"/>
        <v>5.454545454545455E-3</v>
      </c>
      <c r="R37" s="2">
        <f t="shared" si="25"/>
        <v>6.0606060606060614</v>
      </c>
      <c r="S37" s="2">
        <f t="shared" si="26"/>
        <v>3.0303030303030307</v>
      </c>
      <c r="T37" s="2">
        <f t="shared" si="27"/>
        <v>6.0606060606060614</v>
      </c>
      <c r="U37" s="2">
        <f t="shared" si="28"/>
        <v>9.0909090909090917</v>
      </c>
      <c r="V37" s="2">
        <f t="shared" si="29"/>
        <v>12.121212121212123</v>
      </c>
      <c r="W37" s="2">
        <f t="shared" si="30"/>
        <v>15.151515151515152</v>
      </c>
      <c r="X37" s="2">
        <f t="shared" si="31"/>
        <v>18.181818181818183</v>
      </c>
      <c r="Y37" s="5" t="str">
        <f t="shared" si="32"/>
        <v>1</v>
      </c>
      <c r="Z37" s="5" t="str">
        <f t="shared" si="33"/>
        <v>1</v>
      </c>
      <c r="AA37" s="5" t="str">
        <f t="shared" si="34"/>
        <v>1</v>
      </c>
      <c r="AB37" s="5" t="str">
        <f t="shared" si="34"/>
        <v>1</v>
      </c>
      <c r="AC37" s="5" t="str">
        <f t="shared" si="34"/>
        <v>1</v>
      </c>
      <c r="AD37" s="5" t="str">
        <f t="shared" si="34"/>
        <v>1</v>
      </c>
      <c r="AE37" s="5" t="str">
        <f t="shared" si="17"/>
        <v>1</v>
      </c>
    </row>
    <row r="38" spans="1:31" ht="14.4" x14ac:dyDescent="0.3">
      <c r="A38" s="14">
        <v>35</v>
      </c>
      <c r="B38" s="15" t="s">
        <v>140</v>
      </c>
      <c r="C38" s="10">
        <v>10</v>
      </c>
      <c r="D38" s="10">
        <v>25</v>
      </c>
      <c r="E38" s="17">
        <v>365</v>
      </c>
      <c r="F38" s="22">
        <v>2.0000000000000001E-4</v>
      </c>
      <c r="G38" s="10">
        <v>900</v>
      </c>
      <c r="H38" s="12">
        <v>2.9999999999999997E-4</v>
      </c>
      <c r="I38" s="18">
        <v>10950</v>
      </c>
      <c r="J38" s="20">
        <v>10</v>
      </c>
      <c r="K38" s="19">
        <f t="shared" si="24"/>
        <v>2.3999999999999998E-3</v>
      </c>
      <c r="L38" s="2">
        <f t="shared" si="18"/>
        <v>1.1999999999999999E-3</v>
      </c>
      <c r="M38" s="2">
        <f t="shared" si="19"/>
        <v>2.3999999999999998E-3</v>
      </c>
      <c r="N38" s="2">
        <f t="shared" si="20"/>
        <v>3.5999999999999999E-3</v>
      </c>
      <c r="O38" s="2">
        <f t="shared" si="21"/>
        <v>4.7999999999999996E-3</v>
      </c>
      <c r="P38" s="2">
        <f t="shared" si="22"/>
        <v>6.0000000000000001E-3</v>
      </c>
      <c r="Q38" s="2">
        <f t="shared" si="23"/>
        <v>7.1999999999999998E-3</v>
      </c>
      <c r="R38" s="2">
        <f t="shared" si="25"/>
        <v>8</v>
      </c>
      <c r="S38" s="2">
        <f t="shared" si="26"/>
        <v>4</v>
      </c>
      <c r="T38" s="2">
        <f t="shared" si="27"/>
        <v>8</v>
      </c>
      <c r="U38" s="2">
        <f t="shared" si="28"/>
        <v>12</v>
      </c>
      <c r="V38" s="2">
        <f t="shared" si="29"/>
        <v>16</v>
      </c>
      <c r="W38" s="2">
        <f t="shared" si="30"/>
        <v>20.000000000000004</v>
      </c>
      <c r="X38" s="2">
        <f t="shared" si="31"/>
        <v>24</v>
      </c>
      <c r="Y38" s="5" t="str">
        <f t="shared" si="32"/>
        <v>1</v>
      </c>
      <c r="Z38" s="5" t="str">
        <f t="shared" si="33"/>
        <v>1</v>
      </c>
      <c r="AA38" s="5" t="str">
        <f t="shared" si="34"/>
        <v>1</v>
      </c>
      <c r="AB38" s="5" t="str">
        <f t="shared" si="34"/>
        <v>1</v>
      </c>
      <c r="AC38" s="5" t="str">
        <f t="shared" si="34"/>
        <v>1</v>
      </c>
      <c r="AD38" s="5" t="str">
        <f t="shared" si="34"/>
        <v>1</v>
      </c>
      <c r="AE38" s="5" t="str">
        <f t="shared" si="17"/>
        <v>1</v>
      </c>
    </row>
    <row r="39" spans="1:31" ht="14.4" x14ac:dyDescent="0.3">
      <c r="A39" s="14">
        <v>36</v>
      </c>
      <c r="B39" s="15" t="s">
        <v>141</v>
      </c>
      <c r="C39" s="10">
        <v>10</v>
      </c>
      <c r="D39" s="10">
        <v>24</v>
      </c>
      <c r="E39" s="17">
        <v>365</v>
      </c>
      <c r="F39" s="22">
        <v>2.0000000000000001E-4</v>
      </c>
      <c r="G39" s="10">
        <v>900</v>
      </c>
      <c r="H39" s="12">
        <v>2.9999999999999997E-4</v>
      </c>
      <c r="I39" s="18">
        <v>10950</v>
      </c>
      <c r="J39" s="20">
        <v>1</v>
      </c>
      <c r="K39" s="19">
        <f t="shared" si="24"/>
        <v>2.5000000000000001E-4</v>
      </c>
      <c r="L39" s="2">
        <f t="shared" si="18"/>
        <v>1.25E-3</v>
      </c>
      <c r="M39" s="2">
        <f t="shared" si="19"/>
        <v>2.5000000000000001E-3</v>
      </c>
      <c r="N39" s="2">
        <f t="shared" si="20"/>
        <v>3.7499999999999999E-3</v>
      </c>
      <c r="O39" s="2">
        <f t="shared" si="21"/>
        <v>5.0000000000000001E-3</v>
      </c>
      <c r="P39" s="2">
        <f t="shared" si="22"/>
        <v>6.2500000000000003E-3</v>
      </c>
      <c r="Q39" s="2">
        <f t="shared" si="23"/>
        <v>7.4999999999999997E-3</v>
      </c>
      <c r="R39" s="2">
        <f t="shared" si="25"/>
        <v>0.83333333333333337</v>
      </c>
      <c r="S39" s="2">
        <f t="shared" si="26"/>
        <v>4.166666666666667</v>
      </c>
      <c r="T39" s="2">
        <f t="shared" si="27"/>
        <v>8.3333333333333339</v>
      </c>
      <c r="U39" s="2">
        <f t="shared" si="28"/>
        <v>12.5</v>
      </c>
      <c r="V39" s="2">
        <f t="shared" si="29"/>
        <v>16.666666666666668</v>
      </c>
      <c r="W39" s="2">
        <f t="shared" si="30"/>
        <v>20.833333333333336</v>
      </c>
      <c r="X39" s="2">
        <f t="shared" si="31"/>
        <v>25</v>
      </c>
      <c r="Y39" s="5" t="str">
        <f t="shared" si="32"/>
        <v>2</v>
      </c>
      <c r="Z39" s="5" t="str">
        <f t="shared" si="33"/>
        <v>1</v>
      </c>
      <c r="AA39" s="5" t="str">
        <f t="shared" si="34"/>
        <v>1</v>
      </c>
      <c r="AB39" s="5" t="str">
        <f t="shared" si="34"/>
        <v>1</v>
      </c>
      <c r="AC39" s="5" t="str">
        <f t="shared" si="34"/>
        <v>1</v>
      </c>
      <c r="AD39" s="5" t="str">
        <f t="shared" si="34"/>
        <v>1</v>
      </c>
      <c r="AE39" s="5" t="str">
        <f t="shared" si="17"/>
        <v>1</v>
      </c>
    </row>
    <row r="40" spans="1:31" ht="14.4" x14ac:dyDescent="0.3">
      <c r="A40" s="14">
        <v>37</v>
      </c>
      <c r="B40" s="15" t="s">
        <v>142</v>
      </c>
      <c r="C40" s="10">
        <v>10</v>
      </c>
      <c r="D40" s="10">
        <v>20</v>
      </c>
      <c r="E40" s="17">
        <v>365</v>
      </c>
      <c r="F40" s="22">
        <v>2.0000000000000001E-4</v>
      </c>
      <c r="G40" s="10">
        <v>900</v>
      </c>
      <c r="H40" s="12">
        <v>2.9999999999999997E-4</v>
      </c>
      <c r="I40" s="18">
        <v>10950</v>
      </c>
      <c r="J40" s="20">
        <v>10</v>
      </c>
      <c r="K40" s="19">
        <f t="shared" si="24"/>
        <v>3.0000000000000001E-3</v>
      </c>
      <c r="L40" s="2">
        <f t="shared" si="18"/>
        <v>1.5E-3</v>
      </c>
      <c r="M40" s="2">
        <f t="shared" si="19"/>
        <v>3.0000000000000001E-3</v>
      </c>
      <c r="N40" s="2">
        <f t="shared" si="20"/>
        <v>4.4999999999999997E-3</v>
      </c>
      <c r="O40" s="2">
        <f t="shared" si="21"/>
        <v>6.0000000000000001E-3</v>
      </c>
      <c r="P40" s="2">
        <f t="shared" si="22"/>
        <v>7.4999999999999997E-3</v>
      </c>
      <c r="Q40" s="2">
        <f t="shared" si="23"/>
        <v>8.9999999999999993E-3</v>
      </c>
      <c r="R40" s="2">
        <f t="shared" si="25"/>
        <v>10.000000000000002</v>
      </c>
      <c r="S40" s="2">
        <f t="shared" si="26"/>
        <v>5.0000000000000009</v>
      </c>
      <c r="T40" s="2">
        <f t="shared" si="27"/>
        <v>10.000000000000002</v>
      </c>
      <c r="U40" s="2">
        <f t="shared" si="28"/>
        <v>15</v>
      </c>
      <c r="V40" s="2">
        <f t="shared" si="29"/>
        <v>20.000000000000004</v>
      </c>
      <c r="W40" s="2">
        <f t="shared" si="30"/>
        <v>25</v>
      </c>
      <c r="X40" s="2">
        <f t="shared" si="31"/>
        <v>30</v>
      </c>
      <c r="Y40" s="5" t="str">
        <f t="shared" si="32"/>
        <v>1</v>
      </c>
      <c r="Z40" s="5" t="str">
        <f t="shared" si="33"/>
        <v>1</v>
      </c>
      <c r="AA40" s="5" t="str">
        <f t="shared" si="34"/>
        <v>1</v>
      </c>
      <c r="AB40" s="5" t="str">
        <f t="shared" si="34"/>
        <v>1</v>
      </c>
      <c r="AC40" s="5" t="str">
        <f t="shared" si="34"/>
        <v>1</v>
      </c>
      <c r="AD40" s="5" t="str">
        <f t="shared" si="34"/>
        <v>1</v>
      </c>
      <c r="AE40" s="5" t="str">
        <f t="shared" si="17"/>
        <v>1</v>
      </c>
    </row>
    <row r="41" spans="1:31" ht="14.4" x14ac:dyDescent="0.3">
      <c r="A41" s="14">
        <v>38</v>
      </c>
      <c r="B41" s="15" t="s">
        <v>143</v>
      </c>
      <c r="C41" s="10">
        <v>10</v>
      </c>
      <c r="D41" s="10">
        <v>25</v>
      </c>
      <c r="E41" s="17">
        <v>365</v>
      </c>
      <c r="F41" s="22">
        <v>2.0000000000000001E-4</v>
      </c>
      <c r="G41" s="10">
        <v>900</v>
      </c>
      <c r="H41" s="12">
        <v>2.9999999999999997E-4</v>
      </c>
      <c r="I41" s="18">
        <v>10950</v>
      </c>
      <c r="J41" s="20">
        <v>10</v>
      </c>
      <c r="K41" s="19">
        <f t="shared" si="24"/>
        <v>2.3999999999999998E-3</v>
      </c>
      <c r="L41" s="2">
        <f t="shared" si="18"/>
        <v>1.1999999999999999E-3</v>
      </c>
      <c r="M41" s="2">
        <f t="shared" si="19"/>
        <v>2.3999999999999998E-3</v>
      </c>
      <c r="N41" s="2">
        <f t="shared" si="20"/>
        <v>3.5999999999999999E-3</v>
      </c>
      <c r="O41" s="2">
        <f t="shared" si="21"/>
        <v>4.7999999999999996E-3</v>
      </c>
      <c r="P41" s="2">
        <f t="shared" si="22"/>
        <v>6.0000000000000001E-3</v>
      </c>
      <c r="Q41" s="2">
        <f t="shared" si="23"/>
        <v>7.1999999999999998E-3</v>
      </c>
      <c r="R41" s="2">
        <f t="shared" si="25"/>
        <v>8</v>
      </c>
      <c r="S41" s="2">
        <f t="shared" si="26"/>
        <v>4</v>
      </c>
      <c r="T41" s="2">
        <f t="shared" si="27"/>
        <v>8</v>
      </c>
      <c r="U41" s="2">
        <f t="shared" si="28"/>
        <v>12</v>
      </c>
      <c r="V41" s="2">
        <f t="shared" si="29"/>
        <v>16</v>
      </c>
      <c r="W41" s="2">
        <f t="shared" si="30"/>
        <v>20.000000000000004</v>
      </c>
      <c r="X41" s="2">
        <f t="shared" si="31"/>
        <v>24</v>
      </c>
      <c r="Y41" s="5" t="str">
        <f t="shared" si="32"/>
        <v>1</v>
      </c>
      <c r="Z41" s="5" t="str">
        <f t="shared" si="33"/>
        <v>1</v>
      </c>
      <c r="AA41" s="5" t="str">
        <f t="shared" si="34"/>
        <v>1</v>
      </c>
      <c r="AB41" s="5" t="str">
        <f t="shared" si="34"/>
        <v>1</v>
      </c>
      <c r="AC41" s="5" t="str">
        <f t="shared" si="34"/>
        <v>1</v>
      </c>
      <c r="AD41" s="5" t="str">
        <f t="shared" si="34"/>
        <v>1</v>
      </c>
      <c r="AE41" s="5" t="str">
        <f t="shared" si="17"/>
        <v>1</v>
      </c>
    </row>
    <row r="42" spans="1:31" ht="14.4" x14ac:dyDescent="0.3">
      <c r="A42" s="14">
        <v>39</v>
      </c>
      <c r="B42" s="15" t="s">
        <v>144</v>
      </c>
      <c r="C42" s="10">
        <v>10</v>
      </c>
      <c r="D42" s="10">
        <v>30</v>
      </c>
      <c r="E42" s="17">
        <v>365</v>
      </c>
      <c r="F42" s="22">
        <v>2.0000000000000001E-4</v>
      </c>
      <c r="G42" s="10">
        <v>900</v>
      </c>
      <c r="H42" s="12">
        <v>2.9999999999999997E-4</v>
      </c>
      <c r="I42" s="18">
        <v>10950</v>
      </c>
      <c r="J42" s="20">
        <v>10</v>
      </c>
      <c r="K42" s="19">
        <f t="shared" si="24"/>
        <v>2E-3</v>
      </c>
      <c r="L42" s="2">
        <f t="shared" si="18"/>
        <v>1E-3</v>
      </c>
      <c r="M42" s="2">
        <f t="shared" si="19"/>
        <v>2E-3</v>
      </c>
      <c r="N42" s="2">
        <f t="shared" si="20"/>
        <v>3.0000000000000001E-3</v>
      </c>
      <c r="O42" s="2">
        <f t="shared" si="21"/>
        <v>4.0000000000000001E-3</v>
      </c>
      <c r="P42" s="2">
        <f t="shared" si="22"/>
        <v>5.0000000000000001E-3</v>
      </c>
      <c r="Q42" s="2">
        <f t="shared" si="23"/>
        <v>6.0000000000000001E-3</v>
      </c>
      <c r="R42" s="2">
        <f t="shared" si="25"/>
        <v>6.666666666666667</v>
      </c>
      <c r="S42" s="2">
        <f t="shared" si="26"/>
        <v>3.3333333333333335</v>
      </c>
      <c r="T42" s="2">
        <f t="shared" si="27"/>
        <v>6.666666666666667</v>
      </c>
      <c r="U42" s="2">
        <f t="shared" si="28"/>
        <v>10.000000000000002</v>
      </c>
      <c r="V42" s="2">
        <f t="shared" si="29"/>
        <v>13.333333333333334</v>
      </c>
      <c r="W42" s="2">
        <f t="shared" si="30"/>
        <v>16.666666666666668</v>
      </c>
      <c r="X42" s="2">
        <f t="shared" si="31"/>
        <v>20.000000000000004</v>
      </c>
      <c r="Y42" s="5" t="str">
        <f t="shared" si="32"/>
        <v>1</v>
      </c>
      <c r="Z42" s="5" t="str">
        <f t="shared" si="33"/>
        <v>1</v>
      </c>
      <c r="AA42" s="5" t="str">
        <f t="shared" si="34"/>
        <v>1</v>
      </c>
      <c r="AB42" s="5" t="str">
        <f t="shared" si="34"/>
        <v>1</v>
      </c>
      <c r="AC42" s="5" t="str">
        <f t="shared" si="34"/>
        <v>1</v>
      </c>
      <c r="AD42" s="5" t="str">
        <f t="shared" si="34"/>
        <v>1</v>
      </c>
      <c r="AE42" s="5" t="str">
        <f t="shared" si="17"/>
        <v>1</v>
      </c>
    </row>
    <row r="43" spans="1:31" ht="14.4" x14ac:dyDescent="0.3">
      <c r="A43" s="14">
        <v>40</v>
      </c>
      <c r="B43" s="15" t="s">
        <v>145</v>
      </c>
      <c r="C43" s="10">
        <v>10</v>
      </c>
      <c r="D43" s="10">
        <v>25</v>
      </c>
      <c r="E43" s="17">
        <v>365</v>
      </c>
      <c r="F43" s="22">
        <v>2.0000000000000001E-4</v>
      </c>
      <c r="G43" s="10">
        <v>900</v>
      </c>
      <c r="H43" s="12">
        <v>2.9999999999999997E-4</v>
      </c>
      <c r="I43" s="18">
        <v>10950</v>
      </c>
      <c r="J43" s="20">
        <v>10</v>
      </c>
      <c r="K43" s="19">
        <f t="shared" si="24"/>
        <v>2.3999999999999998E-3</v>
      </c>
      <c r="L43" s="2">
        <f t="shared" si="18"/>
        <v>1.1999999999999999E-3</v>
      </c>
      <c r="M43" s="2">
        <f t="shared" si="19"/>
        <v>2.3999999999999998E-3</v>
      </c>
      <c r="N43" s="2">
        <f t="shared" si="20"/>
        <v>3.5999999999999999E-3</v>
      </c>
      <c r="O43" s="2">
        <f t="shared" si="21"/>
        <v>4.7999999999999996E-3</v>
      </c>
      <c r="P43" s="2">
        <f t="shared" si="22"/>
        <v>6.0000000000000001E-3</v>
      </c>
      <c r="Q43" s="2">
        <f t="shared" si="23"/>
        <v>7.1999999999999998E-3</v>
      </c>
      <c r="R43" s="2">
        <f t="shared" si="25"/>
        <v>8</v>
      </c>
      <c r="S43" s="2">
        <f>L43/H43</f>
        <v>4</v>
      </c>
      <c r="T43" s="2">
        <f t="shared" si="27"/>
        <v>8</v>
      </c>
      <c r="U43" s="2">
        <f t="shared" si="28"/>
        <v>12</v>
      </c>
      <c r="V43" s="2">
        <f t="shared" si="29"/>
        <v>16</v>
      </c>
      <c r="W43" s="2">
        <f t="shared" si="30"/>
        <v>20.000000000000004</v>
      </c>
      <c r="X43" s="2">
        <f t="shared" si="31"/>
        <v>24</v>
      </c>
      <c r="Y43" s="5" t="str">
        <f t="shared" si="32"/>
        <v>1</v>
      </c>
      <c r="Z43" s="5" t="str">
        <f t="shared" si="33"/>
        <v>1</v>
      </c>
      <c r="AA43" s="5" t="str">
        <f t="shared" si="34"/>
        <v>1</v>
      </c>
      <c r="AB43" s="5" t="str">
        <f t="shared" si="34"/>
        <v>1</v>
      </c>
      <c r="AC43" s="5" t="str">
        <f t="shared" si="34"/>
        <v>1</v>
      </c>
      <c r="AD43" s="5" t="str">
        <f t="shared" si="34"/>
        <v>1</v>
      </c>
      <c r="AE43" s="5" t="str">
        <f t="shared" si="17"/>
        <v>1</v>
      </c>
    </row>
    <row r="44" spans="1:31" ht="14.4" x14ac:dyDescent="0.3">
      <c r="A44" s="14">
        <v>41</v>
      </c>
      <c r="B44" s="15" t="s">
        <v>146</v>
      </c>
      <c r="C44" s="10">
        <v>10</v>
      </c>
      <c r="D44" s="10">
        <v>37</v>
      </c>
      <c r="E44" s="17">
        <v>365</v>
      </c>
      <c r="F44" s="22">
        <v>2.0000000000000001E-4</v>
      </c>
      <c r="G44" s="10">
        <v>900</v>
      </c>
      <c r="H44" s="12">
        <v>2.9999999999999997E-4</v>
      </c>
      <c r="I44" s="18">
        <v>10950</v>
      </c>
      <c r="J44" s="20">
        <v>10</v>
      </c>
      <c r="K44" s="19">
        <f t="shared" si="24"/>
        <v>1.6216216216216215E-3</v>
      </c>
      <c r="L44" s="2">
        <f t="shared" si="18"/>
        <v>8.1081081081081077E-4</v>
      </c>
      <c r="M44" s="2">
        <f t="shared" si="19"/>
        <v>1.6216216216216215E-3</v>
      </c>
      <c r="N44" s="2">
        <f t="shared" si="20"/>
        <v>2.4324324324324323E-3</v>
      </c>
      <c r="O44" s="2">
        <f t="shared" si="21"/>
        <v>3.2432432432432431E-3</v>
      </c>
      <c r="P44" s="2">
        <f t="shared" si="22"/>
        <v>4.0540540540540543E-3</v>
      </c>
      <c r="Q44" s="2">
        <f t="shared" si="23"/>
        <v>4.8648648648648646E-3</v>
      </c>
      <c r="R44" s="2">
        <f t="shared" si="25"/>
        <v>5.4054054054054053</v>
      </c>
      <c r="S44" s="2">
        <f t="shared" ref="S44:S53" si="35">L44/H44</f>
        <v>2.7027027027027026</v>
      </c>
      <c r="T44" s="2">
        <f t="shared" si="27"/>
        <v>5.4054054054054053</v>
      </c>
      <c r="U44" s="2">
        <f>N44/H44</f>
        <v>8.1081081081081088</v>
      </c>
      <c r="V44" s="2">
        <f>O44/H44</f>
        <v>10.810810810810811</v>
      </c>
      <c r="W44" s="2">
        <f>P44/H44</f>
        <v>13.513513513513516</v>
      </c>
      <c r="X44" s="2">
        <f>Q44/H44</f>
        <v>16.216216216216218</v>
      </c>
      <c r="Y44" s="5" t="str">
        <f t="shared" si="32"/>
        <v>1</v>
      </c>
      <c r="Z44" s="5" t="str">
        <f t="shared" ref="Z44:Z53" si="36">IF(S44&gt;1,"1","2")</f>
        <v>1</v>
      </c>
      <c r="AA44" s="5" t="str">
        <f t="shared" ref="AA44:AA53" si="37">IF(T44&gt;1,"1","2")</f>
        <v>1</v>
      </c>
      <c r="AB44" s="5" t="str">
        <f t="shared" ref="AB44:AB53" si="38">IF(U44&gt;1,"1","2")</f>
        <v>1</v>
      </c>
      <c r="AC44" s="5" t="str">
        <f t="shared" ref="AC44:AC53" si="39">IF(V44&gt;1,"1","2")</f>
        <v>1</v>
      </c>
      <c r="AD44" s="5" t="str">
        <f t="shared" ref="AD44:AD53" si="40">IF(W44&gt;1,"1","2")</f>
        <v>1</v>
      </c>
      <c r="AE44" s="5" t="str">
        <f t="shared" ref="AE44:AE53" si="41">IF(X44&gt;1,"1","2")</f>
        <v>1</v>
      </c>
    </row>
    <row r="45" spans="1:31" ht="14.4" x14ac:dyDescent="0.3">
      <c r="A45" s="14">
        <v>42</v>
      </c>
      <c r="B45" s="15" t="s">
        <v>147</v>
      </c>
      <c r="C45" s="10">
        <v>10</v>
      </c>
      <c r="D45" s="10">
        <v>22</v>
      </c>
      <c r="E45" s="17">
        <v>365</v>
      </c>
      <c r="F45" s="22">
        <v>2.0000000000000001E-4</v>
      </c>
      <c r="G45" s="10">
        <v>900</v>
      </c>
      <c r="H45" s="12">
        <v>2.9999999999999997E-4</v>
      </c>
      <c r="I45" s="18">
        <v>10950</v>
      </c>
      <c r="J45" s="20">
        <v>10</v>
      </c>
      <c r="K45" s="19">
        <f t="shared" si="24"/>
        <v>2.7272727272727275E-3</v>
      </c>
      <c r="L45" s="2">
        <f t="shared" si="18"/>
        <v>1.3636363636363637E-3</v>
      </c>
      <c r="M45" s="2">
        <f t="shared" si="19"/>
        <v>2.7272727272727275E-3</v>
      </c>
      <c r="N45" s="2">
        <f t="shared" si="20"/>
        <v>4.0909090909090912E-3</v>
      </c>
      <c r="O45" s="2">
        <f t="shared" si="21"/>
        <v>5.454545454545455E-3</v>
      </c>
      <c r="P45" s="2">
        <f t="shared" si="22"/>
        <v>6.8181818181818179E-3</v>
      </c>
      <c r="Q45" s="2">
        <f t="shared" si="23"/>
        <v>8.1818181818181825E-3</v>
      </c>
      <c r="R45" s="2">
        <f t="shared" si="25"/>
        <v>9.0909090909090917</v>
      </c>
      <c r="S45" s="2">
        <f t="shared" si="35"/>
        <v>4.5454545454545459</v>
      </c>
      <c r="T45" s="2">
        <f t="shared" si="27"/>
        <v>9.0909090909090917</v>
      </c>
      <c r="U45" s="2">
        <f>N45/H45</f>
        <v>13.636363636363638</v>
      </c>
      <c r="V45" s="2">
        <f>O45/H45</f>
        <v>18.181818181818183</v>
      </c>
      <c r="W45" s="2">
        <f>P45/H45</f>
        <v>22.727272727272727</v>
      </c>
      <c r="X45" s="2">
        <f>Q45/H45</f>
        <v>27.272727272727277</v>
      </c>
      <c r="Y45" s="5" t="str">
        <f t="shared" si="32"/>
        <v>1</v>
      </c>
      <c r="Z45" s="5" t="str">
        <f t="shared" si="36"/>
        <v>1</v>
      </c>
      <c r="AA45" s="5" t="str">
        <f t="shared" si="37"/>
        <v>1</v>
      </c>
      <c r="AB45" s="5" t="str">
        <f t="shared" si="38"/>
        <v>1</v>
      </c>
      <c r="AC45" s="5" t="str">
        <f t="shared" si="39"/>
        <v>1</v>
      </c>
      <c r="AD45" s="5" t="str">
        <f t="shared" si="40"/>
        <v>1</v>
      </c>
      <c r="AE45" s="5" t="str">
        <f t="shared" si="41"/>
        <v>1</v>
      </c>
    </row>
    <row r="46" spans="1:31" ht="14.4" x14ac:dyDescent="0.3">
      <c r="A46" s="14">
        <v>43</v>
      </c>
      <c r="B46" s="15" t="s">
        <v>148</v>
      </c>
      <c r="C46" s="10">
        <v>10</v>
      </c>
      <c r="D46" s="10">
        <v>20</v>
      </c>
      <c r="E46" s="17">
        <v>365</v>
      </c>
      <c r="F46" s="22">
        <v>2.0000000000000001E-4</v>
      </c>
      <c r="G46" s="10">
        <v>900</v>
      </c>
      <c r="H46" s="12">
        <v>2.9999999999999997E-4</v>
      </c>
      <c r="I46" s="18">
        <v>10950</v>
      </c>
      <c r="J46" s="20">
        <v>6</v>
      </c>
      <c r="K46" s="19">
        <f t="shared" si="24"/>
        <v>1.8000000000000002E-3</v>
      </c>
      <c r="L46" s="2">
        <f>(F46*G46*E46*5)/(D46*I46)</f>
        <v>1.5E-3</v>
      </c>
      <c r="M46" s="2">
        <f t="shared" si="19"/>
        <v>3.0000000000000001E-3</v>
      </c>
      <c r="N46" s="2">
        <f t="shared" si="20"/>
        <v>4.4999999999999997E-3</v>
      </c>
      <c r="O46" s="2">
        <f t="shared" si="21"/>
        <v>6.0000000000000001E-3</v>
      </c>
      <c r="P46" s="2">
        <f t="shared" si="22"/>
        <v>7.4999999999999997E-3</v>
      </c>
      <c r="Q46" s="2">
        <f t="shared" si="23"/>
        <v>8.9999999999999993E-3</v>
      </c>
      <c r="R46" s="2">
        <f t="shared" si="25"/>
        <v>6.0000000000000009</v>
      </c>
      <c r="S46" s="2">
        <f t="shared" si="35"/>
        <v>5.0000000000000009</v>
      </c>
      <c r="T46" s="2">
        <f t="shared" si="27"/>
        <v>10.000000000000002</v>
      </c>
      <c r="U46" s="2">
        <f t="shared" ref="U46:U53" si="42">N46/H46</f>
        <v>15</v>
      </c>
      <c r="V46" s="2">
        <f t="shared" ref="V46:V53" si="43">O46/H46</f>
        <v>20.000000000000004</v>
      </c>
      <c r="W46" s="2">
        <f t="shared" ref="W46:W53" si="44">P46/H46</f>
        <v>25</v>
      </c>
      <c r="X46" s="2">
        <f t="shared" ref="X46:X53" si="45">Q46/H46</f>
        <v>30</v>
      </c>
      <c r="Y46" s="5" t="str">
        <f t="shared" si="32"/>
        <v>1</v>
      </c>
      <c r="Z46" s="5" t="str">
        <f t="shared" si="36"/>
        <v>1</v>
      </c>
      <c r="AA46" s="5" t="str">
        <f t="shared" si="37"/>
        <v>1</v>
      </c>
      <c r="AB46" s="5" t="str">
        <f t="shared" si="38"/>
        <v>1</v>
      </c>
      <c r="AC46" s="5" t="str">
        <f t="shared" si="39"/>
        <v>1</v>
      </c>
      <c r="AD46" s="5" t="str">
        <f t="shared" si="40"/>
        <v>1</v>
      </c>
      <c r="AE46" s="5" t="str">
        <f t="shared" si="41"/>
        <v>1</v>
      </c>
    </row>
    <row r="47" spans="1:31" ht="14.4" x14ac:dyDescent="0.3">
      <c r="A47" s="14">
        <v>44</v>
      </c>
      <c r="B47" s="15" t="s">
        <v>149</v>
      </c>
      <c r="C47" s="10">
        <v>10</v>
      </c>
      <c r="D47" s="10">
        <v>25</v>
      </c>
      <c r="E47" s="17">
        <v>365</v>
      </c>
      <c r="F47" s="22">
        <v>2.0000000000000001E-4</v>
      </c>
      <c r="G47" s="10">
        <v>1500</v>
      </c>
      <c r="H47" s="12">
        <v>2.9999999999999997E-4</v>
      </c>
      <c r="I47" s="18">
        <v>10950</v>
      </c>
      <c r="J47" s="20">
        <v>6</v>
      </c>
      <c r="K47" s="19">
        <f t="shared" si="24"/>
        <v>2.3999999999999998E-3</v>
      </c>
      <c r="L47" s="2">
        <f t="shared" ref="L47:L53" si="46">(F47*G47*E47*5)/(D47*I47)</f>
        <v>2E-3</v>
      </c>
      <c r="M47" s="2">
        <f t="shared" si="19"/>
        <v>4.0000000000000001E-3</v>
      </c>
      <c r="N47" s="2">
        <f t="shared" si="20"/>
        <v>6.0000000000000001E-3</v>
      </c>
      <c r="O47" s="2">
        <f t="shared" si="21"/>
        <v>8.0000000000000002E-3</v>
      </c>
      <c r="P47" s="2">
        <f t="shared" si="22"/>
        <v>0.01</v>
      </c>
      <c r="Q47" s="2">
        <f t="shared" si="23"/>
        <v>1.2E-2</v>
      </c>
      <c r="R47" s="2">
        <f t="shared" si="25"/>
        <v>8</v>
      </c>
      <c r="S47" s="2">
        <f t="shared" si="35"/>
        <v>6.666666666666667</v>
      </c>
      <c r="T47" s="2">
        <f t="shared" si="27"/>
        <v>13.333333333333334</v>
      </c>
      <c r="U47" s="2">
        <f t="shared" si="42"/>
        <v>20.000000000000004</v>
      </c>
      <c r="V47" s="2">
        <f t="shared" si="43"/>
        <v>26.666666666666668</v>
      </c>
      <c r="W47" s="2">
        <f t="shared" si="44"/>
        <v>33.333333333333336</v>
      </c>
      <c r="X47" s="2">
        <f t="shared" si="45"/>
        <v>40.000000000000007</v>
      </c>
      <c r="Y47" s="5" t="str">
        <f t="shared" si="32"/>
        <v>1</v>
      </c>
      <c r="Z47" s="5" t="str">
        <f t="shared" si="36"/>
        <v>1</v>
      </c>
      <c r="AA47" s="5" t="str">
        <f t="shared" si="37"/>
        <v>1</v>
      </c>
      <c r="AB47" s="5" t="str">
        <f t="shared" si="38"/>
        <v>1</v>
      </c>
      <c r="AC47" s="5" t="str">
        <f t="shared" si="39"/>
        <v>1</v>
      </c>
      <c r="AD47" s="5" t="str">
        <f t="shared" si="40"/>
        <v>1</v>
      </c>
      <c r="AE47" s="5" t="str">
        <f t="shared" si="41"/>
        <v>1</v>
      </c>
    </row>
    <row r="48" spans="1:31" ht="14.4" x14ac:dyDescent="0.3">
      <c r="A48" s="14">
        <v>45</v>
      </c>
      <c r="B48" s="15" t="s">
        <v>150</v>
      </c>
      <c r="C48" s="10">
        <v>10</v>
      </c>
      <c r="D48" s="10">
        <v>49</v>
      </c>
      <c r="E48" s="17">
        <v>365</v>
      </c>
      <c r="F48" s="22">
        <v>2.0000000000000001E-4</v>
      </c>
      <c r="G48" s="10">
        <v>2100</v>
      </c>
      <c r="H48" s="12">
        <v>2.9999999999999997E-4</v>
      </c>
      <c r="I48" s="18">
        <v>10950</v>
      </c>
      <c r="J48" s="20">
        <v>2</v>
      </c>
      <c r="K48" s="19">
        <f t="shared" si="24"/>
        <v>5.7142857142857147E-4</v>
      </c>
      <c r="L48" s="2">
        <f t="shared" si="46"/>
        <v>1.4285714285714286E-3</v>
      </c>
      <c r="M48" s="2">
        <f t="shared" si="19"/>
        <v>2.8571428571428571E-3</v>
      </c>
      <c r="N48" s="2">
        <f t="shared" si="20"/>
        <v>4.2857142857142859E-3</v>
      </c>
      <c r="O48" s="2">
        <f t="shared" si="21"/>
        <v>5.7142857142857143E-3</v>
      </c>
      <c r="P48" s="2">
        <f t="shared" si="22"/>
        <v>7.1428571428571435E-3</v>
      </c>
      <c r="Q48" s="2">
        <f t="shared" si="23"/>
        <v>8.5714285714285719E-3</v>
      </c>
      <c r="R48" s="2">
        <f t="shared" si="25"/>
        <v>1.9047619047619051</v>
      </c>
      <c r="S48" s="2">
        <f t="shared" si="35"/>
        <v>4.7619047619047628</v>
      </c>
      <c r="T48" s="2">
        <f t="shared" si="27"/>
        <v>9.5238095238095255</v>
      </c>
      <c r="U48" s="2">
        <f t="shared" si="42"/>
        <v>14.285714285714288</v>
      </c>
      <c r="V48" s="2">
        <f t="shared" si="43"/>
        <v>19.047619047619051</v>
      </c>
      <c r="W48" s="2">
        <f t="shared" si="44"/>
        <v>23.809523809523814</v>
      </c>
      <c r="X48" s="2">
        <f t="shared" si="45"/>
        <v>28.571428571428577</v>
      </c>
      <c r="Y48" s="5" t="str">
        <f t="shared" si="32"/>
        <v>1</v>
      </c>
      <c r="Z48" s="5" t="str">
        <f t="shared" si="36"/>
        <v>1</v>
      </c>
      <c r="AA48" s="5" t="str">
        <f t="shared" si="37"/>
        <v>1</v>
      </c>
      <c r="AB48" s="5" t="str">
        <f t="shared" si="38"/>
        <v>1</v>
      </c>
      <c r="AC48" s="5" t="str">
        <f t="shared" si="39"/>
        <v>1</v>
      </c>
      <c r="AD48" s="5" t="str">
        <f t="shared" si="40"/>
        <v>1</v>
      </c>
      <c r="AE48" s="5" t="str">
        <f t="shared" si="41"/>
        <v>1</v>
      </c>
    </row>
    <row r="49" spans="1:31" ht="14.4" x14ac:dyDescent="0.3">
      <c r="A49" s="14">
        <v>46</v>
      </c>
      <c r="B49" s="15" t="s">
        <v>151</v>
      </c>
      <c r="C49" s="10">
        <v>10</v>
      </c>
      <c r="D49" s="10">
        <v>25</v>
      </c>
      <c r="E49" s="17">
        <v>365</v>
      </c>
      <c r="F49" s="22">
        <v>2.0000000000000001E-4</v>
      </c>
      <c r="G49" s="10">
        <v>900</v>
      </c>
      <c r="H49" s="12">
        <v>2.9999999999999997E-4</v>
      </c>
      <c r="I49" s="18">
        <v>10950</v>
      </c>
      <c r="J49" s="20">
        <v>10</v>
      </c>
      <c r="K49" s="19">
        <f t="shared" si="24"/>
        <v>2.3999999999999998E-3</v>
      </c>
      <c r="L49" s="2">
        <f t="shared" si="46"/>
        <v>1.1999999999999999E-3</v>
      </c>
      <c r="M49" s="2">
        <f t="shared" si="19"/>
        <v>2.3999999999999998E-3</v>
      </c>
      <c r="N49" s="2">
        <f t="shared" si="20"/>
        <v>3.5999999999999999E-3</v>
      </c>
      <c r="O49" s="2">
        <f t="shared" si="21"/>
        <v>4.7999999999999996E-3</v>
      </c>
      <c r="P49" s="2">
        <f t="shared" si="22"/>
        <v>6.0000000000000001E-3</v>
      </c>
      <c r="Q49" s="2">
        <f t="shared" si="23"/>
        <v>7.1999999999999998E-3</v>
      </c>
      <c r="R49" s="2">
        <f t="shared" si="25"/>
        <v>8</v>
      </c>
      <c r="S49" s="2">
        <f t="shared" si="35"/>
        <v>4</v>
      </c>
      <c r="T49" s="2">
        <f t="shared" si="27"/>
        <v>8</v>
      </c>
      <c r="U49" s="2">
        <f t="shared" si="42"/>
        <v>12</v>
      </c>
      <c r="V49" s="2">
        <f t="shared" si="43"/>
        <v>16</v>
      </c>
      <c r="W49" s="2">
        <f t="shared" si="44"/>
        <v>20.000000000000004</v>
      </c>
      <c r="X49" s="2">
        <f t="shared" si="45"/>
        <v>24</v>
      </c>
      <c r="Y49" s="5" t="str">
        <f t="shared" si="32"/>
        <v>1</v>
      </c>
      <c r="Z49" s="5" t="str">
        <f t="shared" si="36"/>
        <v>1</v>
      </c>
      <c r="AA49" s="5" t="str">
        <f t="shared" si="37"/>
        <v>1</v>
      </c>
      <c r="AB49" s="5" t="str">
        <f t="shared" si="38"/>
        <v>1</v>
      </c>
      <c r="AC49" s="5" t="str">
        <f t="shared" si="39"/>
        <v>1</v>
      </c>
      <c r="AD49" s="5" t="str">
        <f t="shared" si="40"/>
        <v>1</v>
      </c>
      <c r="AE49" s="5" t="str">
        <f t="shared" si="41"/>
        <v>1</v>
      </c>
    </row>
    <row r="50" spans="1:31" ht="14.4" x14ac:dyDescent="0.3">
      <c r="A50" s="14">
        <v>47</v>
      </c>
      <c r="B50" s="15" t="s">
        <v>152</v>
      </c>
      <c r="C50" s="10">
        <v>10</v>
      </c>
      <c r="D50" s="10">
        <v>27</v>
      </c>
      <c r="E50" s="17">
        <v>365</v>
      </c>
      <c r="F50" s="22">
        <v>2.0000000000000001E-4</v>
      </c>
      <c r="G50" s="10">
        <v>900</v>
      </c>
      <c r="H50" s="12">
        <v>2.9999999999999997E-4</v>
      </c>
      <c r="I50" s="18">
        <v>10950</v>
      </c>
      <c r="J50" s="20">
        <v>10</v>
      </c>
      <c r="K50" s="19">
        <f t="shared" si="24"/>
        <v>2.2222222222222222E-3</v>
      </c>
      <c r="L50" s="2">
        <f t="shared" si="46"/>
        <v>1.1111111111111111E-3</v>
      </c>
      <c r="M50" s="2">
        <f t="shared" si="19"/>
        <v>2.2222222222222222E-3</v>
      </c>
      <c r="N50" s="2">
        <f t="shared" si="20"/>
        <v>3.3333333333333335E-3</v>
      </c>
      <c r="O50" s="2">
        <f t="shared" si="21"/>
        <v>4.4444444444444444E-3</v>
      </c>
      <c r="P50" s="2">
        <f t="shared" si="22"/>
        <v>5.5555555555555558E-3</v>
      </c>
      <c r="Q50" s="2">
        <f t="shared" si="23"/>
        <v>6.6666666666666671E-3</v>
      </c>
      <c r="R50" s="2">
        <f t="shared" si="25"/>
        <v>7.4074074074074083</v>
      </c>
      <c r="S50" s="2">
        <f t="shared" si="35"/>
        <v>3.7037037037037042</v>
      </c>
      <c r="T50" s="2">
        <f t="shared" si="27"/>
        <v>7.4074074074074083</v>
      </c>
      <c r="U50" s="2">
        <f t="shared" si="42"/>
        <v>11.111111111111112</v>
      </c>
      <c r="V50" s="2">
        <f t="shared" si="43"/>
        <v>14.814814814814817</v>
      </c>
      <c r="W50" s="2">
        <f t="shared" si="44"/>
        <v>18.518518518518523</v>
      </c>
      <c r="X50" s="2">
        <f t="shared" si="45"/>
        <v>22.222222222222225</v>
      </c>
      <c r="Y50" s="5" t="str">
        <f t="shared" si="32"/>
        <v>1</v>
      </c>
      <c r="Z50" s="5" t="str">
        <f t="shared" si="36"/>
        <v>1</v>
      </c>
      <c r="AA50" s="5" t="str">
        <f t="shared" si="37"/>
        <v>1</v>
      </c>
      <c r="AB50" s="5" t="str">
        <f t="shared" si="38"/>
        <v>1</v>
      </c>
      <c r="AC50" s="5" t="str">
        <f t="shared" si="39"/>
        <v>1</v>
      </c>
      <c r="AD50" s="5" t="str">
        <f t="shared" si="40"/>
        <v>1</v>
      </c>
      <c r="AE50" s="5" t="str">
        <f t="shared" si="41"/>
        <v>1</v>
      </c>
    </row>
    <row r="51" spans="1:31" ht="14.4" x14ac:dyDescent="0.3">
      <c r="A51" s="14">
        <v>48</v>
      </c>
      <c r="B51" s="15" t="s">
        <v>106</v>
      </c>
      <c r="C51" s="10">
        <v>10</v>
      </c>
      <c r="D51" s="10">
        <v>33</v>
      </c>
      <c r="E51" s="17">
        <v>365</v>
      </c>
      <c r="F51" s="22">
        <v>2.0000000000000001E-4</v>
      </c>
      <c r="G51" s="10">
        <v>900</v>
      </c>
      <c r="H51" s="12">
        <v>2.9999999999999997E-4</v>
      </c>
      <c r="I51" s="18">
        <v>10950</v>
      </c>
      <c r="J51" s="20">
        <v>6</v>
      </c>
      <c r="K51" s="19">
        <f t="shared" si="24"/>
        <v>1.090909090909091E-3</v>
      </c>
      <c r="L51" s="2">
        <f t="shared" si="46"/>
        <v>9.0909090909090909E-4</v>
      </c>
      <c r="M51" s="2">
        <f t="shared" si="19"/>
        <v>1.8181818181818182E-3</v>
      </c>
      <c r="N51" s="2">
        <f t="shared" si="20"/>
        <v>2.7272727272727275E-3</v>
      </c>
      <c r="O51" s="2">
        <f t="shared" si="21"/>
        <v>3.6363636363636364E-3</v>
      </c>
      <c r="P51" s="2">
        <f t="shared" si="22"/>
        <v>4.5454545454545452E-3</v>
      </c>
      <c r="Q51" s="2">
        <f t="shared" si="23"/>
        <v>5.454545454545455E-3</v>
      </c>
      <c r="R51" s="2">
        <f t="shared" si="25"/>
        <v>3.6363636363636367</v>
      </c>
      <c r="S51" s="2">
        <f t="shared" si="35"/>
        <v>3.0303030303030307</v>
      </c>
      <c r="T51" s="2">
        <f t="shared" si="27"/>
        <v>6.0606060606060614</v>
      </c>
      <c r="U51" s="2">
        <f t="shared" si="42"/>
        <v>9.0909090909090917</v>
      </c>
      <c r="V51" s="2">
        <f t="shared" si="43"/>
        <v>12.121212121212123</v>
      </c>
      <c r="W51" s="2">
        <f t="shared" si="44"/>
        <v>15.151515151515152</v>
      </c>
      <c r="X51" s="2">
        <f t="shared" si="45"/>
        <v>18.181818181818183</v>
      </c>
      <c r="Y51" s="5" t="str">
        <f t="shared" si="32"/>
        <v>1</v>
      </c>
      <c r="Z51" s="5" t="str">
        <f t="shared" si="36"/>
        <v>1</v>
      </c>
      <c r="AA51" s="5" t="str">
        <f t="shared" si="37"/>
        <v>1</v>
      </c>
      <c r="AB51" s="5" t="str">
        <f t="shared" si="38"/>
        <v>1</v>
      </c>
      <c r="AC51" s="5" t="str">
        <f t="shared" si="39"/>
        <v>1</v>
      </c>
      <c r="AD51" s="5" t="str">
        <f t="shared" si="40"/>
        <v>1</v>
      </c>
      <c r="AE51" s="5" t="str">
        <f t="shared" si="41"/>
        <v>1</v>
      </c>
    </row>
    <row r="52" spans="1:31" ht="14.4" x14ac:dyDescent="0.3">
      <c r="A52" s="14">
        <v>49</v>
      </c>
      <c r="B52" s="15" t="s">
        <v>153</v>
      </c>
      <c r="C52" s="10">
        <v>10</v>
      </c>
      <c r="D52" s="10">
        <v>29</v>
      </c>
      <c r="E52" s="17">
        <v>365</v>
      </c>
      <c r="F52" s="22">
        <v>2.0000000000000001E-4</v>
      </c>
      <c r="G52" s="10">
        <v>1500</v>
      </c>
      <c r="H52" s="12">
        <v>2.9999999999999997E-4</v>
      </c>
      <c r="I52" s="18">
        <v>10950</v>
      </c>
      <c r="J52" s="20">
        <v>8</v>
      </c>
      <c r="K52" s="19">
        <f t="shared" si="24"/>
        <v>2.7586206896551722E-3</v>
      </c>
      <c r="L52" s="2">
        <f t="shared" si="46"/>
        <v>1.7241379310344827E-3</v>
      </c>
      <c r="M52" s="2">
        <f t="shared" si="19"/>
        <v>3.4482758620689655E-3</v>
      </c>
      <c r="N52" s="2">
        <f t="shared" si="20"/>
        <v>5.1724137931034482E-3</v>
      </c>
      <c r="O52" s="2">
        <f t="shared" si="21"/>
        <v>6.8965517241379309E-3</v>
      </c>
      <c r="P52" s="2">
        <f t="shared" si="22"/>
        <v>8.6206896551724137E-3</v>
      </c>
      <c r="Q52" s="2">
        <f t="shared" si="23"/>
        <v>1.0344827586206896E-2</v>
      </c>
      <c r="R52" s="2">
        <f t="shared" si="25"/>
        <v>9.1954022988505741</v>
      </c>
      <c r="S52" s="2">
        <f t="shared" si="35"/>
        <v>5.7471264367816097</v>
      </c>
      <c r="T52" s="2">
        <f t="shared" si="27"/>
        <v>11.494252873563219</v>
      </c>
      <c r="U52" s="2">
        <f t="shared" si="42"/>
        <v>17.241379310344829</v>
      </c>
      <c r="V52" s="2">
        <f t="shared" si="43"/>
        <v>22.988505747126439</v>
      </c>
      <c r="W52" s="2">
        <f t="shared" si="44"/>
        <v>28.735632183908049</v>
      </c>
      <c r="X52" s="2">
        <f t="shared" si="45"/>
        <v>34.482758620689658</v>
      </c>
      <c r="Y52" s="5" t="str">
        <f t="shared" si="32"/>
        <v>1</v>
      </c>
      <c r="Z52" s="5" t="str">
        <f t="shared" si="36"/>
        <v>1</v>
      </c>
      <c r="AA52" s="5" t="str">
        <f t="shared" si="37"/>
        <v>1</v>
      </c>
      <c r="AB52" s="5" t="str">
        <f t="shared" si="38"/>
        <v>1</v>
      </c>
      <c r="AC52" s="5" t="str">
        <f t="shared" si="39"/>
        <v>1</v>
      </c>
      <c r="AD52" s="5" t="str">
        <f t="shared" si="40"/>
        <v>1</v>
      </c>
      <c r="AE52" s="5" t="str">
        <f t="shared" si="41"/>
        <v>1</v>
      </c>
    </row>
    <row r="53" spans="1:31" ht="14.4" x14ac:dyDescent="0.3">
      <c r="A53" s="14">
        <v>50</v>
      </c>
      <c r="B53" s="15" t="s">
        <v>154</v>
      </c>
      <c r="C53" s="10">
        <v>10</v>
      </c>
      <c r="D53" s="10">
        <v>39</v>
      </c>
      <c r="E53" s="17">
        <v>365</v>
      </c>
      <c r="F53" s="22">
        <v>2.0000000000000001E-4</v>
      </c>
      <c r="G53" s="10">
        <v>900</v>
      </c>
      <c r="H53" s="12">
        <v>2.9999999999999997E-4</v>
      </c>
      <c r="I53" s="18">
        <v>10950</v>
      </c>
      <c r="J53" s="20">
        <v>8</v>
      </c>
      <c r="K53" s="19">
        <f t="shared" si="24"/>
        <v>1.2307692307692308E-3</v>
      </c>
      <c r="L53" s="2">
        <f t="shared" si="46"/>
        <v>7.6923076923076923E-4</v>
      </c>
      <c r="M53" s="2">
        <f t="shared" si="19"/>
        <v>1.5384615384615385E-3</v>
      </c>
      <c r="N53" s="2">
        <f t="shared" si="20"/>
        <v>2.3076923076923079E-3</v>
      </c>
      <c r="O53" s="2">
        <f t="shared" si="21"/>
        <v>3.0769230769230769E-3</v>
      </c>
      <c r="P53" s="2">
        <f t="shared" si="22"/>
        <v>3.8461538461538464E-3</v>
      </c>
      <c r="Q53" s="2">
        <f t="shared" si="23"/>
        <v>4.6153846153846158E-3</v>
      </c>
      <c r="R53" s="2">
        <f t="shared" si="25"/>
        <v>4.1025641025641031</v>
      </c>
      <c r="S53" s="2">
        <f t="shared" si="35"/>
        <v>2.5641025641025643</v>
      </c>
      <c r="T53" s="2">
        <f t="shared" si="27"/>
        <v>5.1282051282051286</v>
      </c>
      <c r="U53" s="2">
        <f t="shared" si="42"/>
        <v>7.6923076923076934</v>
      </c>
      <c r="V53" s="2">
        <f t="shared" si="43"/>
        <v>10.256410256410257</v>
      </c>
      <c r="W53" s="2">
        <f t="shared" si="44"/>
        <v>12.820512820512823</v>
      </c>
      <c r="X53" s="2">
        <f t="shared" si="45"/>
        <v>15.384615384615387</v>
      </c>
      <c r="Y53" s="5" t="str">
        <f t="shared" si="32"/>
        <v>1</v>
      </c>
      <c r="Z53" s="5" t="str">
        <f t="shared" si="36"/>
        <v>1</v>
      </c>
      <c r="AA53" s="5" t="str">
        <f t="shared" si="37"/>
        <v>1</v>
      </c>
      <c r="AB53" s="5" t="str">
        <f t="shared" si="38"/>
        <v>1</v>
      </c>
      <c r="AC53" s="5" t="str">
        <f t="shared" si="39"/>
        <v>1</v>
      </c>
      <c r="AD53" s="5" t="str">
        <f t="shared" si="40"/>
        <v>1</v>
      </c>
      <c r="AE53" s="5" t="str">
        <f t="shared" si="41"/>
        <v>1</v>
      </c>
    </row>
    <row r="54" spans="1:31" ht="14.4" x14ac:dyDescent="0.3">
      <c r="A54" s="14">
        <v>51</v>
      </c>
      <c r="B54" s="15" t="s">
        <v>155</v>
      </c>
      <c r="C54" s="10">
        <v>10</v>
      </c>
      <c r="D54" s="10">
        <v>25</v>
      </c>
      <c r="E54" s="17">
        <v>365</v>
      </c>
      <c r="F54" s="22">
        <v>2.0000000000000001E-4</v>
      </c>
      <c r="G54" s="10">
        <v>900</v>
      </c>
      <c r="H54" s="12">
        <v>2.9999999999999997E-4</v>
      </c>
      <c r="I54" s="18">
        <v>10950</v>
      </c>
      <c r="J54" s="20">
        <v>10</v>
      </c>
      <c r="K54" s="19">
        <f t="shared" ref="K54:K103" si="47">(F54*G54*E54*J54)/(D54*I54)</f>
        <v>2.3999999999999998E-3</v>
      </c>
      <c r="L54" s="2">
        <f t="shared" ref="L54:L103" si="48">(F54*G54*E54*5)/(D54*I54)</f>
        <v>1.1999999999999999E-3</v>
      </c>
      <c r="M54" s="2">
        <f t="shared" ref="M54:M103" si="49">(F54*G54*E54*10)/(D54*I54)</f>
        <v>2.3999999999999998E-3</v>
      </c>
      <c r="N54" s="2">
        <f t="shared" ref="N54:N103" si="50">(F54*G54*E54*15)/(D54*I54)</f>
        <v>3.5999999999999999E-3</v>
      </c>
      <c r="O54" s="2">
        <f t="shared" ref="O54:O103" si="51">(F54*G54*E54*20)/(D54*I54)</f>
        <v>4.7999999999999996E-3</v>
      </c>
      <c r="P54" s="2">
        <f t="shared" ref="P54:P103" si="52">(F54*G54*E54*25)/(D54*I54)</f>
        <v>6.0000000000000001E-3</v>
      </c>
      <c r="Q54" s="2">
        <f t="shared" ref="Q54:Q103" si="53">(F54*G54*E54*30)/(D54*I54)</f>
        <v>7.1999999999999998E-3</v>
      </c>
      <c r="R54" s="2">
        <f t="shared" ref="R54:R103" si="54">K54/H54</f>
        <v>8</v>
      </c>
      <c r="S54" s="2">
        <f t="shared" ref="S54:S103" si="55">L54/H54</f>
        <v>4</v>
      </c>
      <c r="T54" s="2">
        <f t="shared" ref="T54:T103" si="56">M54/H54</f>
        <v>8</v>
      </c>
      <c r="U54" s="2">
        <f t="shared" ref="U54:U103" si="57">N54/H54</f>
        <v>12</v>
      </c>
      <c r="V54" s="2">
        <f t="shared" ref="V54:V103" si="58">O54/H54</f>
        <v>16</v>
      </c>
      <c r="W54" s="2">
        <f t="shared" ref="W54:W103" si="59">P54/H54</f>
        <v>20.000000000000004</v>
      </c>
      <c r="X54" s="2">
        <f t="shared" ref="X54:X103" si="60">Q54/H54</f>
        <v>24</v>
      </c>
      <c r="Y54" s="5" t="str">
        <f t="shared" ref="Y54:Y103" si="61">IF(R54&gt;1,"1","2")</f>
        <v>1</v>
      </c>
      <c r="Z54" s="5" t="str">
        <f t="shared" ref="Z54:Z103" si="62">IF(S54&gt;1,"1","2")</f>
        <v>1</v>
      </c>
      <c r="AA54" s="5" t="str">
        <f t="shared" ref="AA54:AA103" si="63">IF(T54&gt;1,"1","2")</f>
        <v>1</v>
      </c>
      <c r="AB54" s="5" t="str">
        <f t="shared" ref="AB54:AB103" si="64">IF(U54&gt;1,"1","2")</f>
        <v>1</v>
      </c>
      <c r="AC54" s="5" t="str">
        <f t="shared" ref="AC54:AC103" si="65">IF(V54&gt;1,"1","2")</f>
        <v>1</v>
      </c>
      <c r="AD54" s="5" t="str">
        <f t="shared" ref="AD54:AD103" si="66">IF(W54&gt;1,"1","2")</f>
        <v>1</v>
      </c>
      <c r="AE54" s="5" t="str">
        <f t="shared" ref="AE54:AE103" si="67">IF(X54&gt;1,"1","2")</f>
        <v>1</v>
      </c>
    </row>
    <row r="55" spans="1:31" ht="14.4" x14ac:dyDescent="0.3">
      <c r="A55" s="14">
        <v>52</v>
      </c>
      <c r="B55" s="15" t="s">
        <v>156</v>
      </c>
      <c r="C55" s="10">
        <v>10</v>
      </c>
      <c r="D55" s="10">
        <v>25</v>
      </c>
      <c r="E55" s="17">
        <v>365</v>
      </c>
      <c r="F55" s="22">
        <v>2.0000000000000001E-4</v>
      </c>
      <c r="G55" s="10">
        <v>900</v>
      </c>
      <c r="H55" s="12">
        <v>2.9999999999999997E-4</v>
      </c>
      <c r="I55" s="18">
        <v>10950</v>
      </c>
      <c r="J55" s="20">
        <v>10</v>
      </c>
      <c r="K55" s="19">
        <f t="shared" si="47"/>
        <v>2.3999999999999998E-3</v>
      </c>
      <c r="L55" s="2">
        <f t="shared" si="48"/>
        <v>1.1999999999999999E-3</v>
      </c>
      <c r="M55" s="2">
        <f t="shared" si="49"/>
        <v>2.3999999999999998E-3</v>
      </c>
      <c r="N55" s="2">
        <f t="shared" si="50"/>
        <v>3.5999999999999999E-3</v>
      </c>
      <c r="O55" s="2">
        <f t="shared" si="51"/>
        <v>4.7999999999999996E-3</v>
      </c>
      <c r="P55" s="2">
        <f t="shared" si="52"/>
        <v>6.0000000000000001E-3</v>
      </c>
      <c r="Q55" s="2">
        <f t="shared" si="53"/>
        <v>7.1999999999999998E-3</v>
      </c>
      <c r="R55" s="2">
        <f t="shared" si="54"/>
        <v>8</v>
      </c>
      <c r="S55" s="2">
        <f t="shared" si="55"/>
        <v>4</v>
      </c>
      <c r="T55" s="2">
        <f t="shared" si="56"/>
        <v>8</v>
      </c>
      <c r="U55" s="2">
        <f t="shared" si="57"/>
        <v>12</v>
      </c>
      <c r="V55" s="2">
        <f t="shared" si="58"/>
        <v>16</v>
      </c>
      <c r="W55" s="2">
        <f t="shared" si="59"/>
        <v>20.000000000000004</v>
      </c>
      <c r="X55" s="2">
        <f t="shared" si="60"/>
        <v>24</v>
      </c>
      <c r="Y55" s="5" t="str">
        <f t="shared" si="61"/>
        <v>1</v>
      </c>
      <c r="Z55" s="5" t="str">
        <f t="shared" si="62"/>
        <v>1</v>
      </c>
      <c r="AA55" s="5" t="str">
        <f t="shared" si="63"/>
        <v>1</v>
      </c>
      <c r="AB55" s="5" t="str">
        <f t="shared" si="64"/>
        <v>1</v>
      </c>
      <c r="AC55" s="5" t="str">
        <f t="shared" si="65"/>
        <v>1</v>
      </c>
      <c r="AD55" s="5" t="str">
        <f t="shared" si="66"/>
        <v>1</v>
      </c>
      <c r="AE55" s="5" t="str">
        <f t="shared" si="67"/>
        <v>1</v>
      </c>
    </row>
    <row r="56" spans="1:31" ht="14.4" x14ac:dyDescent="0.3">
      <c r="A56" s="14">
        <v>53</v>
      </c>
      <c r="B56" s="15" t="s">
        <v>139</v>
      </c>
      <c r="C56" s="10">
        <v>10</v>
      </c>
      <c r="D56" s="10">
        <v>33</v>
      </c>
      <c r="E56" s="17">
        <v>365</v>
      </c>
      <c r="F56" s="22">
        <v>2.0000000000000001E-4</v>
      </c>
      <c r="G56" s="10">
        <v>900</v>
      </c>
      <c r="H56" s="12">
        <v>2.9999999999999997E-4</v>
      </c>
      <c r="I56" s="18">
        <v>10950</v>
      </c>
      <c r="J56" s="20">
        <v>10</v>
      </c>
      <c r="K56" s="19">
        <f t="shared" si="47"/>
        <v>1.8181818181818182E-3</v>
      </c>
      <c r="L56" s="2">
        <f t="shared" si="48"/>
        <v>9.0909090909090909E-4</v>
      </c>
      <c r="M56" s="2">
        <f t="shared" si="49"/>
        <v>1.8181818181818182E-3</v>
      </c>
      <c r="N56" s="2">
        <f t="shared" si="50"/>
        <v>2.7272727272727275E-3</v>
      </c>
      <c r="O56" s="2">
        <f t="shared" si="51"/>
        <v>3.6363636363636364E-3</v>
      </c>
      <c r="P56" s="2">
        <f t="shared" si="52"/>
        <v>4.5454545454545452E-3</v>
      </c>
      <c r="Q56" s="2">
        <f t="shared" si="53"/>
        <v>5.454545454545455E-3</v>
      </c>
      <c r="R56" s="2">
        <f t="shared" si="54"/>
        <v>6.0606060606060614</v>
      </c>
      <c r="S56" s="2">
        <f t="shared" si="55"/>
        <v>3.0303030303030307</v>
      </c>
      <c r="T56" s="2">
        <f t="shared" si="56"/>
        <v>6.0606060606060614</v>
      </c>
      <c r="U56" s="2">
        <f t="shared" si="57"/>
        <v>9.0909090909090917</v>
      </c>
      <c r="V56" s="2">
        <f t="shared" si="58"/>
        <v>12.121212121212123</v>
      </c>
      <c r="W56" s="2">
        <f t="shared" si="59"/>
        <v>15.151515151515152</v>
      </c>
      <c r="X56" s="2">
        <f t="shared" si="60"/>
        <v>18.181818181818183</v>
      </c>
      <c r="Y56" s="5" t="str">
        <f t="shared" si="61"/>
        <v>1</v>
      </c>
      <c r="Z56" s="5" t="str">
        <f t="shared" si="62"/>
        <v>1</v>
      </c>
      <c r="AA56" s="5" t="str">
        <f t="shared" si="63"/>
        <v>1</v>
      </c>
      <c r="AB56" s="5" t="str">
        <f t="shared" si="64"/>
        <v>1</v>
      </c>
      <c r="AC56" s="5" t="str">
        <f t="shared" si="65"/>
        <v>1</v>
      </c>
      <c r="AD56" s="5" t="str">
        <f t="shared" si="66"/>
        <v>1</v>
      </c>
      <c r="AE56" s="5" t="str">
        <f t="shared" si="67"/>
        <v>1</v>
      </c>
    </row>
    <row r="57" spans="1:31" ht="14.4" x14ac:dyDescent="0.3">
      <c r="A57" s="14">
        <v>54</v>
      </c>
      <c r="B57" s="15" t="s">
        <v>157</v>
      </c>
      <c r="C57" s="10">
        <v>10</v>
      </c>
      <c r="D57" s="10">
        <v>25</v>
      </c>
      <c r="E57" s="17">
        <v>365</v>
      </c>
      <c r="F57" s="22">
        <v>2.0000000000000001E-4</v>
      </c>
      <c r="G57" s="10">
        <v>900</v>
      </c>
      <c r="H57" s="12">
        <v>2.9999999999999997E-4</v>
      </c>
      <c r="I57" s="18">
        <v>10950</v>
      </c>
      <c r="J57" s="20">
        <v>10</v>
      </c>
      <c r="K57" s="19">
        <f t="shared" si="47"/>
        <v>2.3999999999999998E-3</v>
      </c>
      <c r="L57" s="2">
        <f t="shared" si="48"/>
        <v>1.1999999999999999E-3</v>
      </c>
      <c r="M57" s="2">
        <f t="shared" si="49"/>
        <v>2.3999999999999998E-3</v>
      </c>
      <c r="N57" s="2">
        <f t="shared" si="50"/>
        <v>3.5999999999999999E-3</v>
      </c>
      <c r="O57" s="2">
        <f t="shared" si="51"/>
        <v>4.7999999999999996E-3</v>
      </c>
      <c r="P57" s="2">
        <f t="shared" si="52"/>
        <v>6.0000000000000001E-3</v>
      </c>
      <c r="Q57" s="2">
        <f t="shared" si="53"/>
        <v>7.1999999999999998E-3</v>
      </c>
      <c r="R57" s="2">
        <f t="shared" si="54"/>
        <v>8</v>
      </c>
      <c r="S57" s="2">
        <f t="shared" si="55"/>
        <v>4</v>
      </c>
      <c r="T57" s="2">
        <f t="shared" si="56"/>
        <v>8</v>
      </c>
      <c r="U57" s="2">
        <f t="shared" si="57"/>
        <v>12</v>
      </c>
      <c r="V57" s="2">
        <f t="shared" si="58"/>
        <v>16</v>
      </c>
      <c r="W57" s="2">
        <f t="shared" si="59"/>
        <v>20.000000000000004</v>
      </c>
      <c r="X57" s="2">
        <f t="shared" si="60"/>
        <v>24</v>
      </c>
      <c r="Y57" s="5" t="str">
        <f t="shared" si="61"/>
        <v>1</v>
      </c>
      <c r="Z57" s="5" t="str">
        <f t="shared" si="62"/>
        <v>1</v>
      </c>
      <c r="AA57" s="5" t="str">
        <f t="shared" si="63"/>
        <v>1</v>
      </c>
      <c r="AB57" s="5" t="str">
        <f t="shared" si="64"/>
        <v>1</v>
      </c>
      <c r="AC57" s="5" t="str">
        <f t="shared" si="65"/>
        <v>1</v>
      </c>
      <c r="AD57" s="5" t="str">
        <f t="shared" si="66"/>
        <v>1</v>
      </c>
      <c r="AE57" s="5" t="str">
        <f t="shared" si="67"/>
        <v>1</v>
      </c>
    </row>
    <row r="58" spans="1:31" ht="14.4" x14ac:dyDescent="0.3">
      <c r="A58" s="14">
        <v>55</v>
      </c>
      <c r="B58" s="15" t="s">
        <v>149</v>
      </c>
      <c r="C58" s="10">
        <v>10</v>
      </c>
      <c r="D58" s="10">
        <v>25</v>
      </c>
      <c r="E58" s="17">
        <v>365</v>
      </c>
      <c r="F58" s="22">
        <v>2.0000000000000001E-4</v>
      </c>
      <c r="G58" s="10">
        <v>1500</v>
      </c>
      <c r="H58" s="12">
        <v>2.9999999999999997E-4</v>
      </c>
      <c r="I58" s="18">
        <v>10950</v>
      </c>
      <c r="J58" s="20">
        <v>6</v>
      </c>
      <c r="K58" s="19">
        <f t="shared" si="47"/>
        <v>2.3999999999999998E-3</v>
      </c>
      <c r="L58" s="2">
        <f t="shared" si="48"/>
        <v>2E-3</v>
      </c>
      <c r="M58" s="2">
        <f t="shared" si="49"/>
        <v>4.0000000000000001E-3</v>
      </c>
      <c r="N58" s="2">
        <f t="shared" si="50"/>
        <v>6.0000000000000001E-3</v>
      </c>
      <c r="O58" s="2">
        <f t="shared" si="51"/>
        <v>8.0000000000000002E-3</v>
      </c>
      <c r="P58" s="2">
        <f t="shared" si="52"/>
        <v>0.01</v>
      </c>
      <c r="Q58" s="2">
        <f t="shared" si="53"/>
        <v>1.2E-2</v>
      </c>
      <c r="R58" s="2">
        <f t="shared" si="54"/>
        <v>8</v>
      </c>
      <c r="S58" s="2">
        <f t="shared" si="55"/>
        <v>6.666666666666667</v>
      </c>
      <c r="T58" s="2">
        <f t="shared" si="56"/>
        <v>13.333333333333334</v>
      </c>
      <c r="U58" s="2">
        <f t="shared" si="57"/>
        <v>20.000000000000004</v>
      </c>
      <c r="V58" s="2">
        <f t="shared" si="58"/>
        <v>26.666666666666668</v>
      </c>
      <c r="W58" s="2">
        <f t="shared" si="59"/>
        <v>33.333333333333336</v>
      </c>
      <c r="X58" s="2">
        <f t="shared" si="60"/>
        <v>40.000000000000007</v>
      </c>
      <c r="Y58" s="5" t="str">
        <f t="shared" si="61"/>
        <v>1</v>
      </c>
      <c r="Z58" s="5" t="str">
        <f t="shared" si="62"/>
        <v>1</v>
      </c>
      <c r="AA58" s="5" t="str">
        <f t="shared" si="63"/>
        <v>1</v>
      </c>
      <c r="AB58" s="5" t="str">
        <f t="shared" si="64"/>
        <v>1</v>
      </c>
      <c r="AC58" s="5" t="str">
        <f t="shared" si="65"/>
        <v>1</v>
      </c>
      <c r="AD58" s="5" t="str">
        <f t="shared" si="66"/>
        <v>1</v>
      </c>
      <c r="AE58" s="5" t="str">
        <f t="shared" si="67"/>
        <v>1</v>
      </c>
    </row>
    <row r="59" spans="1:31" ht="14.4" x14ac:dyDescent="0.3">
      <c r="A59" s="14">
        <v>56</v>
      </c>
      <c r="B59" s="15" t="s">
        <v>158</v>
      </c>
      <c r="C59" s="10">
        <v>10</v>
      </c>
      <c r="D59" s="10">
        <v>49</v>
      </c>
      <c r="E59" s="17">
        <v>365</v>
      </c>
      <c r="F59" s="22">
        <v>2.0000000000000001E-4</v>
      </c>
      <c r="G59" s="10">
        <v>2100</v>
      </c>
      <c r="H59" s="12">
        <v>2.9999999999999997E-4</v>
      </c>
      <c r="I59" s="18">
        <v>10950</v>
      </c>
      <c r="J59" s="20">
        <v>2</v>
      </c>
      <c r="K59" s="19">
        <f t="shared" si="47"/>
        <v>5.7142857142857147E-4</v>
      </c>
      <c r="L59" s="2">
        <f t="shared" si="48"/>
        <v>1.4285714285714286E-3</v>
      </c>
      <c r="M59" s="2">
        <f t="shared" si="49"/>
        <v>2.8571428571428571E-3</v>
      </c>
      <c r="N59" s="2">
        <f t="shared" si="50"/>
        <v>4.2857142857142859E-3</v>
      </c>
      <c r="O59" s="2">
        <f t="shared" si="51"/>
        <v>5.7142857142857143E-3</v>
      </c>
      <c r="P59" s="2">
        <f t="shared" si="52"/>
        <v>7.1428571428571435E-3</v>
      </c>
      <c r="Q59" s="2">
        <f t="shared" si="53"/>
        <v>8.5714285714285719E-3</v>
      </c>
      <c r="R59" s="2">
        <f t="shared" si="54"/>
        <v>1.9047619047619051</v>
      </c>
      <c r="S59" s="2">
        <f t="shared" si="55"/>
        <v>4.7619047619047628</v>
      </c>
      <c r="T59" s="2">
        <f t="shared" si="56"/>
        <v>9.5238095238095255</v>
      </c>
      <c r="U59" s="2">
        <f t="shared" si="57"/>
        <v>14.285714285714288</v>
      </c>
      <c r="V59" s="2">
        <f t="shared" si="58"/>
        <v>19.047619047619051</v>
      </c>
      <c r="W59" s="2">
        <f t="shared" si="59"/>
        <v>23.809523809523814</v>
      </c>
      <c r="X59" s="2">
        <f t="shared" si="60"/>
        <v>28.571428571428577</v>
      </c>
      <c r="Y59" s="5" t="str">
        <f t="shared" si="61"/>
        <v>1</v>
      </c>
      <c r="Z59" s="5" t="str">
        <f t="shared" si="62"/>
        <v>1</v>
      </c>
      <c r="AA59" s="5" t="str">
        <f t="shared" si="63"/>
        <v>1</v>
      </c>
      <c r="AB59" s="5" t="str">
        <f t="shared" si="64"/>
        <v>1</v>
      </c>
      <c r="AC59" s="5" t="str">
        <f t="shared" si="65"/>
        <v>1</v>
      </c>
      <c r="AD59" s="5" t="str">
        <f t="shared" si="66"/>
        <v>1</v>
      </c>
      <c r="AE59" s="5" t="str">
        <f t="shared" si="67"/>
        <v>1</v>
      </c>
    </row>
    <row r="60" spans="1:31" ht="14.4" x14ac:dyDescent="0.3">
      <c r="A60" s="14">
        <v>57</v>
      </c>
      <c r="B60" s="15" t="s">
        <v>159</v>
      </c>
      <c r="C60" s="10">
        <v>10</v>
      </c>
      <c r="D60" s="10">
        <v>25</v>
      </c>
      <c r="E60" s="17">
        <v>365</v>
      </c>
      <c r="F60" s="22">
        <v>2.0000000000000001E-4</v>
      </c>
      <c r="G60" s="10">
        <v>900</v>
      </c>
      <c r="H60" s="12">
        <v>2.9999999999999997E-4</v>
      </c>
      <c r="I60" s="18">
        <v>10950</v>
      </c>
      <c r="J60" s="20">
        <v>10</v>
      </c>
      <c r="K60" s="19">
        <f t="shared" si="47"/>
        <v>2.3999999999999998E-3</v>
      </c>
      <c r="L60" s="2">
        <f t="shared" si="48"/>
        <v>1.1999999999999999E-3</v>
      </c>
      <c r="M60" s="2">
        <f t="shared" si="49"/>
        <v>2.3999999999999998E-3</v>
      </c>
      <c r="N60" s="2">
        <f t="shared" si="50"/>
        <v>3.5999999999999999E-3</v>
      </c>
      <c r="O60" s="2">
        <f t="shared" si="51"/>
        <v>4.7999999999999996E-3</v>
      </c>
      <c r="P60" s="2">
        <f t="shared" si="52"/>
        <v>6.0000000000000001E-3</v>
      </c>
      <c r="Q60" s="2">
        <f t="shared" si="53"/>
        <v>7.1999999999999998E-3</v>
      </c>
      <c r="R60" s="2">
        <f t="shared" si="54"/>
        <v>8</v>
      </c>
      <c r="S60" s="2">
        <f t="shared" si="55"/>
        <v>4</v>
      </c>
      <c r="T60" s="2">
        <f t="shared" si="56"/>
        <v>8</v>
      </c>
      <c r="U60" s="2">
        <f t="shared" si="57"/>
        <v>12</v>
      </c>
      <c r="V60" s="2">
        <f t="shared" si="58"/>
        <v>16</v>
      </c>
      <c r="W60" s="2">
        <f t="shared" si="59"/>
        <v>20.000000000000004</v>
      </c>
      <c r="X60" s="2">
        <f t="shared" si="60"/>
        <v>24</v>
      </c>
      <c r="Y60" s="5" t="str">
        <f t="shared" si="61"/>
        <v>1</v>
      </c>
      <c r="Z60" s="5" t="str">
        <f t="shared" si="62"/>
        <v>1</v>
      </c>
      <c r="AA60" s="5" t="str">
        <f t="shared" si="63"/>
        <v>1</v>
      </c>
      <c r="AB60" s="5" t="str">
        <f t="shared" si="64"/>
        <v>1</v>
      </c>
      <c r="AC60" s="5" t="str">
        <f t="shared" si="65"/>
        <v>1</v>
      </c>
      <c r="AD60" s="5" t="str">
        <f t="shared" si="66"/>
        <v>1</v>
      </c>
      <c r="AE60" s="5" t="str">
        <f t="shared" si="67"/>
        <v>1</v>
      </c>
    </row>
    <row r="61" spans="1:31" ht="14.4" x14ac:dyDescent="0.3">
      <c r="A61" s="14">
        <v>58</v>
      </c>
      <c r="B61" s="15" t="s">
        <v>160</v>
      </c>
      <c r="C61" s="10">
        <v>10</v>
      </c>
      <c r="D61" s="10">
        <v>27</v>
      </c>
      <c r="E61" s="17">
        <v>365</v>
      </c>
      <c r="F61" s="22">
        <v>2.0000000000000001E-4</v>
      </c>
      <c r="G61" s="10">
        <v>900</v>
      </c>
      <c r="H61" s="12">
        <v>2.9999999999999997E-4</v>
      </c>
      <c r="I61" s="18">
        <v>10950</v>
      </c>
      <c r="J61" s="20">
        <v>10</v>
      </c>
      <c r="K61" s="19">
        <f t="shared" si="47"/>
        <v>2.2222222222222222E-3</v>
      </c>
      <c r="L61" s="2">
        <f t="shared" si="48"/>
        <v>1.1111111111111111E-3</v>
      </c>
      <c r="M61" s="2">
        <f t="shared" si="49"/>
        <v>2.2222222222222222E-3</v>
      </c>
      <c r="N61" s="2">
        <f t="shared" si="50"/>
        <v>3.3333333333333335E-3</v>
      </c>
      <c r="O61" s="2">
        <f t="shared" si="51"/>
        <v>4.4444444444444444E-3</v>
      </c>
      <c r="P61" s="2">
        <f t="shared" si="52"/>
        <v>5.5555555555555558E-3</v>
      </c>
      <c r="Q61" s="2">
        <f t="shared" si="53"/>
        <v>6.6666666666666671E-3</v>
      </c>
      <c r="R61" s="2">
        <f t="shared" si="54"/>
        <v>7.4074074074074083</v>
      </c>
      <c r="S61" s="2">
        <f t="shared" si="55"/>
        <v>3.7037037037037042</v>
      </c>
      <c r="T61" s="2">
        <f t="shared" si="56"/>
        <v>7.4074074074074083</v>
      </c>
      <c r="U61" s="2">
        <f t="shared" si="57"/>
        <v>11.111111111111112</v>
      </c>
      <c r="V61" s="2">
        <f t="shared" si="58"/>
        <v>14.814814814814817</v>
      </c>
      <c r="W61" s="2">
        <f t="shared" si="59"/>
        <v>18.518518518518523</v>
      </c>
      <c r="X61" s="2">
        <f t="shared" si="60"/>
        <v>22.222222222222225</v>
      </c>
      <c r="Y61" s="5" t="str">
        <f t="shared" si="61"/>
        <v>1</v>
      </c>
      <c r="Z61" s="5" t="str">
        <f t="shared" si="62"/>
        <v>1</v>
      </c>
      <c r="AA61" s="5" t="str">
        <f t="shared" si="63"/>
        <v>1</v>
      </c>
      <c r="AB61" s="5" t="str">
        <f t="shared" si="64"/>
        <v>1</v>
      </c>
      <c r="AC61" s="5" t="str">
        <f t="shared" si="65"/>
        <v>1</v>
      </c>
      <c r="AD61" s="5" t="str">
        <f t="shared" si="66"/>
        <v>1</v>
      </c>
      <c r="AE61" s="5" t="str">
        <f t="shared" si="67"/>
        <v>1</v>
      </c>
    </row>
    <row r="62" spans="1:31" ht="14.4" x14ac:dyDescent="0.3">
      <c r="A62" s="14">
        <v>59</v>
      </c>
      <c r="B62" s="15" t="s">
        <v>161</v>
      </c>
      <c r="C62" s="10">
        <v>10</v>
      </c>
      <c r="D62" s="10">
        <v>25</v>
      </c>
      <c r="E62" s="17">
        <v>365</v>
      </c>
      <c r="F62" s="22">
        <v>2.0000000000000001E-4</v>
      </c>
      <c r="G62" s="10">
        <v>900</v>
      </c>
      <c r="H62" s="12">
        <v>2.9999999999999997E-4</v>
      </c>
      <c r="I62" s="18">
        <v>10950</v>
      </c>
      <c r="J62" s="20">
        <v>10</v>
      </c>
      <c r="K62" s="19">
        <f t="shared" si="47"/>
        <v>2.3999999999999998E-3</v>
      </c>
      <c r="L62" s="2">
        <f t="shared" si="48"/>
        <v>1.1999999999999999E-3</v>
      </c>
      <c r="M62" s="2">
        <f t="shared" si="49"/>
        <v>2.3999999999999998E-3</v>
      </c>
      <c r="N62" s="2">
        <f t="shared" si="50"/>
        <v>3.5999999999999999E-3</v>
      </c>
      <c r="O62" s="2">
        <f t="shared" si="51"/>
        <v>4.7999999999999996E-3</v>
      </c>
      <c r="P62" s="2">
        <f t="shared" si="52"/>
        <v>6.0000000000000001E-3</v>
      </c>
      <c r="Q62" s="2">
        <f t="shared" si="53"/>
        <v>7.1999999999999998E-3</v>
      </c>
      <c r="R62" s="2">
        <f t="shared" si="54"/>
        <v>8</v>
      </c>
      <c r="S62" s="2">
        <f t="shared" si="55"/>
        <v>4</v>
      </c>
      <c r="T62" s="2">
        <f t="shared" si="56"/>
        <v>8</v>
      </c>
      <c r="U62" s="2">
        <f t="shared" si="57"/>
        <v>12</v>
      </c>
      <c r="V62" s="2">
        <f t="shared" si="58"/>
        <v>16</v>
      </c>
      <c r="W62" s="2">
        <f t="shared" si="59"/>
        <v>20.000000000000004</v>
      </c>
      <c r="X62" s="2">
        <f t="shared" si="60"/>
        <v>24</v>
      </c>
      <c r="Y62" s="5" t="str">
        <f t="shared" si="61"/>
        <v>1</v>
      </c>
      <c r="Z62" s="5" t="str">
        <f t="shared" si="62"/>
        <v>1</v>
      </c>
      <c r="AA62" s="5" t="str">
        <f t="shared" si="63"/>
        <v>1</v>
      </c>
      <c r="AB62" s="5" t="str">
        <f t="shared" si="64"/>
        <v>1</v>
      </c>
      <c r="AC62" s="5" t="str">
        <f t="shared" si="65"/>
        <v>1</v>
      </c>
      <c r="AD62" s="5" t="str">
        <f t="shared" si="66"/>
        <v>1</v>
      </c>
      <c r="AE62" s="5" t="str">
        <f t="shared" si="67"/>
        <v>1</v>
      </c>
    </row>
    <row r="63" spans="1:31" ht="14.4" x14ac:dyDescent="0.3">
      <c r="A63" s="14">
        <v>60</v>
      </c>
      <c r="B63" s="15" t="s">
        <v>162</v>
      </c>
      <c r="C63" s="10">
        <v>10</v>
      </c>
      <c r="D63" s="10">
        <v>25</v>
      </c>
      <c r="E63" s="17">
        <v>365</v>
      </c>
      <c r="F63" s="22">
        <v>2.0000000000000001E-4</v>
      </c>
      <c r="G63" s="10">
        <v>900</v>
      </c>
      <c r="H63" s="12">
        <v>2.9999999999999997E-4</v>
      </c>
      <c r="I63" s="18">
        <v>10950</v>
      </c>
      <c r="J63" s="20">
        <v>10</v>
      </c>
      <c r="K63" s="19">
        <f t="shared" si="47"/>
        <v>2.3999999999999998E-3</v>
      </c>
      <c r="L63" s="2">
        <f t="shared" si="48"/>
        <v>1.1999999999999999E-3</v>
      </c>
      <c r="M63" s="2">
        <f t="shared" si="49"/>
        <v>2.3999999999999998E-3</v>
      </c>
      <c r="N63" s="2">
        <f t="shared" si="50"/>
        <v>3.5999999999999999E-3</v>
      </c>
      <c r="O63" s="2">
        <f t="shared" si="51"/>
        <v>4.7999999999999996E-3</v>
      </c>
      <c r="P63" s="2">
        <f t="shared" si="52"/>
        <v>6.0000000000000001E-3</v>
      </c>
      <c r="Q63" s="2">
        <f t="shared" si="53"/>
        <v>7.1999999999999998E-3</v>
      </c>
      <c r="R63" s="2">
        <f t="shared" si="54"/>
        <v>8</v>
      </c>
      <c r="S63" s="2">
        <f t="shared" si="55"/>
        <v>4</v>
      </c>
      <c r="T63" s="2">
        <f t="shared" si="56"/>
        <v>8</v>
      </c>
      <c r="U63" s="2">
        <f t="shared" si="57"/>
        <v>12</v>
      </c>
      <c r="V63" s="2">
        <f t="shared" si="58"/>
        <v>16</v>
      </c>
      <c r="W63" s="2">
        <f t="shared" si="59"/>
        <v>20.000000000000004</v>
      </c>
      <c r="X63" s="2">
        <f t="shared" si="60"/>
        <v>24</v>
      </c>
      <c r="Y63" s="5" t="str">
        <f t="shared" si="61"/>
        <v>1</v>
      </c>
      <c r="Z63" s="5" t="str">
        <f t="shared" si="62"/>
        <v>1</v>
      </c>
      <c r="AA63" s="5" t="str">
        <f t="shared" si="63"/>
        <v>1</v>
      </c>
      <c r="AB63" s="5" t="str">
        <f t="shared" si="64"/>
        <v>1</v>
      </c>
      <c r="AC63" s="5" t="str">
        <f t="shared" si="65"/>
        <v>1</v>
      </c>
      <c r="AD63" s="5" t="str">
        <f t="shared" si="66"/>
        <v>1</v>
      </c>
      <c r="AE63" s="5" t="str">
        <f t="shared" si="67"/>
        <v>1</v>
      </c>
    </row>
    <row r="64" spans="1:31" ht="14.4" x14ac:dyDescent="0.3">
      <c r="A64" s="14">
        <v>61</v>
      </c>
      <c r="B64" s="15" t="s">
        <v>163</v>
      </c>
      <c r="C64" s="10">
        <v>10</v>
      </c>
      <c r="D64" s="10">
        <v>30</v>
      </c>
      <c r="E64" s="17">
        <v>365</v>
      </c>
      <c r="F64" s="22">
        <v>2.0000000000000001E-4</v>
      </c>
      <c r="G64" s="10">
        <v>900</v>
      </c>
      <c r="H64" s="12">
        <v>2.9999999999999997E-4</v>
      </c>
      <c r="I64" s="18">
        <v>10950</v>
      </c>
      <c r="J64" s="20">
        <v>10</v>
      </c>
      <c r="K64" s="19">
        <f t="shared" si="47"/>
        <v>2E-3</v>
      </c>
      <c r="L64" s="2">
        <f t="shared" si="48"/>
        <v>1E-3</v>
      </c>
      <c r="M64" s="2">
        <f t="shared" si="49"/>
        <v>2E-3</v>
      </c>
      <c r="N64" s="2">
        <f t="shared" si="50"/>
        <v>3.0000000000000001E-3</v>
      </c>
      <c r="O64" s="2">
        <f t="shared" si="51"/>
        <v>4.0000000000000001E-3</v>
      </c>
      <c r="P64" s="2">
        <f t="shared" si="52"/>
        <v>5.0000000000000001E-3</v>
      </c>
      <c r="Q64" s="2">
        <f t="shared" si="53"/>
        <v>6.0000000000000001E-3</v>
      </c>
      <c r="R64" s="2">
        <f t="shared" si="54"/>
        <v>6.666666666666667</v>
      </c>
      <c r="S64" s="2">
        <f t="shared" si="55"/>
        <v>3.3333333333333335</v>
      </c>
      <c r="T64" s="2">
        <f t="shared" si="56"/>
        <v>6.666666666666667</v>
      </c>
      <c r="U64" s="2">
        <f t="shared" si="57"/>
        <v>10.000000000000002</v>
      </c>
      <c r="V64" s="2">
        <f t="shared" si="58"/>
        <v>13.333333333333334</v>
      </c>
      <c r="W64" s="2">
        <f t="shared" si="59"/>
        <v>16.666666666666668</v>
      </c>
      <c r="X64" s="2">
        <f t="shared" si="60"/>
        <v>20.000000000000004</v>
      </c>
      <c r="Y64" s="5" t="str">
        <f t="shared" si="61"/>
        <v>1</v>
      </c>
      <c r="Z64" s="5" t="str">
        <f t="shared" si="62"/>
        <v>1</v>
      </c>
      <c r="AA64" s="5" t="str">
        <f t="shared" si="63"/>
        <v>1</v>
      </c>
      <c r="AB64" s="5" t="str">
        <f t="shared" si="64"/>
        <v>1</v>
      </c>
      <c r="AC64" s="5" t="str">
        <f t="shared" si="65"/>
        <v>1</v>
      </c>
      <c r="AD64" s="5" t="str">
        <f t="shared" si="66"/>
        <v>1</v>
      </c>
      <c r="AE64" s="5" t="str">
        <f t="shared" si="67"/>
        <v>1</v>
      </c>
    </row>
    <row r="65" spans="1:31" ht="14.4" x14ac:dyDescent="0.3">
      <c r="A65" s="14">
        <v>62</v>
      </c>
      <c r="B65" s="15" t="s">
        <v>164</v>
      </c>
      <c r="C65" s="10">
        <v>10</v>
      </c>
      <c r="D65" s="10">
        <v>25</v>
      </c>
      <c r="E65" s="17">
        <v>365</v>
      </c>
      <c r="F65" s="22">
        <v>2.0000000000000001E-4</v>
      </c>
      <c r="G65" s="10">
        <v>900</v>
      </c>
      <c r="H65" s="12">
        <v>2.9999999999999997E-4</v>
      </c>
      <c r="I65" s="18">
        <v>10950</v>
      </c>
      <c r="J65" s="20">
        <v>10</v>
      </c>
      <c r="K65" s="19">
        <f t="shared" si="47"/>
        <v>2.3999999999999998E-3</v>
      </c>
      <c r="L65" s="2">
        <f t="shared" si="48"/>
        <v>1.1999999999999999E-3</v>
      </c>
      <c r="M65" s="2">
        <f t="shared" si="49"/>
        <v>2.3999999999999998E-3</v>
      </c>
      <c r="N65" s="2">
        <f t="shared" si="50"/>
        <v>3.5999999999999999E-3</v>
      </c>
      <c r="O65" s="2">
        <f t="shared" si="51"/>
        <v>4.7999999999999996E-3</v>
      </c>
      <c r="P65" s="2">
        <f t="shared" si="52"/>
        <v>6.0000000000000001E-3</v>
      </c>
      <c r="Q65" s="2">
        <f t="shared" si="53"/>
        <v>7.1999999999999998E-3</v>
      </c>
      <c r="R65" s="2">
        <f t="shared" si="54"/>
        <v>8</v>
      </c>
      <c r="S65" s="2">
        <f t="shared" si="55"/>
        <v>4</v>
      </c>
      <c r="T65" s="2">
        <f t="shared" si="56"/>
        <v>8</v>
      </c>
      <c r="U65" s="2">
        <f t="shared" si="57"/>
        <v>12</v>
      </c>
      <c r="V65" s="2">
        <f t="shared" si="58"/>
        <v>16</v>
      </c>
      <c r="W65" s="2">
        <f t="shared" si="59"/>
        <v>20.000000000000004</v>
      </c>
      <c r="X65" s="2">
        <f t="shared" si="60"/>
        <v>24</v>
      </c>
      <c r="Y65" s="5" t="str">
        <f t="shared" si="61"/>
        <v>1</v>
      </c>
      <c r="Z65" s="5" t="str">
        <f t="shared" si="62"/>
        <v>1</v>
      </c>
      <c r="AA65" s="5" t="str">
        <f t="shared" si="63"/>
        <v>1</v>
      </c>
      <c r="AB65" s="5" t="str">
        <f t="shared" si="64"/>
        <v>1</v>
      </c>
      <c r="AC65" s="5" t="str">
        <f t="shared" si="65"/>
        <v>1</v>
      </c>
      <c r="AD65" s="5" t="str">
        <f t="shared" si="66"/>
        <v>1</v>
      </c>
      <c r="AE65" s="5" t="str">
        <f t="shared" si="67"/>
        <v>1</v>
      </c>
    </row>
    <row r="66" spans="1:31" ht="14.4" x14ac:dyDescent="0.3">
      <c r="A66" s="14">
        <v>63</v>
      </c>
      <c r="B66" s="15" t="s">
        <v>165</v>
      </c>
      <c r="C66" s="10">
        <v>10</v>
      </c>
      <c r="D66" s="10">
        <v>25</v>
      </c>
      <c r="E66" s="17">
        <v>365</v>
      </c>
      <c r="F66" s="22">
        <v>2.0000000000000001E-4</v>
      </c>
      <c r="G66" s="10">
        <v>900</v>
      </c>
      <c r="H66" s="12">
        <v>2.9999999999999997E-4</v>
      </c>
      <c r="I66" s="18">
        <v>10950</v>
      </c>
      <c r="J66" s="20">
        <v>10</v>
      </c>
      <c r="K66" s="19">
        <f t="shared" si="47"/>
        <v>2.3999999999999998E-3</v>
      </c>
      <c r="L66" s="2">
        <f t="shared" si="48"/>
        <v>1.1999999999999999E-3</v>
      </c>
      <c r="M66" s="2">
        <f t="shared" si="49"/>
        <v>2.3999999999999998E-3</v>
      </c>
      <c r="N66" s="2">
        <f t="shared" si="50"/>
        <v>3.5999999999999999E-3</v>
      </c>
      <c r="O66" s="2">
        <f t="shared" si="51"/>
        <v>4.7999999999999996E-3</v>
      </c>
      <c r="P66" s="2">
        <f t="shared" si="52"/>
        <v>6.0000000000000001E-3</v>
      </c>
      <c r="Q66" s="2">
        <f t="shared" si="53"/>
        <v>7.1999999999999998E-3</v>
      </c>
      <c r="R66" s="2">
        <f t="shared" si="54"/>
        <v>8</v>
      </c>
      <c r="S66" s="2">
        <f t="shared" si="55"/>
        <v>4</v>
      </c>
      <c r="T66" s="2">
        <f t="shared" si="56"/>
        <v>8</v>
      </c>
      <c r="U66" s="2">
        <f t="shared" si="57"/>
        <v>12</v>
      </c>
      <c r="V66" s="2">
        <f t="shared" si="58"/>
        <v>16</v>
      </c>
      <c r="W66" s="2">
        <f t="shared" si="59"/>
        <v>20.000000000000004</v>
      </c>
      <c r="X66" s="2">
        <f t="shared" si="60"/>
        <v>24</v>
      </c>
      <c r="Y66" s="5" t="str">
        <f t="shared" si="61"/>
        <v>1</v>
      </c>
      <c r="Z66" s="5" t="str">
        <f t="shared" si="62"/>
        <v>1</v>
      </c>
      <c r="AA66" s="5" t="str">
        <f t="shared" si="63"/>
        <v>1</v>
      </c>
      <c r="AB66" s="5" t="str">
        <f t="shared" si="64"/>
        <v>1</v>
      </c>
      <c r="AC66" s="5" t="str">
        <f t="shared" si="65"/>
        <v>1</v>
      </c>
      <c r="AD66" s="5" t="str">
        <f t="shared" si="66"/>
        <v>1</v>
      </c>
      <c r="AE66" s="5" t="str">
        <f t="shared" si="67"/>
        <v>1</v>
      </c>
    </row>
    <row r="67" spans="1:31" ht="14.4" x14ac:dyDescent="0.3">
      <c r="A67" s="14">
        <v>64</v>
      </c>
      <c r="B67" s="15" t="s">
        <v>144</v>
      </c>
      <c r="C67" s="10">
        <v>10</v>
      </c>
      <c r="D67" s="10">
        <v>30</v>
      </c>
      <c r="E67" s="17">
        <v>365</v>
      </c>
      <c r="F67" s="22">
        <v>2.0000000000000001E-4</v>
      </c>
      <c r="G67" s="10">
        <v>900</v>
      </c>
      <c r="H67" s="12">
        <v>2.9999999999999997E-4</v>
      </c>
      <c r="I67" s="18">
        <v>10950</v>
      </c>
      <c r="J67" s="20">
        <v>10</v>
      </c>
      <c r="K67" s="19">
        <f t="shared" si="47"/>
        <v>2E-3</v>
      </c>
      <c r="L67" s="2">
        <f t="shared" si="48"/>
        <v>1E-3</v>
      </c>
      <c r="M67" s="2">
        <f t="shared" si="49"/>
        <v>2E-3</v>
      </c>
      <c r="N67" s="2">
        <f t="shared" si="50"/>
        <v>3.0000000000000001E-3</v>
      </c>
      <c r="O67" s="2">
        <f t="shared" si="51"/>
        <v>4.0000000000000001E-3</v>
      </c>
      <c r="P67" s="2">
        <f t="shared" si="52"/>
        <v>5.0000000000000001E-3</v>
      </c>
      <c r="Q67" s="2">
        <f t="shared" si="53"/>
        <v>6.0000000000000001E-3</v>
      </c>
      <c r="R67" s="2">
        <f t="shared" si="54"/>
        <v>6.666666666666667</v>
      </c>
      <c r="S67" s="2">
        <f t="shared" si="55"/>
        <v>3.3333333333333335</v>
      </c>
      <c r="T67" s="2">
        <f t="shared" si="56"/>
        <v>6.666666666666667</v>
      </c>
      <c r="U67" s="2">
        <f t="shared" si="57"/>
        <v>10.000000000000002</v>
      </c>
      <c r="V67" s="2">
        <f t="shared" si="58"/>
        <v>13.333333333333334</v>
      </c>
      <c r="W67" s="2">
        <f t="shared" si="59"/>
        <v>16.666666666666668</v>
      </c>
      <c r="X67" s="2">
        <f t="shared" si="60"/>
        <v>20.000000000000004</v>
      </c>
      <c r="Y67" s="5" t="str">
        <f t="shared" si="61"/>
        <v>1</v>
      </c>
      <c r="Z67" s="5" t="str">
        <f t="shared" si="62"/>
        <v>1</v>
      </c>
      <c r="AA67" s="5" t="str">
        <f t="shared" si="63"/>
        <v>1</v>
      </c>
      <c r="AB67" s="5" t="str">
        <f t="shared" si="64"/>
        <v>1</v>
      </c>
      <c r="AC67" s="5" t="str">
        <f t="shared" si="65"/>
        <v>1</v>
      </c>
      <c r="AD67" s="5" t="str">
        <f t="shared" si="66"/>
        <v>1</v>
      </c>
      <c r="AE67" s="5" t="str">
        <f t="shared" si="67"/>
        <v>1</v>
      </c>
    </row>
    <row r="68" spans="1:31" ht="14.4" x14ac:dyDescent="0.3">
      <c r="A68" s="14">
        <v>65</v>
      </c>
      <c r="B68" s="15" t="s">
        <v>166</v>
      </c>
      <c r="C68" s="10">
        <v>11</v>
      </c>
      <c r="D68" s="10">
        <v>33</v>
      </c>
      <c r="E68" s="17">
        <v>365</v>
      </c>
      <c r="F68" s="22">
        <v>2.0000000000000001E-4</v>
      </c>
      <c r="G68" s="10">
        <v>900</v>
      </c>
      <c r="H68" s="12">
        <v>2.9999999999999997E-4</v>
      </c>
      <c r="I68" s="18">
        <v>10950</v>
      </c>
      <c r="J68" s="20">
        <v>11</v>
      </c>
      <c r="K68" s="19">
        <f t="shared" si="47"/>
        <v>2E-3</v>
      </c>
      <c r="L68" s="2">
        <f t="shared" si="48"/>
        <v>9.0909090909090909E-4</v>
      </c>
      <c r="M68" s="2">
        <f t="shared" si="49"/>
        <v>1.8181818181818182E-3</v>
      </c>
      <c r="N68" s="2">
        <f t="shared" si="50"/>
        <v>2.7272727272727275E-3</v>
      </c>
      <c r="O68" s="2">
        <f t="shared" si="51"/>
        <v>3.6363636363636364E-3</v>
      </c>
      <c r="P68" s="2">
        <f t="shared" si="52"/>
        <v>4.5454545454545452E-3</v>
      </c>
      <c r="Q68" s="2">
        <f t="shared" si="53"/>
        <v>5.454545454545455E-3</v>
      </c>
      <c r="R68" s="2">
        <f t="shared" si="54"/>
        <v>6.666666666666667</v>
      </c>
      <c r="S68" s="2">
        <f t="shared" si="55"/>
        <v>3.0303030303030307</v>
      </c>
      <c r="T68" s="2">
        <f t="shared" si="56"/>
        <v>6.0606060606060614</v>
      </c>
      <c r="U68" s="2">
        <f t="shared" si="57"/>
        <v>9.0909090909090917</v>
      </c>
      <c r="V68" s="2">
        <f t="shared" si="58"/>
        <v>12.121212121212123</v>
      </c>
      <c r="W68" s="2">
        <f t="shared" si="59"/>
        <v>15.151515151515152</v>
      </c>
      <c r="X68" s="2">
        <f t="shared" si="60"/>
        <v>18.181818181818183</v>
      </c>
      <c r="Y68" s="5" t="str">
        <f t="shared" si="61"/>
        <v>1</v>
      </c>
      <c r="Z68" s="5" t="str">
        <f t="shared" si="62"/>
        <v>1</v>
      </c>
      <c r="AA68" s="5" t="str">
        <f t="shared" si="63"/>
        <v>1</v>
      </c>
      <c r="AB68" s="5" t="str">
        <f t="shared" si="64"/>
        <v>1</v>
      </c>
      <c r="AC68" s="5" t="str">
        <f t="shared" si="65"/>
        <v>1</v>
      </c>
      <c r="AD68" s="5" t="str">
        <f t="shared" si="66"/>
        <v>1</v>
      </c>
      <c r="AE68" s="5" t="str">
        <f t="shared" si="67"/>
        <v>1</v>
      </c>
    </row>
    <row r="69" spans="1:31" ht="14.4" x14ac:dyDescent="0.3">
      <c r="A69" s="14">
        <v>66</v>
      </c>
      <c r="B69" s="15" t="s">
        <v>167</v>
      </c>
      <c r="C69" s="10">
        <v>11</v>
      </c>
      <c r="D69" s="10">
        <v>23</v>
      </c>
      <c r="E69" s="17">
        <v>365</v>
      </c>
      <c r="F69" s="22">
        <v>2.0000000000000001E-4</v>
      </c>
      <c r="G69" s="10">
        <v>900</v>
      </c>
      <c r="H69" s="12">
        <v>2.9999999999999997E-4</v>
      </c>
      <c r="I69" s="18">
        <v>10950</v>
      </c>
      <c r="J69" s="20">
        <v>11</v>
      </c>
      <c r="K69" s="19">
        <f t="shared" si="47"/>
        <v>2.8695652173913043E-3</v>
      </c>
      <c r="L69" s="2">
        <f t="shared" si="48"/>
        <v>1.3043478260869566E-3</v>
      </c>
      <c r="M69" s="2">
        <f t="shared" si="49"/>
        <v>2.6086956521739132E-3</v>
      </c>
      <c r="N69" s="2">
        <f t="shared" si="50"/>
        <v>3.9130434782608699E-3</v>
      </c>
      <c r="O69" s="2">
        <f t="shared" si="51"/>
        <v>5.2173913043478265E-3</v>
      </c>
      <c r="P69" s="2">
        <f t="shared" si="52"/>
        <v>6.5217391304347823E-3</v>
      </c>
      <c r="Q69" s="2">
        <f t="shared" si="53"/>
        <v>7.8260869565217397E-3</v>
      </c>
      <c r="R69" s="2">
        <f t="shared" si="54"/>
        <v>9.5652173913043477</v>
      </c>
      <c r="S69" s="2">
        <f t="shared" si="55"/>
        <v>4.3478260869565224</v>
      </c>
      <c r="T69" s="2">
        <f t="shared" si="56"/>
        <v>8.6956521739130448</v>
      </c>
      <c r="U69" s="2">
        <f t="shared" si="57"/>
        <v>13.043478260869568</v>
      </c>
      <c r="V69" s="2">
        <f t="shared" si="58"/>
        <v>17.39130434782609</v>
      </c>
      <c r="W69" s="2">
        <f t="shared" si="59"/>
        <v>21.739130434782609</v>
      </c>
      <c r="X69" s="2">
        <f t="shared" si="60"/>
        <v>26.086956521739136</v>
      </c>
      <c r="Y69" s="5" t="str">
        <f t="shared" si="61"/>
        <v>1</v>
      </c>
      <c r="Z69" s="5" t="str">
        <f t="shared" si="62"/>
        <v>1</v>
      </c>
      <c r="AA69" s="5" t="str">
        <f t="shared" si="63"/>
        <v>1</v>
      </c>
      <c r="AB69" s="5" t="str">
        <f t="shared" si="64"/>
        <v>1</v>
      </c>
      <c r="AC69" s="5" t="str">
        <f t="shared" si="65"/>
        <v>1</v>
      </c>
      <c r="AD69" s="5" t="str">
        <f t="shared" si="66"/>
        <v>1</v>
      </c>
      <c r="AE69" s="5" t="str">
        <f t="shared" si="67"/>
        <v>1</v>
      </c>
    </row>
    <row r="70" spans="1:31" ht="14.4" x14ac:dyDescent="0.3">
      <c r="A70" s="14">
        <v>67</v>
      </c>
      <c r="B70" s="15" t="s">
        <v>168</v>
      </c>
      <c r="C70" s="10">
        <v>11</v>
      </c>
      <c r="D70" s="10">
        <v>34</v>
      </c>
      <c r="E70" s="17">
        <v>365</v>
      </c>
      <c r="F70" s="22">
        <v>2.0000000000000001E-4</v>
      </c>
      <c r="G70" s="10">
        <v>1200</v>
      </c>
      <c r="H70" s="12">
        <v>2.9999999999999997E-4</v>
      </c>
      <c r="I70" s="18">
        <v>10950</v>
      </c>
      <c r="J70" s="20">
        <v>11</v>
      </c>
      <c r="K70" s="19">
        <f t="shared" si="47"/>
        <v>2.5882352941176473E-3</v>
      </c>
      <c r="L70" s="2">
        <f t="shared" si="48"/>
        <v>1.1764705882352942E-3</v>
      </c>
      <c r="M70" s="2">
        <f t="shared" si="49"/>
        <v>2.3529411764705885E-3</v>
      </c>
      <c r="N70" s="2">
        <f t="shared" si="50"/>
        <v>3.5294117647058829E-3</v>
      </c>
      <c r="O70" s="2">
        <f t="shared" si="51"/>
        <v>4.7058823529411769E-3</v>
      </c>
      <c r="P70" s="2">
        <f t="shared" si="52"/>
        <v>5.8823529411764705E-3</v>
      </c>
      <c r="Q70" s="2">
        <f t="shared" si="53"/>
        <v>7.0588235294117658E-3</v>
      </c>
      <c r="R70" s="2">
        <f t="shared" si="54"/>
        <v>8.6274509803921582</v>
      </c>
      <c r="S70" s="2">
        <f t="shared" si="55"/>
        <v>3.9215686274509811</v>
      </c>
      <c r="T70" s="2">
        <f t="shared" si="56"/>
        <v>7.8431372549019622</v>
      </c>
      <c r="U70" s="2">
        <f t="shared" si="57"/>
        <v>11.764705882352944</v>
      </c>
      <c r="V70" s="2">
        <f t="shared" si="58"/>
        <v>15.686274509803924</v>
      </c>
      <c r="W70" s="2">
        <f t="shared" si="59"/>
        <v>19.607843137254903</v>
      </c>
      <c r="X70" s="2">
        <f t="shared" si="60"/>
        <v>23.529411764705888</v>
      </c>
      <c r="Y70" s="5" t="str">
        <f t="shared" si="61"/>
        <v>1</v>
      </c>
      <c r="Z70" s="5" t="str">
        <f t="shared" si="62"/>
        <v>1</v>
      </c>
      <c r="AA70" s="5" t="str">
        <f t="shared" si="63"/>
        <v>1</v>
      </c>
      <c r="AB70" s="5" t="str">
        <f t="shared" si="64"/>
        <v>1</v>
      </c>
      <c r="AC70" s="5" t="str">
        <f t="shared" si="65"/>
        <v>1</v>
      </c>
      <c r="AD70" s="5" t="str">
        <f t="shared" si="66"/>
        <v>1</v>
      </c>
      <c r="AE70" s="5" t="str">
        <f t="shared" si="67"/>
        <v>1</v>
      </c>
    </row>
    <row r="71" spans="1:31" ht="14.4" x14ac:dyDescent="0.3">
      <c r="A71" s="14">
        <v>68</v>
      </c>
      <c r="B71" s="15" t="s">
        <v>169</v>
      </c>
      <c r="C71" s="10">
        <v>11</v>
      </c>
      <c r="D71" s="10">
        <v>32</v>
      </c>
      <c r="E71" s="17">
        <v>365</v>
      </c>
      <c r="F71" s="22">
        <v>2.0000000000000001E-4</v>
      </c>
      <c r="G71" s="10">
        <v>900</v>
      </c>
      <c r="H71" s="12">
        <v>2.9999999999999997E-4</v>
      </c>
      <c r="I71" s="18">
        <v>10950</v>
      </c>
      <c r="J71" s="20">
        <v>11</v>
      </c>
      <c r="K71" s="19">
        <f t="shared" si="47"/>
        <v>2.0625000000000001E-3</v>
      </c>
      <c r="L71" s="2">
        <f t="shared" si="48"/>
        <v>9.3749999999999997E-4</v>
      </c>
      <c r="M71" s="2">
        <f t="shared" si="49"/>
        <v>1.8749999999999999E-3</v>
      </c>
      <c r="N71" s="2">
        <f t="shared" si="50"/>
        <v>2.8124999999999999E-3</v>
      </c>
      <c r="O71" s="2">
        <f t="shared" si="51"/>
        <v>3.7499999999999999E-3</v>
      </c>
      <c r="P71" s="2">
        <f t="shared" si="52"/>
        <v>4.6874999999999998E-3</v>
      </c>
      <c r="Q71" s="2">
        <f t="shared" si="53"/>
        <v>5.6249999999999998E-3</v>
      </c>
      <c r="R71" s="2">
        <f t="shared" si="54"/>
        <v>6.8750000000000009</v>
      </c>
      <c r="S71" s="2">
        <f t="shared" si="55"/>
        <v>3.125</v>
      </c>
      <c r="T71" s="2">
        <f t="shared" si="56"/>
        <v>6.25</v>
      </c>
      <c r="U71" s="2">
        <f t="shared" si="57"/>
        <v>9.375</v>
      </c>
      <c r="V71" s="2">
        <f t="shared" si="58"/>
        <v>12.5</v>
      </c>
      <c r="W71" s="2">
        <f t="shared" si="59"/>
        <v>15.625</v>
      </c>
      <c r="X71" s="2">
        <f t="shared" si="60"/>
        <v>18.75</v>
      </c>
      <c r="Y71" s="5" t="str">
        <f t="shared" si="61"/>
        <v>1</v>
      </c>
      <c r="Z71" s="5" t="str">
        <f t="shared" si="62"/>
        <v>1</v>
      </c>
      <c r="AA71" s="5" t="str">
        <f t="shared" si="63"/>
        <v>1</v>
      </c>
      <c r="AB71" s="5" t="str">
        <f t="shared" si="64"/>
        <v>1</v>
      </c>
      <c r="AC71" s="5" t="str">
        <f t="shared" si="65"/>
        <v>1</v>
      </c>
      <c r="AD71" s="5" t="str">
        <f t="shared" si="66"/>
        <v>1</v>
      </c>
      <c r="AE71" s="5" t="str">
        <f t="shared" si="67"/>
        <v>1</v>
      </c>
    </row>
    <row r="72" spans="1:31" ht="14.4" x14ac:dyDescent="0.3">
      <c r="A72" s="14">
        <v>69</v>
      </c>
      <c r="B72" s="15" t="s">
        <v>170</v>
      </c>
      <c r="C72" s="10">
        <v>11</v>
      </c>
      <c r="D72" s="10">
        <v>29</v>
      </c>
      <c r="E72" s="17">
        <v>365</v>
      </c>
      <c r="F72" s="22">
        <v>2.0000000000000001E-4</v>
      </c>
      <c r="G72" s="10">
        <v>1200</v>
      </c>
      <c r="H72" s="12">
        <v>2.9999999999999997E-4</v>
      </c>
      <c r="I72" s="18">
        <v>10950</v>
      </c>
      <c r="J72" s="20">
        <v>11</v>
      </c>
      <c r="K72" s="19">
        <f t="shared" si="47"/>
        <v>3.0344827586206899E-3</v>
      </c>
      <c r="L72" s="2">
        <f t="shared" si="48"/>
        <v>1.3793103448275863E-3</v>
      </c>
      <c r="M72" s="2">
        <f t="shared" si="49"/>
        <v>2.7586206896551726E-3</v>
      </c>
      <c r="N72" s="2">
        <f t="shared" si="50"/>
        <v>4.1379310344827596E-3</v>
      </c>
      <c r="O72" s="2">
        <f t="shared" si="51"/>
        <v>5.5172413793103453E-3</v>
      </c>
      <c r="P72" s="2">
        <f t="shared" si="52"/>
        <v>6.8965517241379309E-3</v>
      </c>
      <c r="Q72" s="2">
        <f t="shared" si="53"/>
        <v>8.2758620689655192E-3</v>
      </c>
      <c r="R72" s="2">
        <f t="shared" si="54"/>
        <v>10.114942528735634</v>
      </c>
      <c r="S72" s="2">
        <f t="shared" si="55"/>
        <v>4.597701149425288</v>
      </c>
      <c r="T72" s="2">
        <f t="shared" si="56"/>
        <v>9.1954022988505759</v>
      </c>
      <c r="U72" s="2">
        <f t="shared" si="57"/>
        <v>13.793103448275867</v>
      </c>
      <c r="V72" s="2">
        <f t="shared" si="58"/>
        <v>18.390804597701152</v>
      </c>
      <c r="W72" s="2">
        <f t="shared" si="59"/>
        <v>22.988505747126439</v>
      </c>
      <c r="X72" s="2">
        <f t="shared" si="60"/>
        <v>27.586206896551733</v>
      </c>
      <c r="Y72" s="5" t="str">
        <f t="shared" si="61"/>
        <v>1</v>
      </c>
      <c r="Z72" s="5" t="str">
        <f t="shared" si="62"/>
        <v>1</v>
      </c>
      <c r="AA72" s="5" t="str">
        <f t="shared" si="63"/>
        <v>1</v>
      </c>
      <c r="AB72" s="5" t="str">
        <f t="shared" si="64"/>
        <v>1</v>
      </c>
      <c r="AC72" s="5" t="str">
        <f t="shared" si="65"/>
        <v>1</v>
      </c>
      <c r="AD72" s="5" t="str">
        <f t="shared" si="66"/>
        <v>1</v>
      </c>
      <c r="AE72" s="5" t="str">
        <f t="shared" si="67"/>
        <v>1</v>
      </c>
    </row>
    <row r="73" spans="1:31" ht="14.4" x14ac:dyDescent="0.3">
      <c r="A73" s="14">
        <v>70</v>
      </c>
      <c r="B73" s="15" t="s">
        <v>171</v>
      </c>
      <c r="C73" s="10">
        <v>11</v>
      </c>
      <c r="D73" s="10">
        <v>29</v>
      </c>
      <c r="E73" s="17">
        <v>365</v>
      </c>
      <c r="F73" s="22">
        <v>2.0000000000000001E-4</v>
      </c>
      <c r="G73" s="10">
        <v>1200</v>
      </c>
      <c r="H73" s="12">
        <v>2.9999999999999997E-4</v>
      </c>
      <c r="I73" s="18">
        <v>10950</v>
      </c>
      <c r="J73" s="20">
        <v>11</v>
      </c>
      <c r="K73" s="19">
        <f t="shared" si="47"/>
        <v>3.0344827586206899E-3</v>
      </c>
      <c r="L73" s="2">
        <f t="shared" si="48"/>
        <v>1.3793103448275863E-3</v>
      </c>
      <c r="M73" s="2">
        <f t="shared" si="49"/>
        <v>2.7586206896551726E-3</v>
      </c>
      <c r="N73" s="2">
        <f t="shared" si="50"/>
        <v>4.1379310344827596E-3</v>
      </c>
      <c r="O73" s="2">
        <f t="shared" si="51"/>
        <v>5.5172413793103453E-3</v>
      </c>
      <c r="P73" s="2">
        <f t="shared" si="52"/>
        <v>6.8965517241379309E-3</v>
      </c>
      <c r="Q73" s="2">
        <f t="shared" si="53"/>
        <v>8.2758620689655192E-3</v>
      </c>
      <c r="R73" s="2">
        <f t="shared" si="54"/>
        <v>10.114942528735634</v>
      </c>
      <c r="S73" s="2">
        <f t="shared" si="55"/>
        <v>4.597701149425288</v>
      </c>
      <c r="T73" s="2">
        <f t="shared" si="56"/>
        <v>9.1954022988505759</v>
      </c>
      <c r="U73" s="2">
        <f t="shared" si="57"/>
        <v>13.793103448275867</v>
      </c>
      <c r="V73" s="2">
        <f t="shared" si="58"/>
        <v>18.390804597701152</v>
      </c>
      <c r="W73" s="2">
        <f t="shared" si="59"/>
        <v>22.988505747126439</v>
      </c>
      <c r="X73" s="2">
        <f t="shared" si="60"/>
        <v>27.586206896551733</v>
      </c>
      <c r="Y73" s="5" t="str">
        <f t="shared" si="61"/>
        <v>1</v>
      </c>
      <c r="Z73" s="5" t="str">
        <f t="shared" si="62"/>
        <v>1</v>
      </c>
      <c r="AA73" s="5" t="str">
        <f t="shared" si="63"/>
        <v>1</v>
      </c>
      <c r="AB73" s="5" t="str">
        <f t="shared" si="64"/>
        <v>1</v>
      </c>
      <c r="AC73" s="5" t="str">
        <f t="shared" si="65"/>
        <v>1</v>
      </c>
      <c r="AD73" s="5" t="str">
        <f t="shared" si="66"/>
        <v>1</v>
      </c>
      <c r="AE73" s="5" t="str">
        <f t="shared" si="67"/>
        <v>1</v>
      </c>
    </row>
    <row r="74" spans="1:31" ht="14.4" x14ac:dyDescent="0.3">
      <c r="A74" s="14">
        <v>71</v>
      </c>
      <c r="B74" s="15" t="s">
        <v>108</v>
      </c>
      <c r="C74" s="10">
        <v>11</v>
      </c>
      <c r="D74" s="10">
        <v>20</v>
      </c>
      <c r="E74" s="17">
        <v>365</v>
      </c>
      <c r="F74" s="22">
        <v>2.0000000000000001E-4</v>
      </c>
      <c r="G74" s="10">
        <v>900</v>
      </c>
      <c r="H74" s="12">
        <v>2.9999999999999997E-4</v>
      </c>
      <c r="I74" s="18">
        <v>10950</v>
      </c>
      <c r="J74" s="20">
        <v>1</v>
      </c>
      <c r="K74" s="19">
        <f t="shared" si="47"/>
        <v>3.0000000000000003E-4</v>
      </c>
      <c r="L74" s="2">
        <f t="shared" si="48"/>
        <v>1.5E-3</v>
      </c>
      <c r="M74" s="2">
        <f t="shared" si="49"/>
        <v>3.0000000000000001E-3</v>
      </c>
      <c r="N74" s="2">
        <f t="shared" si="50"/>
        <v>4.4999999999999997E-3</v>
      </c>
      <c r="O74" s="2">
        <f t="shared" si="51"/>
        <v>6.0000000000000001E-3</v>
      </c>
      <c r="P74" s="2">
        <f t="shared" si="52"/>
        <v>7.4999999999999997E-3</v>
      </c>
      <c r="Q74" s="2">
        <f t="shared" si="53"/>
        <v>8.9999999999999993E-3</v>
      </c>
      <c r="R74" s="2">
        <f t="shared" si="54"/>
        <v>1.0000000000000002</v>
      </c>
      <c r="S74" s="2">
        <f t="shared" si="55"/>
        <v>5.0000000000000009</v>
      </c>
      <c r="T74" s="2">
        <f t="shared" si="56"/>
        <v>10.000000000000002</v>
      </c>
      <c r="U74" s="2">
        <f t="shared" si="57"/>
        <v>15</v>
      </c>
      <c r="V74" s="2">
        <f t="shared" si="58"/>
        <v>20.000000000000004</v>
      </c>
      <c r="W74" s="2">
        <f t="shared" si="59"/>
        <v>25</v>
      </c>
      <c r="X74" s="2">
        <f t="shared" si="60"/>
        <v>30</v>
      </c>
      <c r="Y74" s="5" t="str">
        <f t="shared" si="61"/>
        <v>2</v>
      </c>
      <c r="Z74" s="5" t="str">
        <f t="shared" si="62"/>
        <v>1</v>
      </c>
      <c r="AA74" s="5" t="str">
        <f t="shared" si="63"/>
        <v>1</v>
      </c>
      <c r="AB74" s="5" t="str">
        <f t="shared" si="64"/>
        <v>1</v>
      </c>
      <c r="AC74" s="5" t="str">
        <f t="shared" si="65"/>
        <v>1</v>
      </c>
      <c r="AD74" s="5" t="str">
        <f t="shared" si="66"/>
        <v>1</v>
      </c>
      <c r="AE74" s="5" t="str">
        <f t="shared" si="67"/>
        <v>1</v>
      </c>
    </row>
    <row r="75" spans="1:31" ht="14.4" x14ac:dyDescent="0.3">
      <c r="A75" s="14">
        <v>72</v>
      </c>
      <c r="B75" s="15" t="s">
        <v>172</v>
      </c>
      <c r="C75" s="10">
        <v>11</v>
      </c>
      <c r="D75" s="10">
        <v>26</v>
      </c>
      <c r="E75" s="17">
        <v>365</v>
      </c>
      <c r="F75" s="22">
        <v>2.0000000000000001E-4</v>
      </c>
      <c r="G75" s="10">
        <v>900</v>
      </c>
      <c r="H75" s="12">
        <v>2.9999999999999997E-4</v>
      </c>
      <c r="I75" s="18">
        <v>10950</v>
      </c>
      <c r="J75" s="20">
        <v>1</v>
      </c>
      <c r="K75" s="19">
        <f t="shared" si="47"/>
        <v>2.3076923076923079E-4</v>
      </c>
      <c r="L75" s="2">
        <f t="shared" si="48"/>
        <v>1.153846153846154E-3</v>
      </c>
      <c r="M75" s="2">
        <f t="shared" si="49"/>
        <v>2.3076923076923079E-3</v>
      </c>
      <c r="N75" s="2">
        <f t="shared" si="50"/>
        <v>3.4615384615384616E-3</v>
      </c>
      <c r="O75" s="2">
        <f t="shared" si="51"/>
        <v>4.6153846153846158E-3</v>
      </c>
      <c r="P75" s="2">
        <f t="shared" si="52"/>
        <v>5.7692307692307696E-3</v>
      </c>
      <c r="Q75" s="2">
        <f t="shared" si="53"/>
        <v>6.9230769230769233E-3</v>
      </c>
      <c r="R75" s="2">
        <f t="shared" si="54"/>
        <v>0.76923076923076938</v>
      </c>
      <c r="S75" s="2">
        <f t="shared" si="55"/>
        <v>3.8461538461538467</v>
      </c>
      <c r="T75" s="2">
        <f t="shared" si="56"/>
        <v>7.6923076923076934</v>
      </c>
      <c r="U75" s="2">
        <f t="shared" si="57"/>
        <v>11.53846153846154</v>
      </c>
      <c r="V75" s="2">
        <f t="shared" si="58"/>
        <v>15.384615384615387</v>
      </c>
      <c r="W75" s="2">
        <f t="shared" si="59"/>
        <v>19.230769230769234</v>
      </c>
      <c r="X75" s="2">
        <f t="shared" si="60"/>
        <v>23.07692307692308</v>
      </c>
      <c r="Y75" s="5" t="str">
        <f t="shared" si="61"/>
        <v>2</v>
      </c>
      <c r="Z75" s="5" t="str">
        <f t="shared" si="62"/>
        <v>1</v>
      </c>
      <c r="AA75" s="5" t="str">
        <f t="shared" si="63"/>
        <v>1</v>
      </c>
      <c r="AB75" s="5" t="str">
        <f t="shared" si="64"/>
        <v>1</v>
      </c>
      <c r="AC75" s="5" t="str">
        <f t="shared" si="65"/>
        <v>1</v>
      </c>
      <c r="AD75" s="5" t="str">
        <f t="shared" si="66"/>
        <v>1</v>
      </c>
      <c r="AE75" s="5" t="str">
        <f t="shared" si="67"/>
        <v>1</v>
      </c>
    </row>
    <row r="76" spans="1:31" ht="14.4" x14ac:dyDescent="0.3">
      <c r="A76" s="14">
        <v>73</v>
      </c>
      <c r="B76" s="15" t="s">
        <v>173</v>
      </c>
      <c r="C76" s="10">
        <v>11</v>
      </c>
      <c r="D76" s="10">
        <v>31</v>
      </c>
      <c r="E76" s="17">
        <v>365</v>
      </c>
      <c r="F76" s="22">
        <v>2.0000000000000001E-4</v>
      </c>
      <c r="G76" s="10">
        <v>1200</v>
      </c>
      <c r="H76" s="12">
        <v>2.9999999999999997E-4</v>
      </c>
      <c r="I76" s="18">
        <v>10950</v>
      </c>
      <c r="J76" s="20">
        <v>11</v>
      </c>
      <c r="K76" s="19">
        <f t="shared" si="47"/>
        <v>2.8387096774193554E-3</v>
      </c>
      <c r="L76" s="2">
        <f t="shared" si="48"/>
        <v>1.2903225806451615E-3</v>
      </c>
      <c r="M76" s="2">
        <f t="shared" si="49"/>
        <v>2.580645161290323E-3</v>
      </c>
      <c r="N76" s="2">
        <f t="shared" si="50"/>
        <v>3.8709677419354847E-3</v>
      </c>
      <c r="O76" s="2">
        <f t="shared" si="51"/>
        <v>5.161290322580646E-3</v>
      </c>
      <c r="P76" s="2">
        <f t="shared" si="52"/>
        <v>6.4516129032258064E-3</v>
      </c>
      <c r="Q76" s="2">
        <f t="shared" si="53"/>
        <v>7.7419354838709695E-3</v>
      </c>
      <c r="R76" s="2">
        <f t="shared" si="54"/>
        <v>9.4623655913978517</v>
      </c>
      <c r="S76" s="2">
        <f t="shared" si="55"/>
        <v>4.3010752688172058</v>
      </c>
      <c r="T76" s="2">
        <f t="shared" si="56"/>
        <v>8.6021505376344116</v>
      </c>
      <c r="U76" s="2">
        <f t="shared" si="57"/>
        <v>12.903225806451617</v>
      </c>
      <c r="V76" s="2">
        <f t="shared" si="58"/>
        <v>17.204301075268823</v>
      </c>
      <c r="W76" s="2">
        <f t="shared" si="59"/>
        <v>21.505376344086024</v>
      </c>
      <c r="X76" s="2">
        <f t="shared" si="60"/>
        <v>25.806451612903235</v>
      </c>
      <c r="Y76" s="5" t="str">
        <f t="shared" si="61"/>
        <v>1</v>
      </c>
      <c r="Z76" s="5" t="str">
        <f t="shared" si="62"/>
        <v>1</v>
      </c>
      <c r="AA76" s="5" t="str">
        <f t="shared" si="63"/>
        <v>1</v>
      </c>
      <c r="AB76" s="5" t="str">
        <f t="shared" si="64"/>
        <v>1</v>
      </c>
      <c r="AC76" s="5" t="str">
        <f t="shared" si="65"/>
        <v>1</v>
      </c>
      <c r="AD76" s="5" t="str">
        <f t="shared" si="66"/>
        <v>1</v>
      </c>
      <c r="AE76" s="5" t="str">
        <f t="shared" si="67"/>
        <v>1</v>
      </c>
    </row>
    <row r="77" spans="1:31" ht="14.4" x14ac:dyDescent="0.3">
      <c r="A77" s="14">
        <v>74</v>
      </c>
      <c r="B77" s="15" t="s">
        <v>174</v>
      </c>
      <c r="C77" s="10">
        <v>11</v>
      </c>
      <c r="D77" s="10">
        <v>28</v>
      </c>
      <c r="E77" s="17">
        <v>365</v>
      </c>
      <c r="F77" s="22">
        <v>2.0000000000000001E-4</v>
      </c>
      <c r="G77" s="10">
        <v>1200</v>
      </c>
      <c r="H77" s="12">
        <v>2.9999999999999997E-4</v>
      </c>
      <c r="I77" s="18">
        <v>10950</v>
      </c>
      <c r="J77" s="20">
        <v>11</v>
      </c>
      <c r="K77" s="19">
        <f t="shared" si="47"/>
        <v>3.1428571428571434E-3</v>
      </c>
      <c r="L77" s="2">
        <f t="shared" si="48"/>
        <v>1.4285714285714288E-3</v>
      </c>
      <c r="M77" s="2">
        <f t="shared" si="49"/>
        <v>2.8571428571428576E-3</v>
      </c>
      <c r="N77" s="2">
        <f t="shared" si="50"/>
        <v>4.2857142857142868E-3</v>
      </c>
      <c r="O77" s="2">
        <f t="shared" si="51"/>
        <v>5.7142857142857151E-3</v>
      </c>
      <c r="P77" s="2">
        <f t="shared" si="52"/>
        <v>7.1428571428571426E-3</v>
      </c>
      <c r="Q77" s="2">
        <f t="shared" si="53"/>
        <v>8.5714285714285736E-3</v>
      </c>
      <c r="R77" s="2">
        <f t="shared" si="54"/>
        <v>10.47619047619048</v>
      </c>
      <c r="S77" s="2">
        <f t="shared" si="55"/>
        <v>4.7619047619047628</v>
      </c>
      <c r="T77" s="2">
        <f t="shared" si="56"/>
        <v>9.5238095238095255</v>
      </c>
      <c r="U77" s="2">
        <f t="shared" si="57"/>
        <v>14.28571428571429</v>
      </c>
      <c r="V77" s="2">
        <f t="shared" si="58"/>
        <v>19.047619047619051</v>
      </c>
      <c r="W77" s="2">
        <f t="shared" si="59"/>
        <v>23.80952380952381</v>
      </c>
      <c r="X77" s="2">
        <f t="shared" si="60"/>
        <v>28.57142857142858</v>
      </c>
      <c r="Y77" s="5" t="str">
        <f t="shared" si="61"/>
        <v>1</v>
      </c>
      <c r="Z77" s="5" t="str">
        <f t="shared" si="62"/>
        <v>1</v>
      </c>
      <c r="AA77" s="5" t="str">
        <f t="shared" si="63"/>
        <v>1</v>
      </c>
      <c r="AB77" s="5" t="str">
        <f t="shared" si="64"/>
        <v>1</v>
      </c>
      <c r="AC77" s="5" t="str">
        <f t="shared" si="65"/>
        <v>1</v>
      </c>
      <c r="AD77" s="5" t="str">
        <f t="shared" si="66"/>
        <v>1</v>
      </c>
      <c r="AE77" s="5" t="str">
        <f t="shared" si="67"/>
        <v>1</v>
      </c>
    </row>
    <row r="78" spans="1:31" ht="14.4" x14ac:dyDescent="0.3">
      <c r="A78" s="14">
        <v>75</v>
      </c>
      <c r="B78" s="15" t="s">
        <v>175</v>
      </c>
      <c r="C78" s="10">
        <v>11</v>
      </c>
      <c r="D78" s="10">
        <v>35</v>
      </c>
      <c r="E78" s="17">
        <v>365</v>
      </c>
      <c r="F78" s="22">
        <v>2.0000000000000001E-4</v>
      </c>
      <c r="G78" s="10">
        <v>900</v>
      </c>
      <c r="H78" s="12">
        <v>2.9999999999999997E-4</v>
      </c>
      <c r="I78" s="18">
        <v>10950</v>
      </c>
      <c r="J78" s="20">
        <v>6</v>
      </c>
      <c r="K78" s="19">
        <f t="shared" si="47"/>
        <v>1.0285714285714286E-3</v>
      </c>
      <c r="L78" s="2">
        <f t="shared" si="48"/>
        <v>8.571428571428571E-4</v>
      </c>
      <c r="M78" s="2">
        <f t="shared" si="49"/>
        <v>1.7142857142857142E-3</v>
      </c>
      <c r="N78" s="2">
        <f t="shared" si="50"/>
        <v>2.5714285714285713E-3</v>
      </c>
      <c r="O78" s="2">
        <f t="shared" si="51"/>
        <v>3.4285714285714284E-3</v>
      </c>
      <c r="P78" s="2">
        <f t="shared" si="52"/>
        <v>4.2857142857142859E-3</v>
      </c>
      <c r="Q78" s="2">
        <f t="shared" si="53"/>
        <v>5.1428571428571426E-3</v>
      </c>
      <c r="R78" s="2">
        <f t="shared" si="54"/>
        <v>3.4285714285714288</v>
      </c>
      <c r="S78" s="2">
        <f t="shared" si="55"/>
        <v>2.8571428571428572</v>
      </c>
      <c r="T78" s="2">
        <f t="shared" si="56"/>
        <v>5.7142857142857144</v>
      </c>
      <c r="U78" s="2">
        <f t="shared" si="57"/>
        <v>8.5714285714285712</v>
      </c>
      <c r="V78" s="2">
        <f t="shared" si="58"/>
        <v>11.428571428571429</v>
      </c>
      <c r="W78" s="2">
        <f t="shared" si="59"/>
        <v>14.285714285714288</v>
      </c>
      <c r="X78" s="2">
        <f t="shared" si="60"/>
        <v>17.142857142857142</v>
      </c>
      <c r="Y78" s="5" t="str">
        <f t="shared" si="61"/>
        <v>1</v>
      </c>
      <c r="Z78" s="5" t="str">
        <f t="shared" si="62"/>
        <v>1</v>
      </c>
      <c r="AA78" s="5" t="str">
        <f t="shared" si="63"/>
        <v>1</v>
      </c>
      <c r="AB78" s="5" t="str">
        <f t="shared" si="64"/>
        <v>1</v>
      </c>
      <c r="AC78" s="5" t="str">
        <f t="shared" si="65"/>
        <v>1</v>
      </c>
      <c r="AD78" s="5" t="str">
        <f t="shared" si="66"/>
        <v>1</v>
      </c>
      <c r="AE78" s="5" t="str">
        <f t="shared" si="67"/>
        <v>1</v>
      </c>
    </row>
    <row r="79" spans="1:31" ht="14.4" x14ac:dyDescent="0.3">
      <c r="A79" s="14">
        <v>76</v>
      </c>
      <c r="B79" s="15" t="s">
        <v>176</v>
      </c>
      <c r="C79" s="10">
        <v>11</v>
      </c>
      <c r="D79" s="10">
        <v>31</v>
      </c>
      <c r="E79" s="17">
        <v>365</v>
      </c>
      <c r="F79" s="22">
        <v>2.0000000000000001E-4</v>
      </c>
      <c r="G79" s="10">
        <v>1200</v>
      </c>
      <c r="H79" s="12">
        <v>2.9999999999999997E-4</v>
      </c>
      <c r="I79" s="18">
        <v>10950</v>
      </c>
      <c r="J79" s="20">
        <v>11</v>
      </c>
      <c r="K79" s="19">
        <f t="shared" si="47"/>
        <v>2.8387096774193554E-3</v>
      </c>
      <c r="L79" s="2">
        <f t="shared" si="48"/>
        <v>1.2903225806451615E-3</v>
      </c>
      <c r="M79" s="2">
        <f t="shared" si="49"/>
        <v>2.580645161290323E-3</v>
      </c>
      <c r="N79" s="2">
        <f t="shared" si="50"/>
        <v>3.8709677419354847E-3</v>
      </c>
      <c r="O79" s="2">
        <f t="shared" si="51"/>
        <v>5.161290322580646E-3</v>
      </c>
      <c r="P79" s="2">
        <f t="shared" si="52"/>
        <v>6.4516129032258064E-3</v>
      </c>
      <c r="Q79" s="2">
        <f t="shared" si="53"/>
        <v>7.7419354838709695E-3</v>
      </c>
      <c r="R79" s="2">
        <f t="shared" si="54"/>
        <v>9.4623655913978517</v>
      </c>
      <c r="S79" s="2">
        <f t="shared" si="55"/>
        <v>4.3010752688172058</v>
      </c>
      <c r="T79" s="2">
        <f t="shared" si="56"/>
        <v>8.6021505376344116</v>
      </c>
      <c r="U79" s="2">
        <f t="shared" si="57"/>
        <v>12.903225806451617</v>
      </c>
      <c r="V79" s="2">
        <f t="shared" si="58"/>
        <v>17.204301075268823</v>
      </c>
      <c r="W79" s="2">
        <f t="shared" si="59"/>
        <v>21.505376344086024</v>
      </c>
      <c r="X79" s="2">
        <f t="shared" si="60"/>
        <v>25.806451612903235</v>
      </c>
      <c r="Y79" s="5" t="str">
        <f t="shared" si="61"/>
        <v>1</v>
      </c>
      <c r="Z79" s="5" t="str">
        <f t="shared" si="62"/>
        <v>1</v>
      </c>
      <c r="AA79" s="5" t="str">
        <f t="shared" si="63"/>
        <v>1</v>
      </c>
      <c r="AB79" s="5" t="str">
        <f t="shared" si="64"/>
        <v>1</v>
      </c>
      <c r="AC79" s="5" t="str">
        <f t="shared" si="65"/>
        <v>1</v>
      </c>
      <c r="AD79" s="5" t="str">
        <f t="shared" si="66"/>
        <v>1</v>
      </c>
      <c r="AE79" s="5" t="str">
        <f t="shared" si="67"/>
        <v>1</v>
      </c>
    </row>
    <row r="80" spans="1:31" ht="14.4" x14ac:dyDescent="0.3">
      <c r="A80" s="14">
        <v>77</v>
      </c>
      <c r="B80" s="15" t="s">
        <v>177</v>
      </c>
      <c r="C80" s="10">
        <v>11</v>
      </c>
      <c r="D80" s="10">
        <v>20</v>
      </c>
      <c r="E80" s="17">
        <v>365</v>
      </c>
      <c r="F80" s="22">
        <v>2.0000000000000001E-4</v>
      </c>
      <c r="G80" s="10">
        <v>900</v>
      </c>
      <c r="H80" s="12">
        <v>2.9999999999999997E-4</v>
      </c>
      <c r="I80" s="18">
        <v>10950</v>
      </c>
      <c r="J80" s="20">
        <v>1</v>
      </c>
      <c r="K80" s="19">
        <f t="shared" si="47"/>
        <v>3.0000000000000003E-4</v>
      </c>
      <c r="L80" s="2">
        <f t="shared" si="48"/>
        <v>1.5E-3</v>
      </c>
      <c r="M80" s="2">
        <f t="shared" si="49"/>
        <v>3.0000000000000001E-3</v>
      </c>
      <c r="N80" s="2">
        <f t="shared" si="50"/>
        <v>4.4999999999999997E-3</v>
      </c>
      <c r="O80" s="2">
        <f t="shared" si="51"/>
        <v>6.0000000000000001E-3</v>
      </c>
      <c r="P80" s="2">
        <f t="shared" si="52"/>
        <v>7.4999999999999997E-3</v>
      </c>
      <c r="Q80" s="2">
        <f t="shared" si="53"/>
        <v>8.9999999999999993E-3</v>
      </c>
      <c r="R80" s="2">
        <f t="shared" si="54"/>
        <v>1.0000000000000002</v>
      </c>
      <c r="S80" s="2">
        <f t="shared" si="55"/>
        <v>5.0000000000000009</v>
      </c>
      <c r="T80" s="2">
        <f t="shared" si="56"/>
        <v>10.000000000000002</v>
      </c>
      <c r="U80" s="2">
        <f t="shared" si="57"/>
        <v>15</v>
      </c>
      <c r="V80" s="2">
        <f t="shared" si="58"/>
        <v>20.000000000000004</v>
      </c>
      <c r="W80" s="2">
        <f t="shared" si="59"/>
        <v>25</v>
      </c>
      <c r="X80" s="2">
        <f t="shared" si="60"/>
        <v>30</v>
      </c>
      <c r="Y80" s="5" t="str">
        <f t="shared" si="61"/>
        <v>2</v>
      </c>
      <c r="Z80" s="5" t="str">
        <f t="shared" si="62"/>
        <v>1</v>
      </c>
      <c r="AA80" s="5" t="str">
        <f t="shared" si="63"/>
        <v>1</v>
      </c>
      <c r="AB80" s="5" t="str">
        <f t="shared" si="64"/>
        <v>1</v>
      </c>
      <c r="AC80" s="5" t="str">
        <f t="shared" si="65"/>
        <v>1</v>
      </c>
      <c r="AD80" s="5" t="str">
        <f t="shared" si="66"/>
        <v>1</v>
      </c>
      <c r="AE80" s="5" t="str">
        <f t="shared" si="67"/>
        <v>1</v>
      </c>
    </row>
    <row r="81" spans="1:31" ht="14.4" x14ac:dyDescent="0.3">
      <c r="A81" s="14">
        <v>78</v>
      </c>
      <c r="B81" s="15" t="s">
        <v>178</v>
      </c>
      <c r="C81" s="10">
        <v>11</v>
      </c>
      <c r="D81" s="10">
        <v>33</v>
      </c>
      <c r="E81" s="17">
        <v>365</v>
      </c>
      <c r="F81" s="22">
        <v>2.0000000000000001E-4</v>
      </c>
      <c r="G81" s="10">
        <v>900</v>
      </c>
      <c r="H81" s="12">
        <v>2.9999999999999997E-4</v>
      </c>
      <c r="I81" s="18">
        <v>10950</v>
      </c>
      <c r="J81" s="20">
        <v>11</v>
      </c>
      <c r="K81" s="19">
        <f t="shared" si="47"/>
        <v>2E-3</v>
      </c>
      <c r="L81" s="2">
        <f t="shared" si="48"/>
        <v>9.0909090909090909E-4</v>
      </c>
      <c r="M81" s="2">
        <f t="shared" si="49"/>
        <v>1.8181818181818182E-3</v>
      </c>
      <c r="N81" s="2">
        <f t="shared" si="50"/>
        <v>2.7272727272727275E-3</v>
      </c>
      <c r="O81" s="2">
        <f t="shared" si="51"/>
        <v>3.6363636363636364E-3</v>
      </c>
      <c r="P81" s="2">
        <f t="shared" si="52"/>
        <v>4.5454545454545452E-3</v>
      </c>
      <c r="Q81" s="2">
        <f t="shared" si="53"/>
        <v>5.454545454545455E-3</v>
      </c>
      <c r="R81" s="2">
        <f t="shared" si="54"/>
        <v>6.666666666666667</v>
      </c>
      <c r="S81" s="2">
        <f t="shared" si="55"/>
        <v>3.0303030303030307</v>
      </c>
      <c r="T81" s="2">
        <f t="shared" si="56"/>
        <v>6.0606060606060614</v>
      </c>
      <c r="U81" s="2">
        <f t="shared" si="57"/>
        <v>9.0909090909090917</v>
      </c>
      <c r="V81" s="2">
        <f t="shared" si="58"/>
        <v>12.121212121212123</v>
      </c>
      <c r="W81" s="2">
        <f t="shared" si="59"/>
        <v>15.151515151515152</v>
      </c>
      <c r="X81" s="2">
        <f t="shared" si="60"/>
        <v>18.181818181818183</v>
      </c>
      <c r="Y81" s="5" t="str">
        <f t="shared" si="61"/>
        <v>1</v>
      </c>
      <c r="Z81" s="5" t="str">
        <f t="shared" si="62"/>
        <v>1</v>
      </c>
      <c r="AA81" s="5" t="str">
        <f t="shared" si="63"/>
        <v>1</v>
      </c>
      <c r="AB81" s="5" t="str">
        <f t="shared" si="64"/>
        <v>1</v>
      </c>
      <c r="AC81" s="5" t="str">
        <f t="shared" si="65"/>
        <v>1</v>
      </c>
      <c r="AD81" s="5" t="str">
        <f t="shared" si="66"/>
        <v>1</v>
      </c>
      <c r="AE81" s="5" t="str">
        <f t="shared" si="67"/>
        <v>1</v>
      </c>
    </row>
    <row r="82" spans="1:31" ht="14.4" x14ac:dyDescent="0.3">
      <c r="A82" s="14">
        <v>79</v>
      </c>
      <c r="B82" s="15" t="s">
        <v>179</v>
      </c>
      <c r="C82" s="10">
        <v>11</v>
      </c>
      <c r="D82" s="10">
        <v>32</v>
      </c>
      <c r="E82" s="17">
        <v>365</v>
      </c>
      <c r="F82" s="22">
        <v>2.0000000000000001E-4</v>
      </c>
      <c r="G82" s="10">
        <v>900</v>
      </c>
      <c r="H82" s="12">
        <v>2.9999999999999997E-4</v>
      </c>
      <c r="I82" s="18">
        <v>10950</v>
      </c>
      <c r="J82" s="20">
        <v>11</v>
      </c>
      <c r="K82" s="19">
        <f t="shared" si="47"/>
        <v>2.0625000000000001E-3</v>
      </c>
      <c r="L82" s="2">
        <f t="shared" si="48"/>
        <v>9.3749999999999997E-4</v>
      </c>
      <c r="M82" s="2">
        <f t="shared" si="49"/>
        <v>1.8749999999999999E-3</v>
      </c>
      <c r="N82" s="2">
        <f t="shared" si="50"/>
        <v>2.8124999999999999E-3</v>
      </c>
      <c r="O82" s="2">
        <f t="shared" si="51"/>
        <v>3.7499999999999999E-3</v>
      </c>
      <c r="P82" s="2">
        <f t="shared" si="52"/>
        <v>4.6874999999999998E-3</v>
      </c>
      <c r="Q82" s="2">
        <f t="shared" si="53"/>
        <v>5.6249999999999998E-3</v>
      </c>
      <c r="R82" s="2">
        <f t="shared" si="54"/>
        <v>6.8750000000000009</v>
      </c>
      <c r="S82" s="2">
        <f t="shared" si="55"/>
        <v>3.125</v>
      </c>
      <c r="T82" s="2">
        <f t="shared" si="56"/>
        <v>6.25</v>
      </c>
      <c r="U82" s="2">
        <f t="shared" si="57"/>
        <v>9.375</v>
      </c>
      <c r="V82" s="2">
        <f t="shared" si="58"/>
        <v>12.5</v>
      </c>
      <c r="W82" s="2">
        <f t="shared" si="59"/>
        <v>15.625</v>
      </c>
      <c r="X82" s="2">
        <f t="shared" si="60"/>
        <v>18.75</v>
      </c>
      <c r="Y82" s="5" t="str">
        <f t="shared" si="61"/>
        <v>1</v>
      </c>
      <c r="Z82" s="5" t="str">
        <f t="shared" si="62"/>
        <v>1</v>
      </c>
      <c r="AA82" s="5" t="str">
        <f t="shared" si="63"/>
        <v>1</v>
      </c>
      <c r="AB82" s="5" t="str">
        <f t="shared" si="64"/>
        <v>1</v>
      </c>
      <c r="AC82" s="5" t="str">
        <f t="shared" si="65"/>
        <v>1</v>
      </c>
      <c r="AD82" s="5" t="str">
        <f t="shared" si="66"/>
        <v>1</v>
      </c>
      <c r="AE82" s="5" t="str">
        <f t="shared" si="67"/>
        <v>1</v>
      </c>
    </row>
    <row r="83" spans="1:31" ht="14.4" x14ac:dyDescent="0.3">
      <c r="A83" s="14">
        <v>80</v>
      </c>
      <c r="B83" s="15" t="s">
        <v>167</v>
      </c>
      <c r="C83" s="10">
        <v>11</v>
      </c>
      <c r="D83" s="10">
        <v>23</v>
      </c>
      <c r="E83" s="17">
        <v>365</v>
      </c>
      <c r="F83" s="22">
        <v>2.0000000000000001E-4</v>
      </c>
      <c r="G83" s="10">
        <v>900</v>
      </c>
      <c r="H83" s="12">
        <v>2.9999999999999997E-4</v>
      </c>
      <c r="I83" s="18">
        <v>10950</v>
      </c>
      <c r="J83" s="20">
        <v>11</v>
      </c>
      <c r="K83" s="19">
        <f t="shared" si="47"/>
        <v>2.8695652173913043E-3</v>
      </c>
      <c r="L83" s="2">
        <f t="shared" si="48"/>
        <v>1.3043478260869566E-3</v>
      </c>
      <c r="M83" s="2">
        <f t="shared" si="49"/>
        <v>2.6086956521739132E-3</v>
      </c>
      <c r="N83" s="2">
        <f t="shared" si="50"/>
        <v>3.9130434782608699E-3</v>
      </c>
      <c r="O83" s="2">
        <f t="shared" si="51"/>
        <v>5.2173913043478265E-3</v>
      </c>
      <c r="P83" s="2">
        <f t="shared" si="52"/>
        <v>6.5217391304347823E-3</v>
      </c>
      <c r="Q83" s="2">
        <f t="shared" si="53"/>
        <v>7.8260869565217397E-3</v>
      </c>
      <c r="R83" s="2">
        <f t="shared" si="54"/>
        <v>9.5652173913043477</v>
      </c>
      <c r="S83" s="2">
        <f t="shared" si="55"/>
        <v>4.3478260869565224</v>
      </c>
      <c r="T83" s="2">
        <f t="shared" si="56"/>
        <v>8.6956521739130448</v>
      </c>
      <c r="U83" s="2">
        <f t="shared" si="57"/>
        <v>13.043478260869568</v>
      </c>
      <c r="V83" s="2">
        <f t="shared" si="58"/>
        <v>17.39130434782609</v>
      </c>
      <c r="W83" s="2">
        <f t="shared" si="59"/>
        <v>21.739130434782609</v>
      </c>
      <c r="X83" s="2">
        <f t="shared" si="60"/>
        <v>26.086956521739136</v>
      </c>
      <c r="Y83" s="5" t="str">
        <f t="shared" si="61"/>
        <v>1</v>
      </c>
      <c r="Z83" s="5" t="str">
        <f t="shared" si="62"/>
        <v>1</v>
      </c>
      <c r="AA83" s="5" t="str">
        <f t="shared" si="63"/>
        <v>1</v>
      </c>
      <c r="AB83" s="5" t="str">
        <f t="shared" si="64"/>
        <v>1</v>
      </c>
      <c r="AC83" s="5" t="str">
        <f t="shared" si="65"/>
        <v>1</v>
      </c>
      <c r="AD83" s="5" t="str">
        <f t="shared" si="66"/>
        <v>1</v>
      </c>
      <c r="AE83" s="5" t="str">
        <f t="shared" si="67"/>
        <v>1</v>
      </c>
    </row>
    <row r="84" spans="1:31" ht="14.4" x14ac:dyDescent="0.3">
      <c r="A84" s="14">
        <v>81</v>
      </c>
      <c r="B84" s="15" t="s">
        <v>180</v>
      </c>
      <c r="C84" s="10">
        <v>11</v>
      </c>
      <c r="D84" s="10">
        <v>34</v>
      </c>
      <c r="E84" s="17">
        <v>365</v>
      </c>
      <c r="F84" s="22">
        <v>2.0000000000000001E-4</v>
      </c>
      <c r="G84" s="10">
        <v>1200</v>
      </c>
      <c r="H84" s="12">
        <v>2.9999999999999997E-4</v>
      </c>
      <c r="I84" s="18">
        <v>10950</v>
      </c>
      <c r="J84" s="20">
        <v>11</v>
      </c>
      <c r="K84" s="19">
        <f t="shared" si="47"/>
        <v>2.5882352941176473E-3</v>
      </c>
      <c r="L84" s="2">
        <f t="shared" si="48"/>
        <v>1.1764705882352942E-3</v>
      </c>
      <c r="M84" s="2">
        <f t="shared" si="49"/>
        <v>2.3529411764705885E-3</v>
      </c>
      <c r="N84" s="2">
        <f t="shared" si="50"/>
        <v>3.5294117647058829E-3</v>
      </c>
      <c r="O84" s="2">
        <f t="shared" si="51"/>
        <v>4.7058823529411769E-3</v>
      </c>
      <c r="P84" s="2">
        <f t="shared" si="52"/>
        <v>5.8823529411764705E-3</v>
      </c>
      <c r="Q84" s="2">
        <f t="shared" si="53"/>
        <v>7.0588235294117658E-3</v>
      </c>
      <c r="R84" s="2">
        <f t="shared" si="54"/>
        <v>8.6274509803921582</v>
      </c>
      <c r="S84" s="2">
        <f t="shared" si="55"/>
        <v>3.9215686274509811</v>
      </c>
      <c r="T84" s="2">
        <f t="shared" si="56"/>
        <v>7.8431372549019622</v>
      </c>
      <c r="U84" s="2">
        <f t="shared" si="57"/>
        <v>11.764705882352944</v>
      </c>
      <c r="V84" s="2">
        <f t="shared" si="58"/>
        <v>15.686274509803924</v>
      </c>
      <c r="W84" s="2">
        <f t="shared" si="59"/>
        <v>19.607843137254903</v>
      </c>
      <c r="X84" s="2">
        <f t="shared" si="60"/>
        <v>23.529411764705888</v>
      </c>
      <c r="Y84" s="5" t="str">
        <f t="shared" si="61"/>
        <v>1</v>
      </c>
      <c r="Z84" s="5" t="str">
        <f t="shared" si="62"/>
        <v>1</v>
      </c>
      <c r="AA84" s="5" t="str">
        <f t="shared" si="63"/>
        <v>1</v>
      </c>
      <c r="AB84" s="5" t="str">
        <f t="shared" si="64"/>
        <v>1</v>
      </c>
      <c r="AC84" s="5" t="str">
        <f t="shared" si="65"/>
        <v>1</v>
      </c>
      <c r="AD84" s="5" t="str">
        <f t="shared" si="66"/>
        <v>1</v>
      </c>
      <c r="AE84" s="5" t="str">
        <f t="shared" si="67"/>
        <v>1</v>
      </c>
    </row>
    <row r="85" spans="1:31" ht="14.4" x14ac:dyDescent="0.3">
      <c r="A85" s="14">
        <v>82</v>
      </c>
      <c r="B85" s="15" t="s">
        <v>181</v>
      </c>
      <c r="C85" s="10">
        <v>11</v>
      </c>
      <c r="D85" s="10">
        <v>32</v>
      </c>
      <c r="E85" s="17">
        <v>365</v>
      </c>
      <c r="F85" s="22">
        <v>2.0000000000000001E-4</v>
      </c>
      <c r="G85" s="10">
        <v>900</v>
      </c>
      <c r="H85" s="12">
        <v>2.9999999999999997E-4</v>
      </c>
      <c r="I85" s="18">
        <v>10950</v>
      </c>
      <c r="J85" s="20">
        <v>11</v>
      </c>
      <c r="K85" s="19">
        <f t="shared" si="47"/>
        <v>2.0625000000000001E-3</v>
      </c>
      <c r="L85" s="2">
        <f t="shared" si="48"/>
        <v>9.3749999999999997E-4</v>
      </c>
      <c r="M85" s="2">
        <f t="shared" si="49"/>
        <v>1.8749999999999999E-3</v>
      </c>
      <c r="N85" s="2">
        <f t="shared" si="50"/>
        <v>2.8124999999999999E-3</v>
      </c>
      <c r="O85" s="2">
        <f t="shared" si="51"/>
        <v>3.7499999999999999E-3</v>
      </c>
      <c r="P85" s="2">
        <f t="shared" si="52"/>
        <v>4.6874999999999998E-3</v>
      </c>
      <c r="Q85" s="2">
        <f t="shared" si="53"/>
        <v>5.6249999999999998E-3</v>
      </c>
      <c r="R85" s="2">
        <f t="shared" si="54"/>
        <v>6.8750000000000009</v>
      </c>
      <c r="S85" s="2">
        <f t="shared" si="55"/>
        <v>3.125</v>
      </c>
      <c r="T85" s="2">
        <f t="shared" si="56"/>
        <v>6.25</v>
      </c>
      <c r="U85" s="2">
        <f t="shared" si="57"/>
        <v>9.375</v>
      </c>
      <c r="V85" s="2">
        <f t="shared" si="58"/>
        <v>12.5</v>
      </c>
      <c r="W85" s="2">
        <f t="shared" si="59"/>
        <v>15.625</v>
      </c>
      <c r="X85" s="2">
        <f t="shared" si="60"/>
        <v>18.75</v>
      </c>
      <c r="Y85" s="5" t="str">
        <f t="shared" si="61"/>
        <v>1</v>
      </c>
      <c r="Z85" s="5" t="str">
        <f t="shared" si="62"/>
        <v>1</v>
      </c>
      <c r="AA85" s="5" t="str">
        <f t="shared" si="63"/>
        <v>1</v>
      </c>
      <c r="AB85" s="5" t="str">
        <f t="shared" si="64"/>
        <v>1</v>
      </c>
      <c r="AC85" s="5" t="str">
        <f t="shared" si="65"/>
        <v>1</v>
      </c>
      <c r="AD85" s="5" t="str">
        <f t="shared" si="66"/>
        <v>1</v>
      </c>
      <c r="AE85" s="5" t="str">
        <f t="shared" si="67"/>
        <v>1</v>
      </c>
    </row>
    <row r="86" spans="1:31" ht="14.4" x14ac:dyDescent="0.3">
      <c r="A86" s="14">
        <v>83</v>
      </c>
      <c r="B86" s="15" t="s">
        <v>182</v>
      </c>
      <c r="C86" s="10">
        <v>11</v>
      </c>
      <c r="D86" s="10">
        <v>35</v>
      </c>
      <c r="E86" s="17">
        <v>365</v>
      </c>
      <c r="F86" s="22">
        <v>2.0000000000000001E-4</v>
      </c>
      <c r="G86" s="10">
        <v>900</v>
      </c>
      <c r="H86" s="12">
        <v>2.9999999999999997E-4</v>
      </c>
      <c r="I86" s="18">
        <v>10950</v>
      </c>
      <c r="J86" s="20">
        <v>6</v>
      </c>
      <c r="K86" s="19">
        <f t="shared" si="47"/>
        <v>1.0285714285714286E-3</v>
      </c>
      <c r="L86" s="2">
        <f t="shared" si="48"/>
        <v>8.571428571428571E-4</v>
      </c>
      <c r="M86" s="2">
        <f t="shared" si="49"/>
        <v>1.7142857142857142E-3</v>
      </c>
      <c r="N86" s="2">
        <f t="shared" si="50"/>
        <v>2.5714285714285713E-3</v>
      </c>
      <c r="O86" s="2">
        <f t="shared" si="51"/>
        <v>3.4285714285714284E-3</v>
      </c>
      <c r="P86" s="2">
        <f t="shared" si="52"/>
        <v>4.2857142857142859E-3</v>
      </c>
      <c r="Q86" s="2">
        <f t="shared" si="53"/>
        <v>5.1428571428571426E-3</v>
      </c>
      <c r="R86" s="2">
        <f t="shared" si="54"/>
        <v>3.4285714285714288</v>
      </c>
      <c r="S86" s="2">
        <f t="shared" si="55"/>
        <v>2.8571428571428572</v>
      </c>
      <c r="T86" s="2">
        <f t="shared" si="56"/>
        <v>5.7142857142857144</v>
      </c>
      <c r="U86" s="2">
        <f t="shared" si="57"/>
        <v>8.5714285714285712</v>
      </c>
      <c r="V86" s="2">
        <f t="shared" si="58"/>
        <v>11.428571428571429</v>
      </c>
      <c r="W86" s="2">
        <f t="shared" si="59"/>
        <v>14.285714285714288</v>
      </c>
      <c r="X86" s="2">
        <f t="shared" si="60"/>
        <v>17.142857142857142</v>
      </c>
      <c r="Y86" s="5" t="str">
        <f t="shared" si="61"/>
        <v>1</v>
      </c>
      <c r="Z86" s="5" t="str">
        <f t="shared" si="62"/>
        <v>1</v>
      </c>
      <c r="AA86" s="5" t="str">
        <f t="shared" si="63"/>
        <v>1</v>
      </c>
      <c r="AB86" s="5" t="str">
        <f t="shared" si="64"/>
        <v>1</v>
      </c>
      <c r="AC86" s="5" t="str">
        <f t="shared" si="65"/>
        <v>1</v>
      </c>
      <c r="AD86" s="5" t="str">
        <f t="shared" si="66"/>
        <v>1</v>
      </c>
      <c r="AE86" s="5" t="str">
        <f t="shared" si="67"/>
        <v>1</v>
      </c>
    </row>
    <row r="87" spans="1:31" ht="14.4" x14ac:dyDescent="0.3">
      <c r="A87" s="14">
        <v>84</v>
      </c>
      <c r="B87" s="15" t="s">
        <v>183</v>
      </c>
      <c r="C87" s="10">
        <v>12</v>
      </c>
      <c r="D87" s="10">
        <v>28</v>
      </c>
      <c r="E87" s="17">
        <v>365</v>
      </c>
      <c r="F87" s="22">
        <v>2.0000000000000001E-4</v>
      </c>
      <c r="G87" s="10">
        <v>900</v>
      </c>
      <c r="H87" s="12">
        <v>2.9999999999999997E-4</v>
      </c>
      <c r="I87" s="18">
        <v>10950</v>
      </c>
      <c r="J87" s="20">
        <v>12</v>
      </c>
      <c r="K87" s="19">
        <f t="shared" si="47"/>
        <v>2.5714285714285717E-3</v>
      </c>
      <c r="L87" s="2">
        <f t="shared" si="48"/>
        <v>1.0714285714285715E-3</v>
      </c>
      <c r="M87" s="2">
        <f t="shared" si="49"/>
        <v>2.142857142857143E-3</v>
      </c>
      <c r="N87" s="2">
        <f t="shared" si="50"/>
        <v>3.2142857142857142E-3</v>
      </c>
      <c r="O87" s="2">
        <f t="shared" si="51"/>
        <v>4.2857142857142859E-3</v>
      </c>
      <c r="P87" s="2">
        <f t="shared" si="52"/>
        <v>5.3571428571428572E-3</v>
      </c>
      <c r="Q87" s="2">
        <f t="shared" si="53"/>
        <v>6.4285714285714285E-3</v>
      </c>
      <c r="R87" s="2">
        <f t="shared" si="54"/>
        <v>8.571428571428573</v>
      </c>
      <c r="S87" s="2">
        <f t="shared" si="55"/>
        <v>3.5714285714285721</v>
      </c>
      <c r="T87" s="2">
        <f t="shared" si="56"/>
        <v>7.1428571428571441</v>
      </c>
      <c r="U87" s="2">
        <f t="shared" si="57"/>
        <v>10.714285714285715</v>
      </c>
      <c r="V87" s="2">
        <f t="shared" si="58"/>
        <v>14.285714285714288</v>
      </c>
      <c r="W87" s="2">
        <f t="shared" si="59"/>
        <v>17.857142857142858</v>
      </c>
      <c r="X87" s="2">
        <f t="shared" si="60"/>
        <v>21.428571428571431</v>
      </c>
      <c r="Y87" s="5" t="str">
        <f t="shared" si="61"/>
        <v>1</v>
      </c>
      <c r="Z87" s="5" t="str">
        <f t="shared" si="62"/>
        <v>1</v>
      </c>
      <c r="AA87" s="5" t="str">
        <f t="shared" si="63"/>
        <v>1</v>
      </c>
      <c r="AB87" s="5" t="str">
        <f t="shared" si="64"/>
        <v>1</v>
      </c>
      <c r="AC87" s="5" t="str">
        <f t="shared" si="65"/>
        <v>1</v>
      </c>
      <c r="AD87" s="5" t="str">
        <f t="shared" si="66"/>
        <v>1</v>
      </c>
      <c r="AE87" s="5" t="str">
        <f t="shared" si="67"/>
        <v>1</v>
      </c>
    </row>
    <row r="88" spans="1:31" ht="14.4" x14ac:dyDescent="0.3">
      <c r="A88" s="14">
        <v>85</v>
      </c>
      <c r="B88" s="15" t="s">
        <v>184</v>
      </c>
      <c r="C88" s="10">
        <v>12</v>
      </c>
      <c r="D88" s="10">
        <v>28</v>
      </c>
      <c r="E88" s="17">
        <v>365</v>
      </c>
      <c r="F88" s="22">
        <v>2.0000000000000001E-4</v>
      </c>
      <c r="G88" s="10">
        <v>900</v>
      </c>
      <c r="H88" s="12">
        <v>2.9999999999999997E-4</v>
      </c>
      <c r="I88" s="18">
        <v>10950</v>
      </c>
      <c r="J88" s="20">
        <v>12</v>
      </c>
      <c r="K88" s="19">
        <f t="shared" si="47"/>
        <v>2.5714285714285717E-3</v>
      </c>
      <c r="L88" s="2">
        <f t="shared" si="48"/>
        <v>1.0714285714285715E-3</v>
      </c>
      <c r="M88" s="2">
        <f t="shared" si="49"/>
        <v>2.142857142857143E-3</v>
      </c>
      <c r="N88" s="2">
        <f t="shared" si="50"/>
        <v>3.2142857142857142E-3</v>
      </c>
      <c r="O88" s="2">
        <f t="shared" si="51"/>
        <v>4.2857142857142859E-3</v>
      </c>
      <c r="P88" s="2">
        <f t="shared" si="52"/>
        <v>5.3571428571428572E-3</v>
      </c>
      <c r="Q88" s="2">
        <f t="shared" si="53"/>
        <v>6.4285714285714285E-3</v>
      </c>
      <c r="R88" s="2">
        <f t="shared" si="54"/>
        <v>8.571428571428573</v>
      </c>
      <c r="S88" s="2">
        <f t="shared" si="55"/>
        <v>3.5714285714285721</v>
      </c>
      <c r="T88" s="2">
        <f t="shared" si="56"/>
        <v>7.1428571428571441</v>
      </c>
      <c r="U88" s="2">
        <f t="shared" si="57"/>
        <v>10.714285714285715</v>
      </c>
      <c r="V88" s="2">
        <f t="shared" si="58"/>
        <v>14.285714285714288</v>
      </c>
      <c r="W88" s="2">
        <f t="shared" si="59"/>
        <v>17.857142857142858</v>
      </c>
      <c r="X88" s="2">
        <f t="shared" si="60"/>
        <v>21.428571428571431</v>
      </c>
      <c r="Y88" s="5" t="str">
        <f t="shared" si="61"/>
        <v>1</v>
      </c>
      <c r="Z88" s="5" t="str">
        <f t="shared" si="62"/>
        <v>1</v>
      </c>
      <c r="AA88" s="5" t="str">
        <f t="shared" si="63"/>
        <v>1</v>
      </c>
      <c r="AB88" s="5" t="str">
        <f t="shared" si="64"/>
        <v>1</v>
      </c>
      <c r="AC88" s="5" t="str">
        <f t="shared" si="65"/>
        <v>1</v>
      </c>
      <c r="AD88" s="5" t="str">
        <f t="shared" si="66"/>
        <v>1</v>
      </c>
      <c r="AE88" s="5" t="str">
        <f t="shared" si="67"/>
        <v>1</v>
      </c>
    </row>
    <row r="89" spans="1:31" ht="14.4" x14ac:dyDescent="0.3">
      <c r="A89" s="14">
        <v>86</v>
      </c>
      <c r="B89" s="15" t="s">
        <v>185</v>
      </c>
      <c r="C89" s="10">
        <v>12</v>
      </c>
      <c r="D89" s="10">
        <v>40</v>
      </c>
      <c r="E89" s="17">
        <v>365</v>
      </c>
      <c r="F89" s="22">
        <v>2.0000000000000001E-4</v>
      </c>
      <c r="G89" s="10">
        <v>1800</v>
      </c>
      <c r="H89" s="12">
        <v>2.9999999999999997E-4</v>
      </c>
      <c r="I89" s="18">
        <v>10950</v>
      </c>
      <c r="J89" s="20">
        <v>5</v>
      </c>
      <c r="K89" s="19">
        <f t="shared" si="47"/>
        <v>1.5E-3</v>
      </c>
      <c r="L89" s="2">
        <f t="shared" si="48"/>
        <v>1.5E-3</v>
      </c>
      <c r="M89" s="2">
        <f t="shared" si="49"/>
        <v>3.0000000000000001E-3</v>
      </c>
      <c r="N89" s="2">
        <f t="shared" si="50"/>
        <v>4.4999999999999997E-3</v>
      </c>
      <c r="O89" s="2">
        <f t="shared" si="51"/>
        <v>6.0000000000000001E-3</v>
      </c>
      <c r="P89" s="2">
        <f t="shared" si="52"/>
        <v>7.4999999999999997E-3</v>
      </c>
      <c r="Q89" s="2">
        <f t="shared" si="53"/>
        <v>8.9999999999999993E-3</v>
      </c>
      <c r="R89" s="2">
        <f t="shared" si="54"/>
        <v>5.0000000000000009</v>
      </c>
      <c r="S89" s="2">
        <f t="shared" si="55"/>
        <v>5.0000000000000009</v>
      </c>
      <c r="T89" s="2">
        <f t="shared" si="56"/>
        <v>10.000000000000002</v>
      </c>
      <c r="U89" s="2">
        <f t="shared" si="57"/>
        <v>15</v>
      </c>
      <c r="V89" s="2">
        <f t="shared" si="58"/>
        <v>20.000000000000004</v>
      </c>
      <c r="W89" s="2">
        <f t="shared" si="59"/>
        <v>25</v>
      </c>
      <c r="X89" s="2">
        <f t="shared" si="60"/>
        <v>30</v>
      </c>
      <c r="Y89" s="5" t="str">
        <f t="shared" si="61"/>
        <v>1</v>
      </c>
      <c r="Z89" s="5" t="str">
        <f t="shared" si="62"/>
        <v>1</v>
      </c>
      <c r="AA89" s="5" t="str">
        <f t="shared" si="63"/>
        <v>1</v>
      </c>
      <c r="AB89" s="5" t="str">
        <f t="shared" si="64"/>
        <v>1</v>
      </c>
      <c r="AC89" s="5" t="str">
        <f t="shared" si="65"/>
        <v>1</v>
      </c>
      <c r="AD89" s="5" t="str">
        <f t="shared" si="66"/>
        <v>1</v>
      </c>
      <c r="AE89" s="5" t="str">
        <f t="shared" si="67"/>
        <v>1</v>
      </c>
    </row>
    <row r="90" spans="1:31" ht="14.4" x14ac:dyDescent="0.3">
      <c r="A90" s="14">
        <v>87</v>
      </c>
      <c r="B90" s="15" t="s">
        <v>186</v>
      </c>
      <c r="C90" s="10">
        <v>12</v>
      </c>
      <c r="D90" s="10">
        <v>23</v>
      </c>
      <c r="E90" s="17">
        <v>365</v>
      </c>
      <c r="F90" s="22">
        <v>2.0000000000000001E-4</v>
      </c>
      <c r="G90" s="10">
        <v>900</v>
      </c>
      <c r="H90" s="12">
        <v>2.9999999999999997E-4</v>
      </c>
      <c r="I90" s="18">
        <v>10950</v>
      </c>
      <c r="J90" s="20">
        <v>12</v>
      </c>
      <c r="K90" s="19">
        <f t="shared" si="47"/>
        <v>3.1304347826086958E-3</v>
      </c>
      <c r="L90" s="2">
        <f t="shared" si="48"/>
        <v>1.3043478260869566E-3</v>
      </c>
      <c r="M90" s="2">
        <f t="shared" si="49"/>
        <v>2.6086956521739132E-3</v>
      </c>
      <c r="N90" s="2">
        <f t="shared" si="50"/>
        <v>3.9130434782608699E-3</v>
      </c>
      <c r="O90" s="2">
        <f t="shared" si="51"/>
        <v>5.2173913043478265E-3</v>
      </c>
      <c r="P90" s="2">
        <f t="shared" si="52"/>
        <v>6.5217391304347823E-3</v>
      </c>
      <c r="Q90" s="2">
        <f t="shared" si="53"/>
        <v>7.8260869565217397E-3</v>
      </c>
      <c r="R90" s="2">
        <f t="shared" si="54"/>
        <v>10.434782608695654</v>
      </c>
      <c r="S90" s="2">
        <f t="shared" si="55"/>
        <v>4.3478260869565224</v>
      </c>
      <c r="T90" s="2">
        <f t="shared" si="56"/>
        <v>8.6956521739130448</v>
      </c>
      <c r="U90" s="2">
        <f t="shared" si="57"/>
        <v>13.043478260869568</v>
      </c>
      <c r="V90" s="2">
        <f t="shared" si="58"/>
        <v>17.39130434782609</v>
      </c>
      <c r="W90" s="2">
        <f t="shared" si="59"/>
        <v>21.739130434782609</v>
      </c>
      <c r="X90" s="2">
        <f t="shared" si="60"/>
        <v>26.086956521739136</v>
      </c>
      <c r="Y90" s="5" t="str">
        <f t="shared" si="61"/>
        <v>1</v>
      </c>
      <c r="Z90" s="5" t="str">
        <f t="shared" si="62"/>
        <v>1</v>
      </c>
      <c r="AA90" s="5" t="str">
        <f t="shared" si="63"/>
        <v>1</v>
      </c>
      <c r="AB90" s="5" t="str">
        <f t="shared" si="64"/>
        <v>1</v>
      </c>
      <c r="AC90" s="5" t="str">
        <f t="shared" si="65"/>
        <v>1</v>
      </c>
      <c r="AD90" s="5" t="str">
        <f t="shared" si="66"/>
        <v>1</v>
      </c>
      <c r="AE90" s="5" t="str">
        <f t="shared" si="67"/>
        <v>1</v>
      </c>
    </row>
    <row r="91" spans="1:31" ht="14.4" x14ac:dyDescent="0.3">
      <c r="A91" s="14">
        <v>88</v>
      </c>
      <c r="B91" s="15" t="s">
        <v>186</v>
      </c>
      <c r="C91" s="10">
        <v>12</v>
      </c>
      <c r="D91" s="10">
        <v>23</v>
      </c>
      <c r="E91" s="17">
        <v>365</v>
      </c>
      <c r="F91" s="22">
        <v>2.0000000000000001E-4</v>
      </c>
      <c r="G91" s="10">
        <v>900</v>
      </c>
      <c r="H91" s="12">
        <v>2.9999999999999997E-4</v>
      </c>
      <c r="I91" s="18">
        <v>10950</v>
      </c>
      <c r="J91" s="20">
        <v>12</v>
      </c>
      <c r="K91" s="19">
        <f t="shared" si="47"/>
        <v>3.1304347826086958E-3</v>
      </c>
      <c r="L91" s="2">
        <f t="shared" si="48"/>
        <v>1.3043478260869566E-3</v>
      </c>
      <c r="M91" s="2">
        <f t="shared" si="49"/>
        <v>2.6086956521739132E-3</v>
      </c>
      <c r="N91" s="2">
        <f t="shared" si="50"/>
        <v>3.9130434782608699E-3</v>
      </c>
      <c r="O91" s="2">
        <f t="shared" si="51"/>
        <v>5.2173913043478265E-3</v>
      </c>
      <c r="P91" s="2">
        <f t="shared" si="52"/>
        <v>6.5217391304347823E-3</v>
      </c>
      <c r="Q91" s="2">
        <f t="shared" si="53"/>
        <v>7.8260869565217397E-3</v>
      </c>
      <c r="R91" s="2">
        <f t="shared" si="54"/>
        <v>10.434782608695654</v>
      </c>
      <c r="S91" s="2">
        <f t="shared" si="55"/>
        <v>4.3478260869565224</v>
      </c>
      <c r="T91" s="2">
        <f t="shared" si="56"/>
        <v>8.6956521739130448</v>
      </c>
      <c r="U91" s="2">
        <f t="shared" si="57"/>
        <v>13.043478260869568</v>
      </c>
      <c r="V91" s="2">
        <f t="shared" si="58"/>
        <v>17.39130434782609</v>
      </c>
      <c r="W91" s="2">
        <f t="shared" si="59"/>
        <v>21.739130434782609</v>
      </c>
      <c r="X91" s="2">
        <f t="shared" si="60"/>
        <v>26.086956521739136</v>
      </c>
      <c r="Y91" s="5" t="str">
        <f t="shared" si="61"/>
        <v>1</v>
      </c>
      <c r="Z91" s="5" t="str">
        <f t="shared" si="62"/>
        <v>1</v>
      </c>
      <c r="AA91" s="5" t="str">
        <f t="shared" si="63"/>
        <v>1</v>
      </c>
      <c r="AB91" s="5" t="str">
        <f t="shared" si="64"/>
        <v>1</v>
      </c>
      <c r="AC91" s="5" t="str">
        <f t="shared" si="65"/>
        <v>1</v>
      </c>
      <c r="AD91" s="5" t="str">
        <f t="shared" si="66"/>
        <v>1</v>
      </c>
      <c r="AE91" s="5" t="str">
        <f t="shared" si="67"/>
        <v>1</v>
      </c>
    </row>
    <row r="92" spans="1:31" ht="14.4" x14ac:dyDescent="0.3">
      <c r="A92" s="14">
        <v>89</v>
      </c>
      <c r="B92" s="15" t="s">
        <v>187</v>
      </c>
      <c r="C92" s="10">
        <v>12</v>
      </c>
      <c r="D92" s="10">
        <v>25</v>
      </c>
      <c r="E92" s="17">
        <v>365</v>
      </c>
      <c r="F92" s="22">
        <v>2.0000000000000001E-4</v>
      </c>
      <c r="G92" s="10">
        <v>1200</v>
      </c>
      <c r="H92" s="12">
        <v>2.9999999999999997E-4</v>
      </c>
      <c r="I92" s="18">
        <v>10950</v>
      </c>
      <c r="J92" s="20">
        <v>12</v>
      </c>
      <c r="K92" s="19">
        <f t="shared" si="47"/>
        <v>3.8400000000000001E-3</v>
      </c>
      <c r="L92" s="2">
        <f t="shared" si="48"/>
        <v>1.6000000000000003E-3</v>
      </c>
      <c r="M92" s="2">
        <f t="shared" si="49"/>
        <v>3.2000000000000006E-3</v>
      </c>
      <c r="N92" s="2">
        <f t="shared" si="50"/>
        <v>4.8000000000000004E-3</v>
      </c>
      <c r="O92" s="2">
        <f t="shared" si="51"/>
        <v>6.4000000000000012E-3</v>
      </c>
      <c r="P92" s="2">
        <f t="shared" si="52"/>
        <v>8.0000000000000002E-3</v>
      </c>
      <c r="Q92" s="2">
        <f t="shared" si="53"/>
        <v>9.6000000000000009E-3</v>
      </c>
      <c r="R92" s="2">
        <f t="shared" si="54"/>
        <v>12.8</v>
      </c>
      <c r="S92" s="2">
        <f t="shared" si="55"/>
        <v>5.3333333333333348</v>
      </c>
      <c r="T92" s="2">
        <f t="shared" si="56"/>
        <v>10.66666666666667</v>
      </c>
      <c r="U92" s="2">
        <f t="shared" si="57"/>
        <v>16.000000000000004</v>
      </c>
      <c r="V92" s="2">
        <f t="shared" si="58"/>
        <v>21.333333333333339</v>
      </c>
      <c r="W92" s="2">
        <f t="shared" si="59"/>
        <v>26.666666666666668</v>
      </c>
      <c r="X92" s="2">
        <f t="shared" si="60"/>
        <v>32.000000000000007</v>
      </c>
      <c r="Y92" s="5" t="str">
        <f t="shared" si="61"/>
        <v>1</v>
      </c>
      <c r="Z92" s="5" t="str">
        <f t="shared" si="62"/>
        <v>1</v>
      </c>
      <c r="AA92" s="5" t="str">
        <f t="shared" si="63"/>
        <v>1</v>
      </c>
      <c r="AB92" s="5" t="str">
        <f t="shared" si="64"/>
        <v>1</v>
      </c>
      <c r="AC92" s="5" t="str">
        <f t="shared" si="65"/>
        <v>1</v>
      </c>
      <c r="AD92" s="5" t="str">
        <f t="shared" si="66"/>
        <v>1</v>
      </c>
      <c r="AE92" s="5" t="str">
        <f t="shared" si="67"/>
        <v>1</v>
      </c>
    </row>
    <row r="93" spans="1:31" ht="14.4" x14ac:dyDescent="0.3">
      <c r="A93" s="14">
        <v>90</v>
      </c>
      <c r="B93" s="15" t="s">
        <v>188</v>
      </c>
      <c r="C93" s="10">
        <v>12</v>
      </c>
      <c r="D93" s="10">
        <v>28</v>
      </c>
      <c r="E93" s="17">
        <v>365</v>
      </c>
      <c r="F93" s="22">
        <v>2.0000000000000001E-4</v>
      </c>
      <c r="G93" s="10">
        <v>1800</v>
      </c>
      <c r="H93" s="12">
        <v>2.9999999999999997E-4</v>
      </c>
      <c r="I93" s="18">
        <v>10950</v>
      </c>
      <c r="J93" s="20">
        <v>12</v>
      </c>
      <c r="K93" s="19">
        <f t="shared" si="47"/>
        <v>5.1428571428571435E-3</v>
      </c>
      <c r="L93" s="2">
        <f t="shared" si="48"/>
        <v>2.142857142857143E-3</v>
      </c>
      <c r="M93" s="2">
        <f t="shared" si="49"/>
        <v>4.2857142857142859E-3</v>
      </c>
      <c r="N93" s="2">
        <f t="shared" si="50"/>
        <v>6.4285714285714285E-3</v>
      </c>
      <c r="O93" s="2">
        <f t="shared" si="51"/>
        <v>8.5714285714285719E-3</v>
      </c>
      <c r="P93" s="2">
        <f t="shared" si="52"/>
        <v>1.0714285714285714E-2</v>
      </c>
      <c r="Q93" s="2">
        <f t="shared" si="53"/>
        <v>1.2857142857142857E-2</v>
      </c>
      <c r="R93" s="2">
        <f t="shared" si="54"/>
        <v>17.142857142857146</v>
      </c>
      <c r="S93" s="2">
        <f t="shared" si="55"/>
        <v>7.1428571428571441</v>
      </c>
      <c r="T93" s="2">
        <f t="shared" si="56"/>
        <v>14.285714285714288</v>
      </c>
      <c r="U93" s="2">
        <f t="shared" si="57"/>
        <v>21.428571428571431</v>
      </c>
      <c r="V93" s="2">
        <f t="shared" si="58"/>
        <v>28.571428571428577</v>
      </c>
      <c r="W93" s="2">
        <f t="shared" si="59"/>
        <v>35.714285714285715</v>
      </c>
      <c r="X93" s="2">
        <f t="shared" si="60"/>
        <v>42.857142857142861</v>
      </c>
      <c r="Y93" s="5" t="str">
        <f t="shared" si="61"/>
        <v>1</v>
      </c>
      <c r="Z93" s="5" t="str">
        <f t="shared" si="62"/>
        <v>1</v>
      </c>
      <c r="AA93" s="5" t="str">
        <f t="shared" si="63"/>
        <v>1</v>
      </c>
      <c r="AB93" s="5" t="str">
        <f t="shared" si="64"/>
        <v>1</v>
      </c>
      <c r="AC93" s="5" t="str">
        <f t="shared" si="65"/>
        <v>1</v>
      </c>
      <c r="AD93" s="5" t="str">
        <f t="shared" si="66"/>
        <v>1</v>
      </c>
      <c r="AE93" s="5" t="str">
        <f t="shared" si="67"/>
        <v>1</v>
      </c>
    </row>
    <row r="94" spans="1:31" ht="14.4" x14ac:dyDescent="0.3">
      <c r="A94" s="14">
        <v>91</v>
      </c>
      <c r="B94" s="15" t="s">
        <v>147</v>
      </c>
      <c r="C94" s="10">
        <v>12</v>
      </c>
      <c r="D94" s="10">
        <v>28</v>
      </c>
      <c r="E94" s="17">
        <v>365</v>
      </c>
      <c r="F94" s="22">
        <v>2.0000000000000001E-4</v>
      </c>
      <c r="G94" s="10">
        <v>900</v>
      </c>
      <c r="H94" s="12">
        <v>2.9999999999999997E-4</v>
      </c>
      <c r="I94" s="18">
        <v>10950</v>
      </c>
      <c r="J94" s="20">
        <v>12</v>
      </c>
      <c r="K94" s="19">
        <f t="shared" si="47"/>
        <v>2.5714285714285717E-3</v>
      </c>
      <c r="L94" s="2">
        <f t="shared" si="48"/>
        <v>1.0714285714285715E-3</v>
      </c>
      <c r="M94" s="2">
        <f t="shared" si="49"/>
        <v>2.142857142857143E-3</v>
      </c>
      <c r="N94" s="2">
        <f t="shared" si="50"/>
        <v>3.2142857142857142E-3</v>
      </c>
      <c r="O94" s="2">
        <f t="shared" si="51"/>
        <v>4.2857142857142859E-3</v>
      </c>
      <c r="P94" s="2">
        <f t="shared" si="52"/>
        <v>5.3571428571428572E-3</v>
      </c>
      <c r="Q94" s="2">
        <f t="shared" si="53"/>
        <v>6.4285714285714285E-3</v>
      </c>
      <c r="R94" s="2">
        <f t="shared" si="54"/>
        <v>8.571428571428573</v>
      </c>
      <c r="S94" s="2">
        <f t="shared" si="55"/>
        <v>3.5714285714285721</v>
      </c>
      <c r="T94" s="2">
        <f t="shared" si="56"/>
        <v>7.1428571428571441</v>
      </c>
      <c r="U94" s="2">
        <f t="shared" si="57"/>
        <v>10.714285714285715</v>
      </c>
      <c r="V94" s="2">
        <f t="shared" si="58"/>
        <v>14.285714285714288</v>
      </c>
      <c r="W94" s="2">
        <f t="shared" si="59"/>
        <v>17.857142857142858</v>
      </c>
      <c r="X94" s="2">
        <f t="shared" si="60"/>
        <v>21.428571428571431</v>
      </c>
      <c r="Y94" s="5" t="str">
        <f t="shared" si="61"/>
        <v>1</v>
      </c>
      <c r="Z94" s="5" t="str">
        <f t="shared" si="62"/>
        <v>1</v>
      </c>
      <c r="AA94" s="5" t="str">
        <f t="shared" si="63"/>
        <v>1</v>
      </c>
      <c r="AB94" s="5" t="str">
        <f t="shared" si="64"/>
        <v>1</v>
      </c>
      <c r="AC94" s="5" t="str">
        <f t="shared" si="65"/>
        <v>1</v>
      </c>
      <c r="AD94" s="5" t="str">
        <f t="shared" si="66"/>
        <v>1</v>
      </c>
      <c r="AE94" s="5" t="str">
        <f t="shared" si="67"/>
        <v>1</v>
      </c>
    </row>
    <row r="95" spans="1:31" ht="14.4" x14ac:dyDescent="0.3">
      <c r="A95" s="14">
        <v>92</v>
      </c>
      <c r="B95" s="15" t="s">
        <v>189</v>
      </c>
      <c r="C95" s="10">
        <v>12</v>
      </c>
      <c r="D95" s="10">
        <v>40</v>
      </c>
      <c r="E95" s="17">
        <v>365</v>
      </c>
      <c r="F95" s="22">
        <v>2.0000000000000001E-4</v>
      </c>
      <c r="G95" s="10">
        <v>1800</v>
      </c>
      <c r="H95" s="12">
        <v>2.9999999999999997E-4</v>
      </c>
      <c r="I95" s="18">
        <v>10950</v>
      </c>
      <c r="J95" s="20">
        <v>5</v>
      </c>
      <c r="K95" s="19">
        <f t="shared" si="47"/>
        <v>1.5E-3</v>
      </c>
      <c r="L95" s="2">
        <f t="shared" si="48"/>
        <v>1.5E-3</v>
      </c>
      <c r="M95" s="2">
        <f t="shared" si="49"/>
        <v>3.0000000000000001E-3</v>
      </c>
      <c r="N95" s="2">
        <f t="shared" si="50"/>
        <v>4.4999999999999997E-3</v>
      </c>
      <c r="O95" s="2">
        <f t="shared" si="51"/>
        <v>6.0000000000000001E-3</v>
      </c>
      <c r="P95" s="2">
        <f t="shared" si="52"/>
        <v>7.4999999999999997E-3</v>
      </c>
      <c r="Q95" s="2">
        <f t="shared" si="53"/>
        <v>8.9999999999999993E-3</v>
      </c>
      <c r="R95" s="2">
        <f t="shared" si="54"/>
        <v>5.0000000000000009</v>
      </c>
      <c r="S95" s="2">
        <f t="shared" si="55"/>
        <v>5.0000000000000009</v>
      </c>
      <c r="T95" s="2">
        <f t="shared" si="56"/>
        <v>10.000000000000002</v>
      </c>
      <c r="U95" s="2">
        <f t="shared" si="57"/>
        <v>15</v>
      </c>
      <c r="V95" s="2">
        <f t="shared" si="58"/>
        <v>20.000000000000004</v>
      </c>
      <c r="W95" s="2">
        <f t="shared" si="59"/>
        <v>25</v>
      </c>
      <c r="X95" s="2">
        <f t="shared" si="60"/>
        <v>30</v>
      </c>
      <c r="Y95" s="5" t="str">
        <f t="shared" si="61"/>
        <v>1</v>
      </c>
      <c r="Z95" s="5" t="str">
        <f t="shared" si="62"/>
        <v>1</v>
      </c>
      <c r="AA95" s="5" t="str">
        <f t="shared" si="63"/>
        <v>1</v>
      </c>
      <c r="AB95" s="5" t="str">
        <f t="shared" si="64"/>
        <v>1</v>
      </c>
      <c r="AC95" s="5" t="str">
        <f t="shared" si="65"/>
        <v>1</v>
      </c>
      <c r="AD95" s="5" t="str">
        <f t="shared" si="66"/>
        <v>1</v>
      </c>
      <c r="AE95" s="5" t="str">
        <f t="shared" si="67"/>
        <v>1</v>
      </c>
    </row>
    <row r="96" spans="1:31" ht="14.4" x14ac:dyDescent="0.3">
      <c r="A96" s="14">
        <v>93</v>
      </c>
      <c r="B96" s="15" t="s">
        <v>190</v>
      </c>
      <c r="C96" s="10">
        <v>12</v>
      </c>
      <c r="D96" s="10">
        <v>23</v>
      </c>
      <c r="E96" s="17">
        <v>365</v>
      </c>
      <c r="F96" s="22">
        <v>2.0000000000000001E-4</v>
      </c>
      <c r="G96" s="10">
        <v>900</v>
      </c>
      <c r="H96" s="12">
        <v>2.9999999999999997E-4</v>
      </c>
      <c r="I96" s="18">
        <v>10950</v>
      </c>
      <c r="J96" s="20">
        <v>12</v>
      </c>
      <c r="K96" s="19">
        <f t="shared" si="47"/>
        <v>3.1304347826086958E-3</v>
      </c>
      <c r="L96" s="2">
        <f t="shared" si="48"/>
        <v>1.3043478260869566E-3</v>
      </c>
      <c r="M96" s="2">
        <f t="shared" si="49"/>
        <v>2.6086956521739132E-3</v>
      </c>
      <c r="N96" s="2">
        <f t="shared" si="50"/>
        <v>3.9130434782608699E-3</v>
      </c>
      <c r="O96" s="2">
        <f t="shared" si="51"/>
        <v>5.2173913043478265E-3</v>
      </c>
      <c r="P96" s="2">
        <f t="shared" si="52"/>
        <v>6.5217391304347823E-3</v>
      </c>
      <c r="Q96" s="2">
        <f t="shared" si="53"/>
        <v>7.8260869565217397E-3</v>
      </c>
      <c r="R96" s="2">
        <f t="shared" si="54"/>
        <v>10.434782608695654</v>
      </c>
      <c r="S96" s="2">
        <f t="shared" si="55"/>
        <v>4.3478260869565224</v>
      </c>
      <c r="T96" s="2">
        <f t="shared" si="56"/>
        <v>8.6956521739130448</v>
      </c>
      <c r="U96" s="2">
        <f t="shared" si="57"/>
        <v>13.043478260869568</v>
      </c>
      <c r="V96" s="2">
        <f t="shared" si="58"/>
        <v>17.39130434782609</v>
      </c>
      <c r="W96" s="2">
        <f t="shared" si="59"/>
        <v>21.739130434782609</v>
      </c>
      <c r="X96" s="2">
        <f t="shared" si="60"/>
        <v>26.086956521739136</v>
      </c>
      <c r="Y96" s="5" t="str">
        <f t="shared" si="61"/>
        <v>1</v>
      </c>
      <c r="Z96" s="5" t="str">
        <f t="shared" si="62"/>
        <v>1</v>
      </c>
      <c r="AA96" s="5" t="str">
        <f t="shared" si="63"/>
        <v>1</v>
      </c>
      <c r="AB96" s="5" t="str">
        <f t="shared" si="64"/>
        <v>1</v>
      </c>
      <c r="AC96" s="5" t="str">
        <f t="shared" si="65"/>
        <v>1</v>
      </c>
      <c r="AD96" s="5" t="str">
        <f t="shared" si="66"/>
        <v>1</v>
      </c>
      <c r="AE96" s="5" t="str">
        <f t="shared" si="67"/>
        <v>1</v>
      </c>
    </row>
    <row r="97" spans="1:31" ht="14.4" x14ac:dyDescent="0.3">
      <c r="A97" s="14">
        <v>94</v>
      </c>
      <c r="B97" s="15" t="s">
        <v>191</v>
      </c>
      <c r="C97" s="10">
        <v>12</v>
      </c>
      <c r="D97" s="10">
        <v>25</v>
      </c>
      <c r="E97" s="17">
        <v>365</v>
      </c>
      <c r="F97" s="22">
        <v>2.0000000000000001E-4</v>
      </c>
      <c r="G97" s="10">
        <v>900</v>
      </c>
      <c r="H97" s="12">
        <v>2.9999999999999997E-4</v>
      </c>
      <c r="I97" s="18">
        <v>10950</v>
      </c>
      <c r="J97" s="20">
        <v>12</v>
      </c>
      <c r="K97" s="19">
        <f t="shared" si="47"/>
        <v>2.8800000000000002E-3</v>
      </c>
      <c r="L97" s="2">
        <f t="shared" si="48"/>
        <v>1.1999999999999999E-3</v>
      </c>
      <c r="M97" s="2">
        <f t="shared" si="49"/>
        <v>2.3999999999999998E-3</v>
      </c>
      <c r="N97" s="2">
        <f t="shared" si="50"/>
        <v>3.5999999999999999E-3</v>
      </c>
      <c r="O97" s="2">
        <f t="shared" si="51"/>
        <v>4.7999999999999996E-3</v>
      </c>
      <c r="P97" s="2">
        <f t="shared" si="52"/>
        <v>6.0000000000000001E-3</v>
      </c>
      <c r="Q97" s="2">
        <f t="shared" si="53"/>
        <v>7.1999999999999998E-3</v>
      </c>
      <c r="R97" s="2">
        <f t="shared" si="54"/>
        <v>9.6000000000000014</v>
      </c>
      <c r="S97" s="2">
        <f t="shared" si="55"/>
        <v>4</v>
      </c>
      <c r="T97" s="2">
        <f t="shared" si="56"/>
        <v>8</v>
      </c>
      <c r="U97" s="2">
        <f t="shared" si="57"/>
        <v>12</v>
      </c>
      <c r="V97" s="2">
        <f t="shared" si="58"/>
        <v>16</v>
      </c>
      <c r="W97" s="2">
        <f t="shared" si="59"/>
        <v>20.000000000000004</v>
      </c>
      <c r="X97" s="2">
        <f t="shared" si="60"/>
        <v>24</v>
      </c>
      <c r="Y97" s="5" t="str">
        <f t="shared" si="61"/>
        <v>1</v>
      </c>
      <c r="Z97" s="5" t="str">
        <f t="shared" si="62"/>
        <v>1</v>
      </c>
      <c r="AA97" s="5" t="str">
        <f t="shared" si="63"/>
        <v>1</v>
      </c>
      <c r="AB97" s="5" t="str">
        <f t="shared" si="64"/>
        <v>1</v>
      </c>
      <c r="AC97" s="5" t="str">
        <f t="shared" si="65"/>
        <v>1</v>
      </c>
      <c r="AD97" s="5" t="str">
        <f t="shared" si="66"/>
        <v>1</v>
      </c>
      <c r="AE97" s="5" t="str">
        <f t="shared" si="67"/>
        <v>1</v>
      </c>
    </row>
    <row r="98" spans="1:31" ht="14.4" x14ac:dyDescent="0.3">
      <c r="A98" s="14">
        <v>95</v>
      </c>
      <c r="B98" s="15" t="s">
        <v>192</v>
      </c>
      <c r="C98" s="10">
        <v>12</v>
      </c>
      <c r="D98" s="10">
        <v>28</v>
      </c>
      <c r="E98" s="17">
        <v>365</v>
      </c>
      <c r="F98" s="22">
        <v>2.0000000000000001E-4</v>
      </c>
      <c r="G98" s="10">
        <v>900</v>
      </c>
      <c r="H98" s="12">
        <v>2.9999999999999997E-4</v>
      </c>
      <c r="I98" s="18">
        <v>10950</v>
      </c>
      <c r="J98" s="20">
        <v>12</v>
      </c>
      <c r="K98" s="19">
        <f t="shared" si="47"/>
        <v>2.5714285714285717E-3</v>
      </c>
      <c r="L98" s="2">
        <f t="shared" si="48"/>
        <v>1.0714285714285715E-3</v>
      </c>
      <c r="M98" s="2">
        <f t="shared" si="49"/>
        <v>2.142857142857143E-3</v>
      </c>
      <c r="N98" s="2">
        <f t="shared" si="50"/>
        <v>3.2142857142857142E-3</v>
      </c>
      <c r="O98" s="2">
        <f t="shared" si="51"/>
        <v>4.2857142857142859E-3</v>
      </c>
      <c r="P98" s="2">
        <f t="shared" si="52"/>
        <v>5.3571428571428572E-3</v>
      </c>
      <c r="Q98" s="2">
        <f t="shared" si="53"/>
        <v>6.4285714285714285E-3</v>
      </c>
      <c r="R98" s="2">
        <f t="shared" si="54"/>
        <v>8.571428571428573</v>
      </c>
      <c r="S98" s="2">
        <f t="shared" si="55"/>
        <v>3.5714285714285721</v>
      </c>
      <c r="T98" s="2">
        <f t="shared" si="56"/>
        <v>7.1428571428571441</v>
      </c>
      <c r="U98" s="2">
        <f t="shared" si="57"/>
        <v>10.714285714285715</v>
      </c>
      <c r="V98" s="2">
        <f t="shared" si="58"/>
        <v>14.285714285714288</v>
      </c>
      <c r="W98" s="2">
        <f t="shared" si="59"/>
        <v>17.857142857142858</v>
      </c>
      <c r="X98" s="2">
        <f t="shared" si="60"/>
        <v>21.428571428571431</v>
      </c>
      <c r="Y98" s="5" t="str">
        <f t="shared" si="61"/>
        <v>1</v>
      </c>
      <c r="Z98" s="5" t="str">
        <f t="shared" si="62"/>
        <v>1</v>
      </c>
      <c r="AA98" s="5" t="str">
        <f t="shared" si="63"/>
        <v>1</v>
      </c>
      <c r="AB98" s="5" t="str">
        <f t="shared" si="64"/>
        <v>1</v>
      </c>
      <c r="AC98" s="5" t="str">
        <f t="shared" si="65"/>
        <v>1</v>
      </c>
      <c r="AD98" s="5" t="str">
        <f t="shared" si="66"/>
        <v>1</v>
      </c>
      <c r="AE98" s="5" t="str">
        <f t="shared" si="67"/>
        <v>1</v>
      </c>
    </row>
    <row r="99" spans="1:31" ht="14.4" x14ac:dyDescent="0.3">
      <c r="A99" s="14">
        <v>96</v>
      </c>
      <c r="B99" s="15" t="s">
        <v>193</v>
      </c>
      <c r="C99" s="10">
        <v>12</v>
      </c>
      <c r="D99" s="10">
        <v>40</v>
      </c>
      <c r="E99" s="17">
        <v>365</v>
      </c>
      <c r="F99" s="22">
        <v>2.0000000000000001E-4</v>
      </c>
      <c r="G99" s="10">
        <v>1800</v>
      </c>
      <c r="H99" s="12">
        <v>2.9999999999999997E-4</v>
      </c>
      <c r="I99" s="18">
        <v>10950</v>
      </c>
      <c r="J99" s="20">
        <v>5</v>
      </c>
      <c r="K99" s="19">
        <f t="shared" si="47"/>
        <v>1.5E-3</v>
      </c>
      <c r="L99" s="2">
        <f t="shared" si="48"/>
        <v>1.5E-3</v>
      </c>
      <c r="M99" s="2">
        <f t="shared" si="49"/>
        <v>3.0000000000000001E-3</v>
      </c>
      <c r="N99" s="2">
        <f t="shared" si="50"/>
        <v>4.4999999999999997E-3</v>
      </c>
      <c r="O99" s="2">
        <f t="shared" si="51"/>
        <v>6.0000000000000001E-3</v>
      </c>
      <c r="P99" s="2">
        <f t="shared" si="52"/>
        <v>7.4999999999999997E-3</v>
      </c>
      <c r="Q99" s="2">
        <f t="shared" si="53"/>
        <v>8.9999999999999993E-3</v>
      </c>
      <c r="R99" s="2">
        <f t="shared" si="54"/>
        <v>5.0000000000000009</v>
      </c>
      <c r="S99" s="2">
        <f t="shared" si="55"/>
        <v>5.0000000000000009</v>
      </c>
      <c r="T99" s="2">
        <f t="shared" si="56"/>
        <v>10.000000000000002</v>
      </c>
      <c r="U99" s="2">
        <f t="shared" si="57"/>
        <v>15</v>
      </c>
      <c r="V99" s="2">
        <f t="shared" si="58"/>
        <v>20.000000000000004</v>
      </c>
      <c r="W99" s="2">
        <f t="shared" si="59"/>
        <v>25</v>
      </c>
      <c r="X99" s="2">
        <f t="shared" si="60"/>
        <v>30</v>
      </c>
      <c r="Y99" s="5" t="str">
        <f t="shared" si="61"/>
        <v>1</v>
      </c>
      <c r="Z99" s="5" t="str">
        <f t="shared" si="62"/>
        <v>1</v>
      </c>
      <c r="AA99" s="5" t="str">
        <f t="shared" si="63"/>
        <v>1</v>
      </c>
      <c r="AB99" s="5" t="str">
        <f t="shared" si="64"/>
        <v>1</v>
      </c>
      <c r="AC99" s="5" t="str">
        <f t="shared" si="65"/>
        <v>1</v>
      </c>
      <c r="AD99" s="5" t="str">
        <f t="shared" si="66"/>
        <v>1</v>
      </c>
      <c r="AE99" s="5" t="str">
        <f t="shared" si="67"/>
        <v>1</v>
      </c>
    </row>
    <row r="100" spans="1:31" ht="14.4" x14ac:dyDescent="0.3">
      <c r="A100" s="14">
        <v>97</v>
      </c>
      <c r="B100" s="15" t="s">
        <v>194</v>
      </c>
      <c r="C100" s="10">
        <v>12</v>
      </c>
      <c r="D100" s="10">
        <v>28</v>
      </c>
      <c r="E100" s="17">
        <v>365</v>
      </c>
      <c r="F100" s="22">
        <v>2.0000000000000001E-4</v>
      </c>
      <c r="G100" s="10">
        <v>900</v>
      </c>
      <c r="H100" s="12">
        <v>2.9999999999999997E-4</v>
      </c>
      <c r="I100" s="18">
        <v>10950</v>
      </c>
      <c r="J100" s="20">
        <v>12</v>
      </c>
      <c r="K100" s="19">
        <f t="shared" si="47"/>
        <v>2.5714285714285717E-3</v>
      </c>
      <c r="L100" s="2">
        <f t="shared" si="48"/>
        <v>1.0714285714285715E-3</v>
      </c>
      <c r="M100" s="2">
        <f t="shared" si="49"/>
        <v>2.142857142857143E-3</v>
      </c>
      <c r="N100" s="2">
        <f t="shared" si="50"/>
        <v>3.2142857142857142E-3</v>
      </c>
      <c r="O100" s="2">
        <f t="shared" si="51"/>
        <v>4.2857142857142859E-3</v>
      </c>
      <c r="P100" s="2">
        <f t="shared" si="52"/>
        <v>5.3571428571428572E-3</v>
      </c>
      <c r="Q100" s="2">
        <f t="shared" si="53"/>
        <v>6.4285714285714285E-3</v>
      </c>
      <c r="R100" s="2">
        <f t="shared" si="54"/>
        <v>8.571428571428573</v>
      </c>
      <c r="S100" s="2">
        <f t="shared" si="55"/>
        <v>3.5714285714285721</v>
      </c>
      <c r="T100" s="2">
        <f t="shared" si="56"/>
        <v>7.1428571428571441</v>
      </c>
      <c r="U100" s="2">
        <f t="shared" si="57"/>
        <v>10.714285714285715</v>
      </c>
      <c r="V100" s="2">
        <f t="shared" si="58"/>
        <v>14.285714285714288</v>
      </c>
      <c r="W100" s="2">
        <f t="shared" si="59"/>
        <v>17.857142857142858</v>
      </c>
      <c r="X100" s="2">
        <f t="shared" si="60"/>
        <v>21.428571428571431</v>
      </c>
      <c r="Y100" s="5" t="str">
        <f t="shared" si="61"/>
        <v>1</v>
      </c>
      <c r="Z100" s="5" t="str">
        <f t="shared" si="62"/>
        <v>1</v>
      </c>
      <c r="AA100" s="5" t="str">
        <f t="shared" si="63"/>
        <v>1</v>
      </c>
      <c r="AB100" s="5" t="str">
        <f t="shared" si="64"/>
        <v>1</v>
      </c>
      <c r="AC100" s="5" t="str">
        <f t="shared" si="65"/>
        <v>1</v>
      </c>
      <c r="AD100" s="5" t="str">
        <f t="shared" si="66"/>
        <v>1</v>
      </c>
      <c r="AE100" s="5" t="str">
        <f t="shared" si="67"/>
        <v>1</v>
      </c>
    </row>
    <row r="101" spans="1:31" ht="14.4" x14ac:dyDescent="0.3">
      <c r="A101" s="14">
        <v>98</v>
      </c>
      <c r="B101" s="15" t="s">
        <v>193</v>
      </c>
      <c r="C101" s="10">
        <v>12</v>
      </c>
      <c r="D101" s="10">
        <v>40</v>
      </c>
      <c r="E101" s="17">
        <v>365</v>
      </c>
      <c r="F101" s="22">
        <v>2.0000000000000001E-4</v>
      </c>
      <c r="G101" s="10">
        <v>1800</v>
      </c>
      <c r="H101" s="12">
        <v>2.9999999999999997E-4</v>
      </c>
      <c r="I101" s="18">
        <v>10950</v>
      </c>
      <c r="J101" s="20">
        <v>5</v>
      </c>
      <c r="K101" s="19">
        <f t="shared" si="47"/>
        <v>1.5E-3</v>
      </c>
      <c r="L101" s="2">
        <f t="shared" si="48"/>
        <v>1.5E-3</v>
      </c>
      <c r="M101" s="2">
        <f t="shared" si="49"/>
        <v>3.0000000000000001E-3</v>
      </c>
      <c r="N101" s="2">
        <f t="shared" si="50"/>
        <v>4.4999999999999997E-3</v>
      </c>
      <c r="O101" s="2">
        <f t="shared" si="51"/>
        <v>6.0000000000000001E-3</v>
      </c>
      <c r="P101" s="2">
        <f t="shared" si="52"/>
        <v>7.4999999999999997E-3</v>
      </c>
      <c r="Q101" s="2">
        <f t="shared" si="53"/>
        <v>8.9999999999999993E-3</v>
      </c>
      <c r="R101" s="2">
        <f t="shared" si="54"/>
        <v>5.0000000000000009</v>
      </c>
      <c r="S101" s="2">
        <f t="shared" si="55"/>
        <v>5.0000000000000009</v>
      </c>
      <c r="T101" s="2">
        <f t="shared" si="56"/>
        <v>10.000000000000002</v>
      </c>
      <c r="U101" s="2">
        <f t="shared" si="57"/>
        <v>15</v>
      </c>
      <c r="V101" s="2">
        <f t="shared" si="58"/>
        <v>20.000000000000004</v>
      </c>
      <c r="W101" s="2">
        <f t="shared" si="59"/>
        <v>25</v>
      </c>
      <c r="X101" s="2">
        <f t="shared" si="60"/>
        <v>30</v>
      </c>
      <c r="Y101" s="5" t="str">
        <f t="shared" si="61"/>
        <v>1</v>
      </c>
      <c r="Z101" s="5" t="str">
        <f t="shared" si="62"/>
        <v>1</v>
      </c>
      <c r="AA101" s="5" t="str">
        <f t="shared" si="63"/>
        <v>1</v>
      </c>
      <c r="AB101" s="5" t="str">
        <f t="shared" si="64"/>
        <v>1</v>
      </c>
      <c r="AC101" s="5" t="str">
        <f t="shared" si="65"/>
        <v>1</v>
      </c>
      <c r="AD101" s="5" t="str">
        <f t="shared" si="66"/>
        <v>1</v>
      </c>
      <c r="AE101" s="5" t="str">
        <f t="shared" si="67"/>
        <v>1</v>
      </c>
    </row>
    <row r="102" spans="1:31" ht="14.4" x14ac:dyDescent="0.3">
      <c r="A102" s="14">
        <v>99</v>
      </c>
      <c r="B102" s="15" t="s">
        <v>195</v>
      </c>
      <c r="C102" s="10">
        <v>12</v>
      </c>
      <c r="D102" s="10">
        <v>28</v>
      </c>
      <c r="E102" s="17">
        <v>365</v>
      </c>
      <c r="F102" s="22">
        <v>2.0000000000000001E-4</v>
      </c>
      <c r="G102" s="10">
        <v>1800</v>
      </c>
      <c r="H102" s="12">
        <v>2.9999999999999997E-4</v>
      </c>
      <c r="I102" s="18">
        <v>10950</v>
      </c>
      <c r="J102" s="20">
        <v>12</v>
      </c>
      <c r="K102" s="19">
        <f t="shared" si="47"/>
        <v>5.1428571428571435E-3</v>
      </c>
      <c r="L102" s="2">
        <f t="shared" si="48"/>
        <v>2.142857142857143E-3</v>
      </c>
      <c r="M102" s="2">
        <f t="shared" si="49"/>
        <v>4.2857142857142859E-3</v>
      </c>
      <c r="N102" s="2">
        <f t="shared" si="50"/>
        <v>6.4285714285714285E-3</v>
      </c>
      <c r="O102" s="2">
        <f t="shared" si="51"/>
        <v>8.5714285714285719E-3</v>
      </c>
      <c r="P102" s="2">
        <f t="shared" si="52"/>
        <v>1.0714285714285714E-2</v>
      </c>
      <c r="Q102" s="2">
        <f t="shared" si="53"/>
        <v>1.2857142857142857E-2</v>
      </c>
      <c r="R102" s="2">
        <f t="shared" si="54"/>
        <v>17.142857142857146</v>
      </c>
      <c r="S102" s="2">
        <f t="shared" si="55"/>
        <v>7.1428571428571441</v>
      </c>
      <c r="T102" s="2">
        <f t="shared" si="56"/>
        <v>14.285714285714288</v>
      </c>
      <c r="U102" s="2">
        <f t="shared" si="57"/>
        <v>21.428571428571431</v>
      </c>
      <c r="V102" s="2">
        <f t="shared" si="58"/>
        <v>28.571428571428577</v>
      </c>
      <c r="W102" s="2">
        <f t="shared" si="59"/>
        <v>35.714285714285715</v>
      </c>
      <c r="X102" s="2">
        <f t="shared" si="60"/>
        <v>42.857142857142861</v>
      </c>
      <c r="Y102" s="5" t="str">
        <f t="shared" si="61"/>
        <v>1</v>
      </c>
      <c r="Z102" s="5" t="str">
        <f t="shared" si="62"/>
        <v>1</v>
      </c>
      <c r="AA102" s="5" t="str">
        <f t="shared" si="63"/>
        <v>1</v>
      </c>
      <c r="AB102" s="5" t="str">
        <f t="shared" si="64"/>
        <v>1</v>
      </c>
      <c r="AC102" s="5" t="str">
        <f t="shared" si="65"/>
        <v>1</v>
      </c>
      <c r="AD102" s="5" t="str">
        <f t="shared" si="66"/>
        <v>1</v>
      </c>
      <c r="AE102" s="5" t="str">
        <f t="shared" si="67"/>
        <v>1</v>
      </c>
    </row>
    <row r="103" spans="1:31" ht="14.4" x14ac:dyDescent="0.3">
      <c r="A103" s="14">
        <v>100</v>
      </c>
      <c r="B103" s="15" t="s">
        <v>196</v>
      </c>
      <c r="C103" s="10">
        <v>12</v>
      </c>
      <c r="D103" s="10">
        <v>28</v>
      </c>
      <c r="E103" s="17">
        <v>365</v>
      </c>
      <c r="F103" s="22">
        <v>2.0000000000000001E-4</v>
      </c>
      <c r="G103" s="10">
        <v>900</v>
      </c>
      <c r="H103" s="12">
        <v>2.9999999999999997E-4</v>
      </c>
      <c r="I103" s="18">
        <v>10950</v>
      </c>
      <c r="J103" s="20">
        <v>12</v>
      </c>
      <c r="K103" s="19">
        <f t="shared" si="47"/>
        <v>2.5714285714285717E-3</v>
      </c>
      <c r="L103" s="2">
        <f t="shared" si="48"/>
        <v>1.0714285714285715E-3</v>
      </c>
      <c r="M103" s="2">
        <f t="shared" si="49"/>
        <v>2.142857142857143E-3</v>
      </c>
      <c r="N103" s="2">
        <f t="shared" si="50"/>
        <v>3.2142857142857142E-3</v>
      </c>
      <c r="O103" s="2">
        <f t="shared" si="51"/>
        <v>4.2857142857142859E-3</v>
      </c>
      <c r="P103" s="2">
        <f t="shared" si="52"/>
        <v>5.3571428571428572E-3</v>
      </c>
      <c r="Q103" s="2">
        <f t="shared" si="53"/>
        <v>6.4285714285714285E-3</v>
      </c>
      <c r="R103" s="2">
        <f t="shared" si="54"/>
        <v>8.571428571428573</v>
      </c>
      <c r="S103" s="2">
        <f t="shared" si="55"/>
        <v>3.5714285714285721</v>
      </c>
      <c r="T103" s="2">
        <f t="shared" si="56"/>
        <v>7.1428571428571441</v>
      </c>
      <c r="U103" s="2">
        <f t="shared" si="57"/>
        <v>10.714285714285715</v>
      </c>
      <c r="V103" s="2">
        <f t="shared" si="58"/>
        <v>14.285714285714288</v>
      </c>
      <c r="W103" s="2">
        <f t="shared" si="59"/>
        <v>17.857142857142858</v>
      </c>
      <c r="X103" s="2">
        <f t="shared" si="60"/>
        <v>21.428571428571431</v>
      </c>
      <c r="Y103" s="5" t="str">
        <f t="shared" si="61"/>
        <v>1</v>
      </c>
      <c r="Z103" s="5" t="str">
        <f t="shared" si="62"/>
        <v>1</v>
      </c>
      <c r="AA103" s="5" t="str">
        <f t="shared" si="63"/>
        <v>1</v>
      </c>
      <c r="AB103" s="5" t="str">
        <f t="shared" si="64"/>
        <v>1</v>
      </c>
      <c r="AC103" s="5" t="str">
        <f t="shared" si="65"/>
        <v>1</v>
      </c>
      <c r="AD103" s="5" t="str">
        <f t="shared" si="66"/>
        <v>1</v>
      </c>
      <c r="AE103" s="5" t="str">
        <f t="shared" si="67"/>
        <v>1</v>
      </c>
    </row>
    <row r="105" spans="1:31" x14ac:dyDescent="0.25">
      <c r="A105" s="3" t="s">
        <v>76</v>
      </c>
    </row>
    <row r="106" spans="1:31" x14ac:dyDescent="0.25">
      <c r="A106" s="3" t="s">
        <v>6</v>
      </c>
    </row>
    <row r="107" spans="1:31" x14ac:dyDescent="0.25">
      <c r="A107" s="3" t="s">
        <v>7</v>
      </c>
    </row>
  </sheetData>
  <mergeCells count="31">
    <mergeCell ref="C1:C2"/>
    <mergeCell ref="J1:J2"/>
    <mergeCell ref="R1:R2"/>
    <mergeCell ref="K1:K2"/>
    <mergeCell ref="Y1:Y2"/>
    <mergeCell ref="U1:U2"/>
    <mergeCell ref="V1:V2"/>
    <mergeCell ref="W1:W2"/>
    <mergeCell ref="T1:T2"/>
    <mergeCell ref="AE1:AE2"/>
    <mergeCell ref="X1:X2"/>
    <mergeCell ref="AA1:AA2"/>
    <mergeCell ref="AB1:AB2"/>
    <mergeCell ref="AC1:AC2"/>
    <mergeCell ref="AD1:AD2"/>
    <mergeCell ref="A1:A2"/>
    <mergeCell ref="D1:D2"/>
    <mergeCell ref="B1:B2"/>
    <mergeCell ref="L1:L2"/>
    <mergeCell ref="Z1:Z2"/>
    <mergeCell ref="M1:M2"/>
    <mergeCell ref="N1:N2"/>
    <mergeCell ref="O1:O2"/>
    <mergeCell ref="P1:P2"/>
    <mergeCell ref="Q1:Q2"/>
    <mergeCell ref="G1:G2"/>
    <mergeCell ref="H1:H2"/>
    <mergeCell ref="I1:I2"/>
    <mergeCell ref="E1:E2"/>
    <mergeCell ref="F1:F2"/>
    <mergeCell ref="S1:S2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E107"/>
  <sheetViews>
    <sheetView workbookViewId="0">
      <selection activeCell="G4" sqref="G4"/>
    </sheetView>
  </sheetViews>
  <sheetFormatPr defaultColWidth="9.109375" defaultRowHeight="13.8" x14ac:dyDescent="0.25"/>
  <cols>
    <col min="1" max="1" width="5.33203125" style="3" customWidth="1"/>
    <col min="2" max="2" width="16" style="3" customWidth="1"/>
    <col min="3" max="4" width="7.5546875" style="3" customWidth="1"/>
    <col min="5" max="5" width="5" style="6" customWidth="1"/>
    <col min="6" max="6" width="10.6640625" style="3" customWidth="1"/>
    <col min="7" max="10" width="9.109375" style="3"/>
    <col min="11" max="11" width="10" style="3" bestFit="1" customWidth="1"/>
    <col min="12" max="25" width="10.88671875" style="3" customWidth="1"/>
    <col min="26" max="26" width="9.5546875" style="3" bestFit="1" customWidth="1"/>
    <col min="27" max="16384" width="9.109375" style="3"/>
  </cols>
  <sheetData>
    <row r="1" spans="1:31" ht="15" customHeight="1" x14ac:dyDescent="0.25">
      <c r="A1" s="24" t="s">
        <v>104</v>
      </c>
      <c r="B1" s="26" t="s">
        <v>4</v>
      </c>
      <c r="C1" s="27" t="s">
        <v>197</v>
      </c>
      <c r="D1" s="26" t="s">
        <v>0</v>
      </c>
      <c r="E1" s="26" t="s">
        <v>3</v>
      </c>
      <c r="F1" s="23" t="s">
        <v>52</v>
      </c>
      <c r="G1" s="23" t="s">
        <v>1</v>
      </c>
      <c r="H1" s="23" t="s">
        <v>53</v>
      </c>
      <c r="I1" s="26" t="s">
        <v>2</v>
      </c>
      <c r="J1" s="23" t="s">
        <v>96</v>
      </c>
      <c r="K1" s="23" t="s">
        <v>97</v>
      </c>
      <c r="L1" s="23" t="s">
        <v>59</v>
      </c>
      <c r="M1" s="23" t="s">
        <v>60</v>
      </c>
      <c r="N1" s="23" t="s">
        <v>61</v>
      </c>
      <c r="O1" s="23" t="s">
        <v>62</v>
      </c>
      <c r="P1" s="23" t="s">
        <v>63</v>
      </c>
      <c r="Q1" s="23" t="s">
        <v>64</v>
      </c>
      <c r="R1" s="23" t="s">
        <v>95</v>
      </c>
      <c r="S1" s="23" t="s">
        <v>65</v>
      </c>
      <c r="T1" s="23" t="s">
        <v>66</v>
      </c>
      <c r="U1" s="23" t="s">
        <v>67</v>
      </c>
      <c r="V1" s="23" t="s">
        <v>68</v>
      </c>
      <c r="W1" s="23" t="s">
        <v>69</v>
      </c>
      <c r="X1" s="23" t="s">
        <v>70</v>
      </c>
      <c r="Y1" s="23" t="s">
        <v>98</v>
      </c>
      <c r="Z1" s="23" t="s">
        <v>75</v>
      </c>
      <c r="AA1" s="23" t="s">
        <v>71</v>
      </c>
      <c r="AB1" s="23" t="s">
        <v>72</v>
      </c>
      <c r="AC1" s="23" t="s">
        <v>73</v>
      </c>
      <c r="AD1" s="23" t="s">
        <v>74</v>
      </c>
      <c r="AE1" s="23" t="s">
        <v>54</v>
      </c>
    </row>
    <row r="2" spans="1:31" ht="30.75" customHeight="1" x14ac:dyDescent="0.25">
      <c r="A2" s="25"/>
      <c r="B2" s="26"/>
      <c r="C2" s="28"/>
      <c r="D2" s="26"/>
      <c r="E2" s="26"/>
      <c r="F2" s="23"/>
      <c r="G2" s="23"/>
      <c r="H2" s="23"/>
      <c r="I2" s="26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spans="1:31" s="9" customFormat="1" ht="13.2" x14ac:dyDescent="0.25">
      <c r="A3" s="7">
        <v>1</v>
      </c>
      <c r="B3" s="8">
        <v>2</v>
      </c>
      <c r="C3" s="7">
        <v>3</v>
      </c>
      <c r="D3" s="8">
        <v>4</v>
      </c>
      <c r="E3" s="7">
        <v>5</v>
      </c>
      <c r="F3" s="8">
        <v>6</v>
      </c>
      <c r="G3" s="7">
        <v>7</v>
      </c>
      <c r="H3" s="8">
        <v>8</v>
      </c>
      <c r="I3" s="7">
        <v>9</v>
      </c>
      <c r="J3" s="8">
        <v>10</v>
      </c>
      <c r="K3" s="7">
        <v>11</v>
      </c>
      <c r="L3" s="8">
        <v>12</v>
      </c>
      <c r="M3" s="7">
        <v>13</v>
      </c>
      <c r="N3" s="8">
        <v>14</v>
      </c>
      <c r="O3" s="7">
        <v>15</v>
      </c>
      <c r="P3" s="8">
        <v>16</v>
      </c>
      <c r="Q3" s="7">
        <v>17</v>
      </c>
      <c r="R3" s="8">
        <v>18</v>
      </c>
      <c r="S3" s="7">
        <v>19</v>
      </c>
      <c r="T3" s="8">
        <v>20</v>
      </c>
      <c r="U3" s="7">
        <v>21</v>
      </c>
      <c r="V3" s="8">
        <v>22</v>
      </c>
      <c r="W3" s="7">
        <v>23</v>
      </c>
      <c r="X3" s="8">
        <v>24</v>
      </c>
      <c r="Y3" s="7">
        <v>25</v>
      </c>
      <c r="Z3" s="8">
        <v>26</v>
      </c>
      <c r="AA3" s="7">
        <v>27</v>
      </c>
      <c r="AB3" s="8">
        <v>28</v>
      </c>
      <c r="AC3" s="7">
        <v>29</v>
      </c>
      <c r="AD3" s="8">
        <v>30</v>
      </c>
      <c r="AE3" s="7">
        <v>31</v>
      </c>
    </row>
    <row r="4" spans="1:31" ht="14.4" x14ac:dyDescent="0.3">
      <c r="A4" s="14">
        <v>1</v>
      </c>
      <c r="B4" s="15" t="s">
        <v>109</v>
      </c>
      <c r="C4" s="10">
        <v>9</v>
      </c>
      <c r="D4" s="10">
        <v>25</v>
      </c>
      <c r="E4" s="16">
        <v>365</v>
      </c>
      <c r="F4" s="22">
        <v>2.9999999999999997E-4</v>
      </c>
      <c r="G4" s="10">
        <v>1500</v>
      </c>
      <c r="H4" s="12">
        <v>1E-3</v>
      </c>
      <c r="I4" s="18">
        <v>10950</v>
      </c>
      <c r="J4" s="20">
        <v>9</v>
      </c>
      <c r="K4" s="19">
        <f t="shared" ref="K4:K67" si="0">(F4*G4*E4*J4)/(D4*I4)</f>
        <v>5.3999999999999994E-3</v>
      </c>
      <c r="L4" s="2">
        <f t="shared" ref="L4:L45" si="1">(F4*G4*E4*5)/(D4*I4)</f>
        <v>2.9999999999999996E-3</v>
      </c>
      <c r="M4" s="2">
        <f t="shared" ref="M4:M67" si="2">(F4*G4*E4*10)/(D4*I4)</f>
        <v>5.9999999999999993E-3</v>
      </c>
      <c r="N4" s="2">
        <f t="shared" ref="N4:N67" si="3">(F4*G4*E4*15)/(D4*I4)</f>
        <v>8.9999999999999976E-3</v>
      </c>
      <c r="O4" s="2">
        <f t="shared" ref="O4:O67" si="4">(F4*G4*E4*20)/(D4*I4)</f>
        <v>1.1999999999999999E-2</v>
      </c>
      <c r="P4" s="2">
        <f t="shared" ref="P4:P67" si="5">(F4*G4*E4*25)/(D4*I4)</f>
        <v>1.4999999999999996E-2</v>
      </c>
      <c r="Q4" s="2">
        <f t="shared" ref="Q4:Q67" si="6">(F4*G4*E4*30)/(D4*I4)</f>
        <v>1.7999999999999995E-2</v>
      </c>
      <c r="R4" s="2">
        <f t="shared" ref="R4:R67" si="7">K4/H4</f>
        <v>5.3999999999999995</v>
      </c>
      <c r="S4" s="2">
        <f t="shared" ref="S4:S42" si="8">L4/H4</f>
        <v>2.9999999999999996</v>
      </c>
      <c r="T4" s="2">
        <f t="shared" ref="T4:T67" si="9">M4/H4</f>
        <v>5.9999999999999991</v>
      </c>
      <c r="U4" s="2">
        <f t="shared" ref="U4:U43" si="10">N4/H4</f>
        <v>8.9999999999999982</v>
      </c>
      <c r="V4" s="2">
        <f t="shared" ref="V4:V43" si="11">O4/H4</f>
        <v>11.999999999999998</v>
      </c>
      <c r="W4" s="2">
        <f t="shared" ref="W4:W43" si="12">P4/H4</f>
        <v>14.999999999999996</v>
      </c>
      <c r="X4" s="2">
        <f t="shared" ref="X4:X43" si="13">Q4/H4</f>
        <v>17.999999999999996</v>
      </c>
      <c r="Y4" s="5" t="str">
        <f t="shared" ref="Y4:AE28" si="14">IF(R4&gt;1,"1","2")</f>
        <v>1</v>
      </c>
      <c r="Z4" s="5" t="str">
        <f t="shared" si="14"/>
        <v>1</v>
      </c>
      <c r="AA4" s="5" t="str">
        <f t="shared" si="14"/>
        <v>1</v>
      </c>
      <c r="AB4" s="5" t="str">
        <f t="shared" si="14"/>
        <v>1</v>
      </c>
      <c r="AC4" s="5" t="str">
        <f t="shared" si="14"/>
        <v>1</v>
      </c>
      <c r="AD4" s="5" t="str">
        <f t="shared" si="14"/>
        <v>1</v>
      </c>
      <c r="AE4" s="5" t="str">
        <f t="shared" si="14"/>
        <v>1</v>
      </c>
    </row>
    <row r="5" spans="1:31" ht="14.4" x14ac:dyDescent="0.3">
      <c r="A5" s="14">
        <v>2</v>
      </c>
      <c r="B5" s="15" t="s">
        <v>110</v>
      </c>
      <c r="C5" s="10">
        <v>9</v>
      </c>
      <c r="D5" s="10">
        <v>25</v>
      </c>
      <c r="E5" s="16">
        <v>365</v>
      </c>
      <c r="F5" s="22">
        <v>2.9999999999999997E-4</v>
      </c>
      <c r="G5" s="10">
        <v>900</v>
      </c>
      <c r="H5" s="12">
        <v>1E-3</v>
      </c>
      <c r="I5" s="18">
        <v>10950</v>
      </c>
      <c r="J5" s="20">
        <v>9</v>
      </c>
      <c r="K5" s="19">
        <f t="shared" si="0"/>
        <v>3.2399999999999994E-3</v>
      </c>
      <c r="L5" s="2">
        <f t="shared" si="1"/>
        <v>1.7999999999999995E-3</v>
      </c>
      <c r="M5" s="2">
        <f t="shared" si="2"/>
        <v>3.599999999999999E-3</v>
      </c>
      <c r="N5" s="2">
        <f t="shared" si="3"/>
        <v>5.3999999999999994E-3</v>
      </c>
      <c r="O5" s="2">
        <f t="shared" si="4"/>
        <v>7.1999999999999981E-3</v>
      </c>
      <c r="P5" s="2">
        <f t="shared" si="5"/>
        <v>8.9999999999999976E-3</v>
      </c>
      <c r="Q5" s="2">
        <f t="shared" si="6"/>
        <v>1.0799999999999999E-2</v>
      </c>
      <c r="R5" s="2">
        <f t="shared" si="7"/>
        <v>3.2399999999999993</v>
      </c>
      <c r="S5" s="2">
        <f t="shared" si="8"/>
        <v>1.7999999999999994</v>
      </c>
      <c r="T5" s="2">
        <f t="shared" si="9"/>
        <v>3.5999999999999988</v>
      </c>
      <c r="U5" s="2">
        <f t="shared" si="10"/>
        <v>5.3999999999999995</v>
      </c>
      <c r="V5" s="2">
        <f t="shared" si="11"/>
        <v>7.1999999999999975</v>
      </c>
      <c r="W5" s="2">
        <f t="shared" si="12"/>
        <v>8.9999999999999982</v>
      </c>
      <c r="X5" s="2">
        <f t="shared" si="13"/>
        <v>10.799999999999999</v>
      </c>
      <c r="Y5" s="5" t="str">
        <f t="shared" si="14"/>
        <v>1</v>
      </c>
      <c r="Z5" s="5" t="str">
        <f t="shared" si="14"/>
        <v>1</v>
      </c>
      <c r="AA5" s="5" t="str">
        <f t="shared" si="14"/>
        <v>1</v>
      </c>
      <c r="AB5" s="5" t="str">
        <f t="shared" si="14"/>
        <v>1</v>
      </c>
      <c r="AC5" s="5" t="str">
        <f t="shared" si="14"/>
        <v>1</v>
      </c>
      <c r="AD5" s="5" t="str">
        <f t="shared" si="14"/>
        <v>1</v>
      </c>
      <c r="AE5" s="5" t="str">
        <f t="shared" si="14"/>
        <v>1</v>
      </c>
    </row>
    <row r="6" spans="1:31" ht="14.4" x14ac:dyDescent="0.3">
      <c r="A6" s="14">
        <v>3</v>
      </c>
      <c r="B6" s="15" t="s">
        <v>111</v>
      </c>
      <c r="C6" s="10">
        <v>9</v>
      </c>
      <c r="D6" s="10">
        <v>25</v>
      </c>
      <c r="E6" s="16">
        <v>365</v>
      </c>
      <c r="F6" s="22">
        <v>2.9999999999999997E-4</v>
      </c>
      <c r="G6" s="10">
        <v>900</v>
      </c>
      <c r="H6" s="12">
        <v>1E-3</v>
      </c>
      <c r="I6" s="18">
        <v>10950</v>
      </c>
      <c r="J6" s="20">
        <v>9</v>
      </c>
      <c r="K6" s="19">
        <f t="shared" si="0"/>
        <v>3.2399999999999994E-3</v>
      </c>
      <c r="L6" s="2">
        <f t="shared" si="1"/>
        <v>1.7999999999999995E-3</v>
      </c>
      <c r="M6" s="2">
        <f t="shared" si="2"/>
        <v>3.599999999999999E-3</v>
      </c>
      <c r="N6" s="2">
        <f t="shared" si="3"/>
        <v>5.3999999999999994E-3</v>
      </c>
      <c r="O6" s="2">
        <f t="shared" si="4"/>
        <v>7.1999999999999981E-3</v>
      </c>
      <c r="P6" s="2">
        <f t="shared" si="5"/>
        <v>8.9999999999999976E-3</v>
      </c>
      <c r="Q6" s="2">
        <f t="shared" si="6"/>
        <v>1.0799999999999999E-2</v>
      </c>
      <c r="R6" s="2">
        <f t="shared" si="7"/>
        <v>3.2399999999999993</v>
      </c>
      <c r="S6" s="2">
        <f t="shared" si="8"/>
        <v>1.7999999999999994</v>
      </c>
      <c r="T6" s="2">
        <f t="shared" si="9"/>
        <v>3.5999999999999988</v>
      </c>
      <c r="U6" s="2">
        <f t="shared" si="10"/>
        <v>5.3999999999999995</v>
      </c>
      <c r="V6" s="2">
        <f t="shared" si="11"/>
        <v>7.1999999999999975</v>
      </c>
      <c r="W6" s="2">
        <f t="shared" si="12"/>
        <v>8.9999999999999982</v>
      </c>
      <c r="X6" s="2">
        <f t="shared" si="13"/>
        <v>10.799999999999999</v>
      </c>
      <c r="Y6" s="5" t="str">
        <f t="shared" si="14"/>
        <v>1</v>
      </c>
      <c r="Z6" s="5" t="str">
        <f t="shared" si="14"/>
        <v>1</v>
      </c>
      <c r="AA6" s="5" t="str">
        <f t="shared" si="14"/>
        <v>1</v>
      </c>
      <c r="AB6" s="5" t="str">
        <f t="shared" si="14"/>
        <v>1</v>
      </c>
      <c r="AC6" s="5" t="str">
        <f t="shared" si="14"/>
        <v>1</v>
      </c>
      <c r="AD6" s="5" t="str">
        <f t="shared" si="14"/>
        <v>1</v>
      </c>
      <c r="AE6" s="5" t="str">
        <f t="shared" si="14"/>
        <v>1</v>
      </c>
    </row>
    <row r="7" spans="1:31" ht="14.4" x14ac:dyDescent="0.3">
      <c r="A7" s="14">
        <v>4</v>
      </c>
      <c r="B7" s="15" t="s">
        <v>112</v>
      </c>
      <c r="C7" s="10">
        <v>9</v>
      </c>
      <c r="D7" s="10">
        <v>23</v>
      </c>
      <c r="E7" s="16">
        <v>365</v>
      </c>
      <c r="F7" s="22">
        <v>2.9999999999999997E-4</v>
      </c>
      <c r="G7" s="10">
        <v>1500</v>
      </c>
      <c r="H7" s="12">
        <v>1E-3</v>
      </c>
      <c r="I7" s="18">
        <v>10950</v>
      </c>
      <c r="J7" s="20">
        <v>9</v>
      </c>
      <c r="K7" s="19">
        <f t="shared" si="0"/>
        <v>5.8695652173913031E-3</v>
      </c>
      <c r="L7" s="2">
        <f t="shared" si="1"/>
        <v>3.2608695652173907E-3</v>
      </c>
      <c r="M7" s="2">
        <f t="shared" si="2"/>
        <v>6.5217391304347814E-3</v>
      </c>
      <c r="N7" s="2">
        <f t="shared" si="3"/>
        <v>9.7826086956521729E-3</v>
      </c>
      <c r="O7" s="2">
        <f t="shared" si="4"/>
        <v>1.3043478260869563E-2</v>
      </c>
      <c r="P7" s="2">
        <f t="shared" si="5"/>
        <v>1.6304347826086953E-2</v>
      </c>
      <c r="Q7" s="2">
        <f t="shared" si="6"/>
        <v>1.9565217391304346E-2</v>
      </c>
      <c r="R7" s="2">
        <f t="shared" si="7"/>
        <v>5.8695652173913029</v>
      </c>
      <c r="S7" s="2">
        <f t="shared" si="8"/>
        <v>3.2608695652173907</v>
      </c>
      <c r="T7" s="2">
        <f t="shared" si="9"/>
        <v>6.5217391304347814</v>
      </c>
      <c r="U7" s="2">
        <f t="shared" si="10"/>
        <v>9.7826086956521721</v>
      </c>
      <c r="V7" s="2">
        <f t="shared" si="11"/>
        <v>13.043478260869563</v>
      </c>
      <c r="W7" s="2">
        <f t="shared" si="12"/>
        <v>16.304347826086953</v>
      </c>
      <c r="X7" s="2">
        <f t="shared" si="13"/>
        <v>19.565217391304344</v>
      </c>
      <c r="Y7" s="5" t="str">
        <f t="shared" si="14"/>
        <v>1</v>
      </c>
      <c r="Z7" s="5" t="str">
        <f t="shared" si="14"/>
        <v>1</v>
      </c>
      <c r="AA7" s="5" t="str">
        <f t="shared" si="14"/>
        <v>1</v>
      </c>
      <c r="AB7" s="5" t="str">
        <f t="shared" si="14"/>
        <v>1</v>
      </c>
      <c r="AC7" s="5" t="str">
        <f t="shared" si="14"/>
        <v>1</v>
      </c>
      <c r="AD7" s="5" t="str">
        <f t="shared" si="14"/>
        <v>1</v>
      </c>
      <c r="AE7" s="5" t="str">
        <f t="shared" si="14"/>
        <v>1</v>
      </c>
    </row>
    <row r="8" spans="1:31" ht="14.4" x14ac:dyDescent="0.3">
      <c r="A8" s="14">
        <v>5</v>
      </c>
      <c r="B8" s="15" t="s">
        <v>113</v>
      </c>
      <c r="C8" s="10">
        <v>9</v>
      </c>
      <c r="D8" s="10">
        <v>20</v>
      </c>
      <c r="E8" s="16">
        <v>365</v>
      </c>
      <c r="F8" s="22">
        <v>2.9999999999999997E-4</v>
      </c>
      <c r="G8" s="10">
        <v>2100</v>
      </c>
      <c r="H8" s="12">
        <v>1E-3</v>
      </c>
      <c r="I8" s="18">
        <v>10950</v>
      </c>
      <c r="J8" s="20">
        <v>9</v>
      </c>
      <c r="K8" s="19">
        <f t="shared" si="0"/>
        <v>9.4499999999999983E-3</v>
      </c>
      <c r="L8" s="2">
        <f t="shared" si="1"/>
        <v>5.2499999999999986E-3</v>
      </c>
      <c r="M8" s="2">
        <f t="shared" si="2"/>
        <v>1.0499999999999997E-2</v>
      </c>
      <c r="N8" s="2">
        <f t="shared" si="3"/>
        <v>1.5749999999999997E-2</v>
      </c>
      <c r="O8" s="2">
        <f t="shared" si="4"/>
        <v>2.0999999999999994E-2</v>
      </c>
      <c r="P8" s="2">
        <f t="shared" si="5"/>
        <v>2.6249999999999996E-2</v>
      </c>
      <c r="Q8" s="2">
        <f t="shared" si="6"/>
        <v>3.1499999999999993E-2</v>
      </c>
      <c r="R8" s="2">
        <f t="shared" si="7"/>
        <v>9.4499999999999975</v>
      </c>
      <c r="S8" s="2">
        <f t="shared" si="8"/>
        <v>5.2499999999999982</v>
      </c>
      <c r="T8" s="2">
        <f t="shared" si="9"/>
        <v>10.499999999999996</v>
      </c>
      <c r="U8" s="2">
        <f t="shared" si="10"/>
        <v>15.749999999999996</v>
      </c>
      <c r="V8" s="2">
        <f t="shared" si="11"/>
        <v>20.999999999999993</v>
      </c>
      <c r="W8" s="2">
        <f t="shared" si="12"/>
        <v>26.249999999999996</v>
      </c>
      <c r="X8" s="2">
        <f t="shared" si="13"/>
        <v>31.499999999999993</v>
      </c>
      <c r="Y8" s="5" t="str">
        <f t="shared" si="14"/>
        <v>1</v>
      </c>
      <c r="Z8" s="5" t="str">
        <f t="shared" si="14"/>
        <v>1</v>
      </c>
      <c r="AA8" s="5" t="str">
        <f t="shared" si="14"/>
        <v>1</v>
      </c>
      <c r="AB8" s="5" t="str">
        <f t="shared" si="14"/>
        <v>1</v>
      </c>
      <c r="AC8" s="5" t="str">
        <f t="shared" si="14"/>
        <v>1</v>
      </c>
      <c r="AD8" s="5" t="str">
        <f t="shared" si="14"/>
        <v>1</v>
      </c>
      <c r="AE8" s="5" t="str">
        <f t="shared" si="14"/>
        <v>1</v>
      </c>
    </row>
    <row r="9" spans="1:31" ht="14.4" x14ac:dyDescent="0.3">
      <c r="A9" s="14">
        <v>6</v>
      </c>
      <c r="B9" s="15" t="s">
        <v>114</v>
      </c>
      <c r="C9" s="10">
        <v>9</v>
      </c>
      <c r="D9" s="10">
        <v>40</v>
      </c>
      <c r="E9" s="16">
        <v>365</v>
      </c>
      <c r="F9" s="22">
        <v>2.9999999999999997E-4</v>
      </c>
      <c r="G9" s="10">
        <v>900</v>
      </c>
      <c r="H9" s="12">
        <v>1E-3</v>
      </c>
      <c r="I9" s="18">
        <v>10950</v>
      </c>
      <c r="J9" s="20">
        <v>5</v>
      </c>
      <c r="K9" s="19">
        <f t="shared" si="0"/>
        <v>1.1249999999999997E-3</v>
      </c>
      <c r="L9" s="2">
        <f t="shared" si="1"/>
        <v>1.1249999999999997E-3</v>
      </c>
      <c r="M9" s="2">
        <f t="shared" si="2"/>
        <v>2.2499999999999994E-3</v>
      </c>
      <c r="N9" s="2">
        <f t="shared" si="3"/>
        <v>3.3749999999999995E-3</v>
      </c>
      <c r="O9" s="2">
        <f t="shared" si="4"/>
        <v>4.4999999999999988E-3</v>
      </c>
      <c r="P9" s="2">
        <f t="shared" si="5"/>
        <v>5.6249999999999989E-3</v>
      </c>
      <c r="Q9" s="2">
        <f t="shared" si="6"/>
        <v>6.7499999999999991E-3</v>
      </c>
      <c r="R9" s="2">
        <f t="shared" si="7"/>
        <v>1.1249999999999998</v>
      </c>
      <c r="S9" s="2">
        <f t="shared" si="8"/>
        <v>1.1249999999999998</v>
      </c>
      <c r="T9" s="2">
        <f t="shared" si="9"/>
        <v>2.2499999999999996</v>
      </c>
      <c r="U9" s="2">
        <f t="shared" si="10"/>
        <v>3.3749999999999996</v>
      </c>
      <c r="V9" s="2">
        <f t="shared" si="11"/>
        <v>4.4999999999999991</v>
      </c>
      <c r="W9" s="2">
        <f t="shared" si="12"/>
        <v>5.6249999999999991</v>
      </c>
      <c r="X9" s="2">
        <f t="shared" si="13"/>
        <v>6.7499999999999991</v>
      </c>
      <c r="Y9" s="5" t="str">
        <f t="shared" si="14"/>
        <v>1</v>
      </c>
      <c r="Z9" s="5" t="str">
        <f t="shared" si="14"/>
        <v>1</v>
      </c>
      <c r="AA9" s="5" t="str">
        <f t="shared" si="14"/>
        <v>1</v>
      </c>
      <c r="AB9" s="5" t="str">
        <f t="shared" si="14"/>
        <v>1</v>
      </c>
      <c r="AC9" s="5" t="str">
        <f t="shared" si="14"/>
        <v>1</v>
      </c>
      <c r="AD9" s="5" t="str">
        <f t="shared" si="14"/>
        <v>1</v>
      </c>
      <c r="AE9" s="5" t="str">
        <f t="shared" si="14"/>
        <v>1</v>
      </c>
    </row>
    <row r="10" spans="1:31" ht="14.4" x14ac:dyDescent="0.3">
      <c r="A10" s="14">
        <v>7</v>
      </c>
      <c r="B10" s="15" t="s">
        <v>115</v>
      </c>
      <c r="C10" s="10">
        <v>9</v>
      </c>
      <c r="D10" s="10">
        <v>22</v>
      </c>
      <c r="E10" s="16">
        <v>365</v>
      </c>
      <c r="F10" s="22">
        <v>2.9999999999999997E-4</v>
      </c>
      <c r="G10" s="10">
        <v>900</v>
      </c>
      <c r="H10" s="12">
        <v>1E-3</v>
      </c>
      <c r="I10" s="18">
        <v>10950</v>
      </c>
      <c r="J10" s="20">
        <v>9</v>
      </c>
      <c r="K10" s="19">
        <f t="shared" si="0"/>
        <v>3.6818181818181811E-3</v>
      </c>
      <c r="L10" s="2">
        <f t="shared" si="1"/>
        <v>2.0454545454545452E-3</v>
      </c>
      <c r="M10" s="2">
        <f t="shared" si="2"/>
        <v>4.0909090909090904E-3</v>
      </c>
      <c r="N10" s="2">
        <f t="shared" si="3"/>
        <v>6.1363636363636351E-3</v>
      </c>
      <c r="O10" s="2">
        <f t="shared" si="4"/>
        <v>8.1818181818181807E-3</v>
      </c>
      <c r="P10" s="2">
        <f t="shared" si="5"/>
        <v>1.0227272727272725E-2</v>
      </c>
      <c r="Q10" s="2">
        <f t="shared" si="6"/>
        <v>1.227272727272727E-2</v>
      </c>
      <c r="R10" s="2">
        <f t="shared" si="7"/>
        <v>3.6818181818181808</v>
      </c>
      <c r="S10" s="2">
        <f t="shared" si="8"/>
        <v>2.045454545454545</v>
      </c>
      <c r="T10" s="2">
        <f t="shared" si="9"/>
        <v>4.0909090909090899</v>
      </c>
      <c r="U10" s="2">
        <f t="shared" si="10"/>
        <v>6.1363636363636349</v>
      </c>
      <c r="V10" s="2">
        <f t="shared" si="11"/>
        <v>8.1818181818181799</v>
      </c>
      <c r="W10" s="2">
        <f t="shared" si="12"/>
        <v>10.227272727272725</v>
      </c>
      <c r="X10" s="2">
        <f t="shared" si="13"/>
        <v>12.27272727272727</v>
      </c>
      <c r="Y10" s="5" t="str">
        <f t="shared" si="14"/>
        <v>1</v>
      </c>
      <c r="Z10" s="5" t="str">
        <f t="shared" si="14"/>
        <v>1</v>
      </c>
      <c r="AA10" s="5" t="str">
        <f t="shared" si="14"/>
        <v>1</v>
      </c>
      <c r="AB10" s="5" t="str">
        <f t="shared" si="14"/>
        <v>1</v>
      </c>
      <c r="AC10" s="5" t="str">
        <f t="shared" si="14"/>
        <v>1</v>
      </c>
      <c r="AD10" s="5" t="str">
        <f t="shared" si="14"/>
        <v>1</v>
      </c>
      <c r="AE10" s="5" t="str">
        <f t="shared" si="14"/>
        <v>1</v>
      </c>
    </row>
    <row r="11" spans="1:31" ht="14.4" x14ac:dyDescent="0.3">
      <c r="A11" s="14">
        <v>8</v>
      </c>
      <c r="B11" s="15" t="s">
        <v>116</v>
      </c>
      <c r="C11" s="10">
        <v>9</v>
      </c>
      <c r="D11" s="10">
        <v>20</v>
      </c>
      <c r="E11" s="16">
        <v>365</v>
      </c>
      <c r="F11" s="22">
        <v>2.9999999999999997E-4</v>
      </c>
      <c r="G11" s="10">
        <v>900</v>
      </c>
      <c r="H11" s="12">
        <v>1E-3</v>
      </c>
      <c r="I11" s="18">
        <v>10950</v>
      </c>
      <c r="J11" s="20">
        <v>6</v>
      </c>
      <c r="K11" s="19">
        <f t="shared" si="0"/>
        <v>2.6999999999999997E-3</v>
      </c>
      <c r="L11" s="2">
        <f t="shared" si="1"/>
        <v>2.2499999999999994E-3</v>
      </c>
      <c r="M11" s="2">
        <f t="shared" si="2"/>
        <v>4.4999999999999988E-3</v>
      </c>
      <c r="N11" s="2">
        <f t="shared" si="3"/>
        <v>6.7499999999999991E-3</v>
      </c>
      <c r="O11" s="2">
        <f t="shared" si="4"/>
        <v>8.9999999999999976E-3</v>
      </c>
      <c r="P11" s="2">
        <f t="shared" si="5"/>
        <v>1.1249999999999998E-2</v>
      </c>
      <c r="Q11" s="2">
        <f t="shared" si="6"/>
        <v>1.3499999999999998E-2</v>
      </c>
      <c r="R11" s="2">
        <f t="shared" si="7"/>
        <v>2.6999999999999997</v>
      </c>
      <c r="S11" s="2">
        <f t="shared" si="8"/>
        <v>2.2499999999999996</v>
      </c>
      <c r="T11" s="2">
        <f t="shared" si="9"/>
        <v>4.4999999999999991</v>
      </c>
      <c r="U11" s="2">
        <f t="shared" si="10"/>
        <v>6.7499999999999991</v>
      </c>
      <c r="V11" s="2">
        <f t="shared" si="11"/>
        <v>8.9999999999999982</v>
      </c>
      <c r="W11" s="2">
        <f t="shared" si="12"/>
        <v>11.249999999999998</v>
      </c>
      <c r="X11" s="2">
        <f t="shared" si="13"/>
        <v>13.499999999999998</v>
      </c>
      <c r="Y11" s="5" t="str">
        <f t="shared" si="14"/>
        <v>1</v>
      </c>
      <c r="Z11" s="5" t="str">
        <f t="shared" si="14"/>
        <v>1</v>
      </c>
      <c r="AA11" s="5" t="str">
        <f t="shared" si="14"/>
        <v>1</v>
      </c>
      <c r="AB11" s="5" t="str">
        <f t="shared" si="14"/>
        <v>1</v>
      </c>
      <c r="AC11" s="5" t="str">
        <f t="shared" si="14"/>
        <v>1</v>
      </c>
      <c r="AD11" s="5" t="str">
        <f t="shared" si="14"/>
        <v>1</v>
      </c>
      <c r="AE11" s="5" t="str">
        <f t="shared" si="14"/>
        <v>1</v>
      </c>
    </row>
    <row r="12" spans="1:31" ht="14.4" x14ac:dyDescent="0.3">
      <c r="A12" s="14">
        <v>9</v>
      </c>
      <c r="B12" s="15" t="s">
        <v>117</v>
      </c>
      <c r="C12" s="10">
        <v>9</v>
      </c>
      <c r="D12" s="10">
        <v>39</v>
      </c>
      <c r="E12" s="16">
        <v>365</v>
      </c>
      <c r="F12" s="22">
        <v>2.9999999999999997E-4</v>
      </c>
      <c r="G12" s="10">
        <v>900</v>
      </c>
      <c r="H12" s="12">
        <v>1E-3</v>
      </c>
      <c r="I12" s="18">
        <v>10950</v>
      </c>
      <c r="J12" s="20">
        <v>1</v>
      </c>
      <c r="K12" s="19">
        <f t="shared" si="0"/>
        <v>2.3076923076923074E-4</v>
      </c>
      <c r="L12" s="2">
        <f t="shared" si="1"/>
        <v>1.1538461538461535E-3</v>
      </c>
      <c r="M12" s="2">
        <f t="shared" si="2"/>
        <v>2.307692307692307E-3</v>
      </c>
      <c r="N12" s="2">
        <f t="shared" si="3"/>
        <v>3.4615384615384612E-3</v>
      </c>
      <c r="O12" s="2">
        <f t="shared" si="4"/>
        <v>4.6153846153846141E-3</v>
      </c>
      <c r="P12" s="2">
        <f t="shared" si="5"/>
        <v>5.7692307692307678E-3</v>
      </c>
      <c r="Q12" s="2">
        <f t="shared" si="6"/>
        <v>6.9230769230769224E-3</v>
      </c>
      <c r="R12" s="2">
        <f t="shared" si="7"/>
        <v>0.23076923076923073</v>
      </c>
      <c r="S12" s="2">
        <f t="shared" si="8"/>
        <v>1.1538461538461535</v>
      </c>
      <c r="T12" s="2">
        <f t="shared" si="9"/>
        <v>2.307692307692307</v>
      </c>
      <c r="U12" s="2">
        <f t="shared" si="10"/>
        <v>3.4615384615384612</v>
      </c>
      <c r="V12" s="2">
        <f t="shared" si="11"/>
        <v>4.6153846153846141</v>
      </c>
      <c r="W12" s="2">
        <f t="shared" si="12"/>
        <v>5.7692307692307674</v>
      </c>
      <c r="X12" s="2">
        <f t="shared" si="13"/>
        <v>6.9230769230769225</v>
      </c>
      <c r="Y12" s="5" t="str">
        <f t="shared" si="14"/>
        <v>2</v>
      </c>
      <c r="Z12" s="5" t="str">
        <f t="shared" si="14"/>
        <v>1</v>
      </c>
      <c r="AA12" s="5" t="str">
        <f t="shared" si="14"/>
        <v>1</v>
      </c>
      <c r="AB12" s="5" t="str">
        <f t="shared" si="14"/>
        <v>1</v>
      </c>
      <c r="AC12" s="5" t="str">
        <f t="shared" si="14"/>
        <v>1</v>
      </c>
      <c r="AD12" s="5" t="str">
        <f t="shared" si="14"/>
        <v>1</v>
      </c>
      <c r="AE12" s="5" t="str">
        <f t="shared" si="14"/>
        <v>1</v>
      </c>
    </row>
    <row r="13" spans="1:31" ht="14.4" x14ac:dyDescent="0.3">
      <c r="A13" s="14">
        <v>10</v>
      </c>
      <c r="B13" s="15" t="s">
        <v>118</v>
      </c>
      <c r="C13" s="10">
        <v>9</v>
      </c>
      <c r="D13" s="10">
        <v>26</v>
      </c>
      <c r="E13" s="16">
        <v>365</v>
      </c>
      <c r="F13" s="22">
        <v>2.9999999999999997E-4</v>
      </c>
      <c r="G13" s="10">
        <v>900</v>
      </c>
      <c r="H13" s="12">
        <v>1E-3</v>
      </c>
      <c r="I13" s="18">
        <v>10950</v>
      </c>
      <c r="J13" s="20">
        <v>9</v>
      </c>
      <c r="K13" s="19">
        <f t="shared" si="0"/>
        <v>3.1153846153846149E-3</v>
      </c>
      <c r="L13" s="2">
        <f t="shared" si="1"/>
        <v>1.7307692307692304E-3</v>
      </c>
      <c r="M13" s="2">
        <f t="shared" si="2"/>
        <v>3.4615384615384608E-3</v>
      </c>
      <c r="N13" s="2">
        <f t="shared" si="3"/>
        <v>5.1923076923076914E-3</v>
      </c>
      <c r="O13" s="2">
        <f t="shared" si="4"/>
        <v>6.9230769230769216E-3</v>
      </c>
      <c r="P13" s="2">
        <f t="shared" si="5"/>
        <v>8.6538461538461526E-3</v>
      </c>
      <c r="Q13" s="2">
        <f t="shared" si="6"/>
        <v>1.0384615384615383E-2</v>
      </c>
      <c r="R13" s="2">
        <f t="shared" si="7"/>
        <v>3.115384615384615</v>
      </c>
      <c r="S13" s="2">
        <f t="shared" si="8"/>
        <v>1.7307692307692304</v>
      </c>
      <c r="T13" s="2">
        <f t="shared" si="9"/>
        <v>3.4615384615384608</v>
      </c>
      <c r="U13" s="2">
        <f t="shared" si="10"/>
        <v>5.1923076923076916</v>
      </c>
      <c r="V13" s="2">
        <f t="shared" si="11"/>
        <v>6.9230769230769216</v>
      </c>
      <c r="W13" s="2">
        <f t="shared" si="12"/>
        <v>8.6538461538461533</v>
      </c>
      <c r="X13" s="2">
        <f t="shared" si="13"/>
        <v>10.384615384615383</v>
      </c>
      <c r="Y13" s="5" t="str">
        <f t="shared" si="14"/>
        <v>1</v>
      </c>
      <c r="Z13" s="5" t="str">
        <f t="shared" si="14"/>
        <v>1</v>
      </c>
      <c r="AA13" s="5" t="str">
        <f t="shared" si="14"/>
        <v>1</v>
      </c>
      <c r="AB13" s="5" t="str">
        <f t="shared" si="14"/>
        <v>1</v>
      </c>
      <c r="AC13" s="5" t="str">
        <f t="shared" si="14"/>
        <v>1</v>
      </c>
      <c r="AD13" s="5" t="str">
        <f t="shared" si="14"/>
        <v>1</v>
      </c>
      <c r="AE13" s="5" t="str">
        <f t="shared" si="14"/>
        <v>1</v>
      </c>
    </row>
    <row r="14" spans="1:31" ht="14.4" x14ac:dyDescent="0.3">
      <c r="A14" s="14">
        <v>11</v>
      </c>
      <c r="B14" s="15" t="s">
        <v>119</v>
      </c>
      <c r="C14" s="10">
        <v>9</v>
      </c>
      <c r="D14" s="10">
        <v>25</v>
      </c>
      <c r="E14" s="16">
        <v>365</v>
      </c>
      <c r="F14" s="22">
        <v>2.9999999999999997E-4</v>
      </c>
      <c r="G14" s="10">
        <v>900</v>
      </c>
      <c r="H14" s="12">
        <v>1E-3</v>
      </c>
      <c r="I14" s="18">
        <v>10950</v>
      </c>
      <c r="J14" s="20">
        <v>1</v>
      </c>
      <c r="K14" s="19">
        <f t="shared" si="0"/>
        <v>3.5999999999999991E-4</v>
      </c>
      <c r="L14" s="2">
        <f t="shared" si="1"/>
        <v>1.7999999999999995E-3</v>
      </c>
      <c r="M14" s="2">
        <f t="shared" si="2"/>
        <v>3.599999999999999E-3</v>
      </c>
      <c r="N14" s="2">
        <f t="shared" si="3"/>
        <v>5.3999999999999994E-3</v>
      </c>
      <c r="O14" s="2">
        <f t="shared" si="4"/>
        <v>7.1999999999999981E-3</v>
      </c>
      <c r="P14" s="2">
        <f t="shared" si="5"/>
        <v>8.9999999999999976E-3</v>
      </c>
      <c r="Q14" s="2">
        <f t="shared" si="6"/>
        <v>1.0799999999999999E-2</v>
      </c>
      <c r="R14" s="2">
        <f t="shared" si="7"/>
        <v>0.35999999999999993</v>
      </c>
      <c r="S14" s="2">
        <f t="shared" si="8"/>
        <v>1.7999999999999994</v>
      </c>
      <c r="T14" s="2">
        <f t="shared" si="9"/>
        <v>3.5999999999999988</v>
      </c>
      <c r="U14" s="2">
        <f t="shared" si="10"/>
        <v>5.3999999999999995</v>
      </c>
      <c r="V14" s="2">
        <f t="shared" si="11"/>
        <v>7.1999999999999975</v>
      </c>
      <c r="W14" s="2">
        <f t="shared" si="12"/>
        <v>8.9999999999999982</v>
      </c>
      <c r="X14" s="2">
        <f t="shared" si="13"/>
        <v>10.799999999999999</v>
      </c>
      <c r="Y14" s="5" t="str">
        <f t="shared" si="14"/>
        <v>2</v>
      </c>
      <c r="Z14" s="5" t="str">
        <f t="shared" si="14"/>
        <v>1</v>
      </c>
      <c r="AA14" s="5" t="str">
        <f t="shared" si="14"/>
        <v>1</v>
      </c>
      <c r="AB14" s="5" t="str">
        <f t="shared" si="14"/>
        <v>1</v>
      </c>
      <c r="AC14" s="5" t="str">
        <f t="shared" si="14"/>
        <v>1</v>
      </c>
      <c r="AD14" s="5" t="str">
        <f t="shared" si="14"/>
        <v>1</v>
      </c>
      <c r="AE14" s="5" t="str">
        <f t="shared" si="14"/>
        <v>1</v>
      </c>
    </row>
    <row r="15" spans="1:31" ht="14.4" x14ac:dyDescent="0.3">
      <c r="A15" s="14">
        <v>12</v>
      </c>
      <c r="B15" s="15" t="s">
        <v>120</v>
      </c>
      <c r="C15" s="10">
        <v>9</v>
      </c>
      <c r="D15" s="10">
        <v>32</v>
      </c>
      <c r="E15" s="16">
        <v>365</v>
      </c>
      <c r="F15" s="22">
        <v>2.9999999999999997E-4</v>
      </c>
      <c r="G15" s="10">
        <v>900</v>
      </c>
      <c r="H15" s="12">
        <v>1E-3</v>
      </c>
      <c r="I15" s="18">
        <v>10950</v>
      </c>
      <c r="J15" s="20">
        <v>9</v>
      </c>
      <c r="K15" s="19">
        <f t="shared" si="0"/>
        <v>2.5312499999999996E-3</v>
      </c>
      <c r="L15" s="2">
        <f t="shared" si="1"/>
        <v>1.4062499999999997E-3</v>
      </c>
      <c r="M15" s="2">
        <f t="shared" si="2"/>
        <v>2.8124999999999995E-3</v>
      </c>
      <c r="N15" s="2">
        <f t="shared" si="3"/>
        <v>4.2187499999999994E-3</v>
      </c>
      <c r="O15" s="2">
        <f t="shared" si="4"/>
        <v>5.6249999999999989E-3</v>
      </c>
      <c r="P15" s="2">
        <f t="shared" si="5"/>
        <v>7.0312499999999984E-3</v>
      </c>
      <c r="Q15" s="2">
        <f t="shared" si="6"/>
        <v>8.4374999999999988E-3</v>
      </c>
      <c r="R15" s="2">
        <f t="shared" si="7"/>
        <v>2.5312499999999996</v>
      </c>
      <c r="S15" s="2">
        <f t="shared" si="8"/>
        <v>1.4062499999999998</v>
      </c>
      <c r="T15" s="2">
        <f t="shared" si="9"/>
        <v>2.8124999999999996</v>
      </c>
      <c r="U15" s="2">
        <f t="shared" si="10"/>
        <v>4.2187499999999991</v>
      </c>
      <c r="V15" s="2">
        <f t="shared" si="11"/>
        <v>5.6249999999999991</v>
      </c>
      <c r="W15" s="2">
        <f t="shared" si="12"/>
        <v>7.0312499999999982</v>
      </c>
      <c r="X15" s="2">
        <f t="shared" si="13"/>
        <v>8.4374999999999982</v>
      </c>
      <c r="Y15" s="5" t="str">
        <f t="shared" si="14"/>
        <v>1</v>
      </c>
      <c r="Z15" s="5" t="str">
        <f t="shared" si="14"/>
        <v>1</v>
      </c>
      <c r="AA15" s="5" t="str">
        <f t="shared" si="14"/>
        <v>1</v>
      </c>
      <c r="AB15" s="5" t="str">
        <f t="shared" si="14"/>
        <v>1</v>
      </c>
      <c r="AC15" s="5" t="str">
        <f t="shared" si="14"/>
        <v>1</v>
      </c>
      <c r="AD15" s="5" t="str">
        <f t="shared" si="14"/>
        <v>1</v>
      </c>
      <c r="AE15" s="5" t="str">
        <f t="shared" si="14"/>
        <v>1</v>
      </c>
    </row>
    <row r="16" spans="1:31" ht="14.4" x14ac:dyDescent="0.3">
      <c r="A16" s="14">
        <v>13</v>
      </c>
      <c r="B16" s="15" t="s">
        <v>121</v>
      </c>
      <c r="C16" s="10">
        <v>9</v>
      </c>
      <c r="D16" s="10">
        <v>24</v>
      </c>
      <c r="E16" s="16">
        <v>365</v>
      </c>
      <c r="F16" s="22">
        <v>2.9999999999999997E-4</v>
      </c>
      <c r="G16" s="10">
        <v>900</v>
      </c>
      <c r="H16" s="12">
        <v>1E-3</v>
      </c>
      <c r="I16" s="18">
        <v>10950</v>
      </c>
      <c r="J16" s="20">
        <v>9</v>
      </c>
      <c r="K16" s="19">
        <f t="shared" si="0"/>
        <v>3.3749999999999991E-3</v>
      </c>
      <c r="L16" s="2">
        <f t="shared" si="1"/>
        <v>1.8749999999999995E-3</v>
      </c>
      <c r="M16" s="2">
        <f t="shared" si="2"/>
        <v>3.749999999999999E-3</v>
      </c>
      <c r="N16" s="2">
        <f t="shared" si="3"/>
        <v>5.6249999999999989E-3</v>
      </c>
      <c r="O16" s="2">
        <f t="shared" si="4"/>
        <v>7.499999999999998E-3</v>
      </c>
      <c r="P16" s="2">
        <f t="shared" si="5"/>
        <v>9.3749999999999979E-3</v>
      </c>
      <c r="Q16" s="2">
        <f t="shared" si="6"/>
        <v>1.1249999999999998E-2</v>
      </c>
      <c r="R16" s="2">
        <f t="shared" si="7"/>
        <v>3.3749999999999991</v>
      </c>
      <c r="S16" s="2">
        <f t="shared" si="8"/>
        <v>1.8749999999999996</v>
      </c>
      <c r="T16" s="2">
        <f t="shared" si="9"/>
        <v>3.7499999999999991</v>
      </c>
      <c r="U16" s="2">
        <f t="shared" si="10"/>
        <v>5.6249999999999991</v>
      </c>
      <c r="V16" s="2">
        <f t="shared" si="11"/>
        <v>7.4999999999999982</v>
      </c>
      <c r="W16" s="2">
        <f t="shared" si="12"/>
        <v>9.3749999999999982</v>
      </c>
      <c r="X16" s="2">
        <f t="shared" si="13"/>
        <v>11.249999999999998</v>
      </c>
      <c r="Y16" s="5" t="str">
        <f t="shared" si="14"/>
        <v>1</v>
      </c>
      <c r="Z16" s="5" t="str">
        <f t="shared" si="14"/>
        <v>1</v>
      </c>
      <c r="AA16" s="5" t="str">
        <f t="shared" si="14"/>
        <v>1</v>
      </c>
      <c r="AB16" s="5" t="str">
        <f t="shared" si="14"/>
        <v>1</v>
      </c>
      <c r="AC16" s="5" t="str">
        <f t="shared" si="14"/>
        <v>1</v>
      </c>
      <c r="AD16" s="5" t="str">
        <f t="shared" si="14"/>
        <v>1</v>
      </c>
      <c r="AE16" s="5" t="str">
        <f t="shared" si="14"/>
        <v>1</v>
      </c>
    </row>
    <row r="17" spans="1:31" ht="14.4" x14ac:dyDescent="0.3">
      <c r="A17" s="14">
        <v>14</v>
      </c>
      <c r="B17" s="15" t="s">
        <v>107</v>
      </c>
      <c r="C17" s="10">
        <v>9</v>
      </c>
      <c r="D17" s="10">
        <v>28</v>
      </c>
      <c r="E17" s="16">
        <v>365</v>
      </c>
      <c r="F17" s="22">
        <v>2.9999999999999997E-4</v>
      </c>
      <c r="G17" s="10">
        <v>900</v>
      </c>
      <c r="H17" s="12">
        <v>1E-3</v>
      </c>
      <c r="I17" s="18">
        <v>10950</v>
      </c>
      <c r="J17" s="20">
        <v>4</v>
      </c>
      <c r="K17" s="19">
        <f t="shared" si="0"/>
        <v>1.2857142857142854E-3</v>
      </c>
      <c r="L17" s="2">
        <f t="shared" si="1"/>
        <v>1.6071428571428567E-3</v>
      </c>
      <c r="M17" s="2">
        <f t="shared" si="2"/>
        <v>3.2142857142857134E-3</v>
      </c>
      <c r="N17" s="2">
        <f t="shared" si="3"/>
        <v>4.8214285714285703E-3</v>
      </c>
      <c r="O17" s="2">
        <f t="shared" si="4"/>
        <v>6.4285714285714267E-3</v>
      </c>
      <c r="P17" s="2">
        <f t="shared" si="5"/>
        <v>8.0357142857142849E-3</v>
      </c>
      <c r="Q17" s="2">
        <f t="shared" si="6"/>
        <v>9.6428571428571405E-3</v>
      </c>
      <c r="R17" s="2">
        <f t="shared" si="7"/>
        <v>1.2857142857142854</v>
      </c>
      <c r="S17" s="2">
        <f t="shared" si="8"/>
        <v>1.6071428571428565</v>
      </c>
      <c r="T17" s="2">
        <f t="shared" si="9"/>
        <v>3.2142857142857131</v>
      </c>
      <c r="U17" s="2">
        <f t="shared" si="10"/>
        <v>4.8214285714285703</v>
      </c>
      <c r="V17" s="2">
        <f t="shared" si="11"/>
        <v>6.4285714285714262</v>
      </c>
      <c r="W17" s="2">
        <f t="shared" si="12"/>
        <v>8.0357142857142847</v>
      </c>
      <c r="X17" s="2">
        <f t="shared" si="13"/>
        <v>9.6428571428571406</v>
      </c>
      <c r="Y17" s="5" t="str">
        <f t="shared" si="14"/>
        <v>1</v>
      </c>
      <c r="Z17" s="5" t="str">
        <f t="shared" si="14"/>
        <v>1</v>
      </c>
      <c r="AA17" s="5" t="str">
        <f t="shared" si="14"/>
        <v>1</v>
      </c>
      <c r="AB17" s="5" t="str">
        <f t="shared" si="14"/>
        <v>1</v>
      </c>
      <c r="AC17" s="5" t="str">
        <f t="shared" si="14"/>
        <v>1</v>
      </c>
      <c r="AD17" s="5" t="str">
        <f t="shared" si="14"/>
        <v>1</v>
      </c>
      <c r="AE17" s="5" t="str">
        <f t="shared" si="14"/>
        <v>1</v>
      </c>
    </row>
    <row r="18" spans="1:31" ht="14.4" x14ac:dyDescent="0.3">
      <c r="A18" s="14">
        <v>15</v>
      </c>
      <c r="B18" s="15" t="s">
        <v>122</v>
      </c>
      <c r="C18" s="10">
        <v>9</v>
      </c>
      <c r="D18" s="10">
        <v>29</v>
      </c>
      <c r="E18" s="16">
        <v>365</v>
      </c>
      <c r="F18" s="22">
        <v>2.9999999999999997E-4</v>
      </c>
      <c r="G18" s="10">
        <v>900</v>
      </c>
      <c r="H18" s="12">
        <v>1E-3</v>
      </c>
      <c r="I18" s="18">
        <v>10950</v>
      </c>
      <c r="J18" s="20">
        <v>9</v>
      </c>
      <c r="K18" s="19">
        <f t="shared" si="0"/>
        <v>2.7931034482758616E-3</v>
      </c>
      <c r="L18" s="2">
        <f t="shared" si="1"/>
        <v>1.5517241379310342E-3</v>
      </c>
      <c r="M18" s="2">
        <f t="shared" si="2"/>
        <v>3.1034482758620684E-3</v>
      </c>
      <c r="N18" s="2">
        <f t="shared" si="3"/>
        <v>4.655172413793103E-3</v>
      </c>
      <c r="O18" s="2">
        <f t="shared" si="4"/>
        <v>6.2068965517241368E-3</v>
      </c>
      <c r="P18" s="2">
        <f t="shared" si="5"/>
        <v>7.7586206896551706E-3</v>
      </c>
      <c r="Q18" s="2">
        <f t="shared" si="6"/>
        <v>9.3103448275862061E-3</v>
      </c>
      <c r="R18" s="2">
        <f t="shared" si="7"/>
        <v>2.7931034482758617</v>
      </c>
      <c r="S18" s="2">
        <f t="shared" si="8"/>
        <v>1.5517241379310343</v>
      </c>
      <c r="T18" s="2">
        <f t="shared" si="9"/>
        <v>3.1034482758620685</v>
      </c>
      <c r="U18" s="2">
        <f t="shared" si="10"/>
        <v>4.6551724137931032</v>
      </c>
      <c r="V18" s="2">
        <f t="shared" si="11"/>
        <v>6.206896551724137</v>
      </c>
      <c r="W18" s="2">
        <f t="shared" si="12"/>
        <v>7.7586206896551708</v>
      </c>
      <c r="X18" s="2">
        <f t="shared" si="13"/>
        <v>9.3103448275862064</v>
      </c>
      <c r="Y18" s="5" t="str">
        <f t="shared" si="14"/>
        <v>1</v>
      </c>
      <c r="Z18" s="5" t="str">
        <f t="shared" si="14"/>
        <v>1</v>
      </c>
      <c r="AA18" s="5" t="str">
        <f t="shared" si="14"/>
        <v>1</v>
      </c>
      <c r="AB18" s="5" t="str">
        <f t="shared" si="14"/>
        <v>1</v>
      </c>
      <c r="AC18" s="5" t="str">
        <f t="shared" si="14"/>
        <v>1</v>
      </c>
      <c r="AD18" s="5" t="str">
        <f t="shared" si="14"/>
        <v>1</v>
      </c>
      <c r="AE18" s="5" t="str">
        <f t="shared" si="14"/>
        <v>1</v>
      </c>
    </row>
    <row r="19" spans="1:31" ht="14.4" x14ac:dyDescent="0.3">
      <c r="A19" s="14">
        <v>16</v>
      </c>
      <c r="B19" s="15" t="s">
        <v>111</v>
      </c>
      <c r="C19" s="10">
        <v>9</v>
      </c>
      <c r="D19" s="10">
        <v>25</v>
      </c>
      <c r="E19" s="16">
        <v>365</v>
      </c>
      <c r="F19" s="22">
        <v>2.9999999999999997E-4</v>
      </c>
      <c r="G19" s="10">
        <v>900</v>
      </c>
      <c r="H19" s="12">
        <v>1E-3</v>
      </c>
      <c r="I19" s="18">
        <v>10950</v>
      </c>
      <c r="J19" s="20">
        <v>9</v>
      </c>
      <c r="K19" s="19">
        <f t="shared" si="0"/>
        <v>3.2399999999999994E-3</v>
      </c>
      <c r="L19" s="2">
        <f t="shared" si="1"/>
        <v>1.7999999999999995E-3</v>
      </c>
      <c r="M19" s="2">
        <f t="shared" si="2"/>
        <v>3.599999999999999E-3</v>
      </c>
      <c r="N19" s="2">
        <f t="shared" si="3"/>
        <v>5.3999999999999994E-3</v>
      </c>
      <c r="O19" s="2">
        <f t="shared" si="4"/>
        <v>7.1999999999999981E-3</v>
      </c>
      <c r="P19" s="2">
        <f t="shared" si="5"/>
        <v>8.9999999999999976E-3</v>
      </c>
      <c r="Q19" s="2">
        <f t="shared" si="6"/>
        <v>1.0799999999999999E-2</v>
      </c>
      <c r="R19" s="2">
        <f t="shared" si="7"/>
        <v>3.2399999999999993</v>
      </c>
      <c r="S19" s="2">
        <f t="shared" si="8"/>
        <v>1.7999999999999994</v>
      </c>
      <c r="T19" s="2">
        <f t="shared" si="9"/>
        <v>3.5999999999999988</v>
      </c>
      <c r="U19" s="2">
        <f t="shared" si="10"/>
        <v>5.3999999999999995</v>
      </c>
      <c r="V19" s="2">
        <f t="shared" si="11"/>
        <v>7.1999999999999975</v>
      </c>
      <c r="W19" s="2">
        <f t="shared" si="12"/>
        <v>8.9999999999999982</v>
      </c>
      <c r="X19" s="2">
        <f t="shared" si="13"/>
        <v>10.799999999999999</v>
      </c>
      <c r="Y19" s="5" t="str">
        <f t="shared" si="14"/>
        <v>1</v>
      </c>
      <c r="Z19" s="5" t="str">
        <f t="shared" si="14"/>
        <v>1</v>
      </c>
      <c r="AA19" s="5" t="str">
        <f t="shared" si="14"/>
        <v>1</v>
      </c>
      <c r="AB19" s="5" t="str">
        <f t="shared" si="14"/>
        <v>1</v>
      </c>
      <c r="AC19" s="5" t="str">
        <f t="shared" si="14"/>
        <v>1</v>
      </c>
      <c r="AD19" s="5" t="str">
        <f t="shared" si="14"/>
        <v>1</v>
      </c>
      <c r="AE19" s="5" t="str">
        <f t="shared" si="14"/>
        <v>1</v>
      </c>
    </row>
    <row r="20" spans="1:31" ht="14.4" x14ac:dyDescent="0.3">
      <c r="A20" s="14">
        <v>17</v>
      </c>
      <c r="B20" s="15" t="s">
        <v>123</v>
      </c>
      <c r="C20" s="10">
        <v>9</v>
      </c>
      <c r="D20" s="10">
        <v>25</v>
      </c>
      <c r="E20" s="16">
        <v>365</v>
      </c>
      <c r="F20" s="22">
        <v>2.9999999999999997E-4</v>
      </c>
      <c r="G20" s="10">
        <v>1500</v>
      </c>
      <c r="H20" s="12">
        <v>1E-3</v>
      </c>
      <c r="I20" s="18">
        <v>10950</v>
      </c>
      <c r="J20" s="20">
        <v>9</v>
      </c>
      <c r="K20" s="19">
        <f t="shared" si="0"/>
        <v>5.3999999999999994E-3</v>
      </c>
      <c r="L20" s="2">
        <f t="shared" si="1"/>
        <v>2.9999999999999996E-3</v>
      </c>
      <c r="M20" s="2">
        <f t="shared" si="2"/>
        <v>5.9999999999999993E-3</v>
      </c>
      <c r="N20" s="2">
        <f t="shared" si="3"/>
        <v>8.9999999999999976E-3</v>
      </c>
      <c r="O20" s="2">
        <f t="shared" si="4"/>
        <v>1.1999999999999999E-2</v>
      </c>
      <c r="P20" s="2">
        <f t="shared" si="5"/>
        <v>1.4999999999999996E-2</v>
      </c>
      <c r="Q20" s="2">
        <f t="shared" si="6"/>
        <v>1.7999999999999995E-2</v>
      </c>
      <c r="R20" s="2">
        <f t="shared" si="7"/>
        <v>5.3999999999999995</v>
      </c>
      <c r="S20" s="2">
        <f t="shared" si="8"/>
        <v>2.9999999999999996</v>
      </c>
      <c r="T20" s="2">
        <f t="shared" si="9"/>
        <v>5.9999999999999991</v>
      </c>
      <c r="U20" s="2">
        <f t="shared" si="10"/>
        <v>8.9999999999999982</v>
      </c>
      <c r="V20" s="2">
        <f t="shared" si="11"/>
        <v>11.999999999999998</v>
      </c>
      <c r="W20" s="2">
        <f t="shared" si="12"/>
        <v>14.999999999999996</v>
      </c>
      <c r="X20" s="2">
        <f t="shared" si="13"/>
        <v>17.999999999999996</v>
      </c>
      <c r="Y20" s="5" t="str">
        <f t="shared" si="14"/>
        <v>1</v>
      </c>
      <c r="Z20" s="5" t="str">
        <f t="shared" si="14"/>
        <v>1</v>
      </c>
      <c r="AA20" s="5" t="str">
        <f t="shared" si="14"/>
        <v>1</v>
      </c>
      <c r="AB20" s="5" t="str">
        <f t="shared" si="14"/>
        <v>1</v>
      </c>
      <c r="AC20" s="5" t="str">
        <f t="shared" si="14"/>
        <v>1</v>
      </c>
      <c r="AD20" s="5" t="str">
        <f t="shared" si="14"/>
        <v>1</v>
      </c>
      <c r="AE20" s="5" t="str">
        <f t="shared" si="14"/>
        <v>1</v>
      </c>
    </row>
    <row r="21" spans="1:31" ht="14.4" x14ac:dyDescent="0.3">
      <c r="A21" s="14">
        <v>18</v>
      </c>
      <c r="B21" s="15" t="s">
        <v>124</v>
      </c>
      <c r="C21" s="10">
        <v>9</v>
      </c>
      <c r="D21" s="10">
        <v>25</v>
      </c>
      <c r="E21" s="16">
        <v>365</v>
      </c>
      <c r="F21" s="22">
        <v>2.9999999999999997E-4</v>
      </c>
      <c r="G21" s="10">
        <v>900</v>
      </c>
      <c r="H21" s="12">
        <v>1E-3</v>
      </c>
      <c r="I21" s="18">
        <v>10950</v>
      </c>
      <c r="J21" s="20">
        <v>9</v>
      </c>
      <c r="K21" s="19">
        <f t="shared" si="0"/>
        <v>3.2399999999999994E-3</v>
      </c>
      <c r="L21" s="2">
        <f t="shared" si="1"/>
        <v>1.7999999999999995E-3</v>
      </c>
      <c r="M21" s="2">
        <f t="shared" si="2"/>
        <v>3.599999999999999E-3</v>
      </c>
      <c r="N21" s="2">
        <f t="shared" si="3"/>
        <v>5.3999999999999994E-3</v>
      </c>
      <c r="O21" s="2">
        <f t="shared" si="4"/>
        <v>7.1999999999999981E-3</v>
      </c>
      <c r="P21" s="2">
        <f t="shared" si="5"/>
        <v>8.9999999999999976E-3</v>
      </c>
      <c r="Q21" s="2">
        <f t="shared" si="6"/>
        <v>1.0799999999999999E-2</v>
      </c>
      <c r="R21" s="2">
        <f t="shared" si="7"/>
        <v>3.2399999999999993</v>
      </c>
      <c r="S21" s="2">
        <f t="shared" si="8"/>
        <v>1.7999999999999994</v>
      </c>
      <c r="T21" s="2">
        <f t="shared" si="9"/>
        <v>3.5999999999999988</v>
      </c>
      <c r="U21" s="2">
        <f t="shared" si="10"/>
        <v>5.3999999999999995</v>
      </c>
      <c r="V21" s="2">
        <f t="shared" si="11"/>
        <v>7.1999999999999975</v>
      </c>
      <c r="W21" s="2">
        <f t="shared" si="12"/>
        <v>8.9999999999999982</v>
      </c>
      <c r="X21" s="2">
        <f t="shared" si="13"/>
        <v>10.799999999999999</v>
      </c>
      <c r="Y21" s="5" t="str">
        <f t="shared" si="14"/>
        <v>1</v>
      </c>
      <c r="Z21" s="5" t="str">
        <f t="shared" si="14"/>
        <v>1</v>
      </c>
      <c r="AA21" s="5" t="str">
        <f t="shared" si="14"/>
        <v>1</v>
      </c>
      <c r="AB21" s="5" t="str">
        <f t="shared" si="14"/>
        <v>1</v>
      </c>
      <c r="AC21" s="5" t="str">
        <f t="shared" si="14"/>
        <v>1</v>
      </c>
      <c r="AD21" s="5" t="str">
        <f t="shared" si="14"/>
        <v>1</v>
      </c>
      <c r="AE21" s="5" t="str">
        <f t="shared" si="14"/>
        <v>1</v>
      </c>
    </row>
    <row r="22" spans="1:31" ht="14.4" x14ac:dyDescent="0.3">
      <c r="A22" s="14">
        <v>19</v>
      </c>
      <c r="B22" s="15" t="s">
        <v>125</v>
      </c>
      <c r="C22" s="10">
        <v>9</v>
      </c>
      <c r="D22" s="10">
        <v>25</v>
      </c>
      <c r="E22" s="16">
        <v>365</v>
      </c>
      <c r="F22" s="22">
        <v>2.9999999999999997E-4</v>
      </c>
      <c r="G22" s="10">
        <v>900</v>
      </c>
      <c r="H22" s="12">
        <v>1E-3</v>
      </c>
      <c r="I22" s="18">
        <v>10950</v>
      </c>
      <c r="J22" s="20">
        <v>9</v>
      </c>
      <c r="K22" s="19">
        <f t="shared" si="0"/>
        <v>3.2399999999999994E-3</v>
      </c>
      <c r="L22" s="2">
        <f t="shared" si="1"/>
        <v>1.7999999999999995E-3</v>
      </c>
      <c r="M22" s="2">
        <f t="shared" si="2"/>
        <v>3.599999999999999E-3</v>
      </c>
      <c r="N22" s="2">
        <f t="shared" si="3"/>
        <v>5.3999999999999994E-3</v>
      </c>
      <c r="O22" s="2">
        <f t="shared" si="4"/>
        <v>7.1999999999999981E-3</v>
      </c>
      <c r="P22" s="2">
        <f t="shared" si="5"/>
        <v>8.9999999999999976E-3</v>
      </c>
      <c r="Q22" s="2">
        <f t="shared" si="6"/>
        <v>1.0799999999999999E-2</v>
      </c>
      <c r="R22" s="2">
        <f t="shared" si="7"/>
        <v>3.2399999999999993</v>
      </c>
      <c r="S22" s="2">
        <f t="shared" si="8"/>
        <v>1.7999999999999994</v>
      </c>
      <c r="T22" s="2">
        <f t="shared" si="9"/>
        <v>3.5999999999999988</v>
      </c>
      <c r="U22" s="2">
        <f t="shared" si="10"/>
        <v>5.3999999999999995</v>
      </c>
      <c r="V22" s="2">
        <f t="shared" si="11"/>
        <v>7.1999999999999975</v>
      </c>
      <c r="W22" s="2">
        <f t="shared" si="12"/>
        <v>8.9999999999999982</v>
      </c>
      <c r="X22" s="2">
        <f t="shared" si="13"/>
        <v>10.799999999999999</v>
      </c>
      <c r="Y22" s="5" t="str">
        <f t="shared" si="14"/>
        <v>1</v>
      </c>
      <c r="Z22" s="5" t="str">
        <f t="shared" si="14"/>
        <v>1</v>
      </c>
      <c r="AA22" s="5" t="str">
        <f t="shared" si="14"/>
        <v>1</v>
      </c>
      <c r="AB22" s="5" t="str">
        <f t="shared" si="14"/>
        <v>1</v>
      </c>
      <c r="AC22" s="5" t="str">
        <f t="shared" si="14"/>
        <v>1</v>
      </c>
      <c r="AD22" s="5" t="str">
        <f t="shared" si="14"/>
        <v>1</v>
      </c>
      <c r="AE22" s="5" t="str">
        <f t="shared" si="14"/>
        <v>1</v>
      </c>
    </row>
    <row r="23" spans="1:31" ht="14.4" x14ac:dyDescent="0.3">
      <c r="A23" s="14">
        <v>20</v>
      </c>
      <c r="B23" s="15" t="s">
        <v>126</v>
      </c>
      <c r="C23" s="10">
        <v>9</v>
      </c>
      <c r="D23" s="10">
        <v>29</v>
      </c>
      <c r="E23" s="16">
        <v>365</v>
      </c>
      <c r="F23" s="22">
        <v>2.9999999999999997E-4</v>
      </c>
      <c r="G23" s="10">
        <v>900</v>
      </c>
      <c r="H23" s="12">
        <v>1E-3</v>
      </c>
      <c r="I23" s="18">
        <v>10950</v>
      </c>
      <c r="J23" s="20">
        <v>9</v>
      </c>
      <c r="K23" s="19">
        <f t="shared" si="0"/>
        <v>2.7931034482758616E-3</v>
      </c>
      <c r="L23" s="2">
        <f t="shared" si="1"/>
        <v>1.5517241379310342E-3</v>
      </c>
      <c r="M23" s="2">
        <f t="shared" si="2"/>
        <v>3.1034482758620684E-3</v>
      </c>
      <c r="N23" s="2">
        <f t="shared" si="3"/>
        <v>4.655172413793103E-3</v>
      </c>
      <c r="O23" s="2">
        <f t="shared" si="4"/>
        <v>6.2068965517241368E-3</v>
      </c>
      <c r="P23" s="2">
        <f t="shared" si="5"/>
        <v>7.7586206896551706E-3</v>
      </c>
      <c r="Q23" s="2">
        <f t="shared" si="6"/>
        <v>9.3103448275862061E-3</v>
      </c>
      <c r="R23" s="2">
        <f t="shared" si="7"/>
        <v>2.7931034482758617</v>
      </c>
      <c r="S23" s="2">
        <f t="shared" si="8"/>
        <v>1.5517241379310343</v>
      </c>
      <c r="T23" s="2">
        <f t="shared" si="9"/>
        <v>3.1034482758620685</v>
      </c>
      <c r="U23" s="2">
        <f t="shared" si="10"/>
        <v>4.6551724137931032</v>
      </c>
      <c r="V23" s="2">
        <f t="shared" si="11"/>
        <v>6.206896551724137</v>
      </c>
      <c r="W23" s="2">
        <f t="shared" si="12"/>
        <v>7.7586206896551708</v>
      </c>
      <c r="X23" s="2">
        <f t="shared" si="13"/>
        <v>9.3103448275862064</v>
      </c>
      <c r="Y23" s="5" t="str">
        <f t="shared" si="14"/>
        <v>1</v>
      </c>
      <c r="Z23" s="5" t="str">
        <f t="shared" si="14"/>
        <v>1</v>
      </c>
      <c r="AA23" s="5" t="str">
        <f t="shared" si="14"/>
        <v>1</v>
      </c>
      <c r="AB23" s="5" t="str">
        <f t="shared" si="14"/>
        <v>1</v>
      </c>
      <c r="AC23" s="5" t="str">
        <f t="shared" si="14"/>
        <v>1</v>
      </c>
      <c r="AD23" s="5" t="str">
        <f t="shared" si="14"/>
        <v>1</v>
      </c>
      <c r="AE23" s="5" t="str">
        <f t="shared" si="14"/>
        <v>1</v>
      </c>
    </row>
    <row r="24" spans="1:31" ht="14.4" x14ac:dyDescent="0.3">
      <c r="A24" s="14">
        <v>21</v>
      </c>
      <c r="B24" s="15" t="s">
        <v>127</v>
      </c>
      <c r="C24" s="10">
        <v>9</v>
      </c>
      <c r="D24" s="10">
        <v>25</v>
      </c>
      <c r="E24" s="16">
        <v>365</v>
      </c>
      <c r="F24" s="22">
        <v>2.9999999999999997E-4</v>
      </c>
      <c r="G24" s="10">
        <v>1500</v>
      </c>
      <c r="H24" s="12">
        <v>1E-3</v>
      </c>
      <c r="I24" s="18">
        <v>10950</v>
      </c>
      <c r="J24" s="20">
        <v>9</v>
      </c>
      <c r="K24" s="19">
        <f t="shared" si="0"/>
        <v>5.3999999999999994E-3</v>
      </c>
      <c r="L24" s="2">
        <f t="shared" si="1"/>
        <v>2.9999999999999996E-3</v>
      </c>
      <c r="M24" s="2">
        <f t="shared" si="2"/>
        <v>5.9999999999999993E-3</v>
      </c>
      <c r="N24" s="2">
        <f t="shared" si="3"/>
        <v>8.9999999999999976E-3</v>
      </c>
      <c r="O24" s="2">
        <f t="shared" si="4"/>
        <v>1.1999999999999999E-2</v>
      </c>
      <c r="P24" s="2">
        <f t="shared" si="5"/>
        <v>1.4999999999999996E-2</v>
      </c>
      <c r="Q24" s="2">
        <f t="shared" si="6"/>
        <v>1.7999999999999995E-2</v>
      </c>
      <c r="R24" s="2">
        <f t="shared" si="7"/>
        <v>5.3999999999999995</v>
      </c>
      <c r="S24" s="2">
        <f t="shared" si="8"/>
        <v>2.9999999999999996</v>
      </c>
      <c r="T24" s="2">
        <f t="shared" si="9"/>
        <v>5.9999999999999991</v>
      </c>
      <c r="U24" s="2">
        <f t="shared" si="10"/>
        <v>8.9999999999999982</v>
      </c>
      <c r="V24" s="2">
        <f t="shared" si="11"/>
        <v>11.999999999999998</v>
      </c>
      <c r="W24" s="2">
        <f t="shared" si="12"/>
        <v>14.999999999999996</v>
      </c>
      <c r="X24" s="2">
        <f t="shared" si="13"/>
        <v>17.999999999999996</v>
      </c>
      <c r="Y24" s="5" t="str">
        <f t="shared" si="14"/>
        <v>1</v>
      </c>
      <c r="Z24" s="5" t="str">
        <f t="shared" si="14"/>
        <v>1</v>
      </c>
      <c r="AA24" s="5" t="str">
        <f t="shared" si="14"/>
        <v>1</v>
      </c>
      <c r="AB24" s="5" t="str">
        <f t="shared" si="14"/>
        <v>1</v>
      </c>
      <c r="AC24" s="5" t="str">
        <f t="shared" si="14"/>
        <v>1</v>
      </c>
      <c r="AD24" s="5" t="str">
        <f t="shared" si="14"/>
        <v>1</v>
      </c>
      <c r="AE24" s="5" t="str">
        <f t="shared" si="14"/>
        <v>1</v>
      </c>
    </row>
    <row r="25" spans="1:31" ht="14.4" x14ac:dyDescent="0.3">
      <c r="A25" s="14">
        <v>22</v>
      </c>
      <c r="B25" s="15" t="s">
        <v>128</v>
      </c>
      <c r="C25" s="10">
        <v>9</v>
      </c>
      <c r="D25" s="10">
        <v>25</v>
      </c>
      <c r="E25" s="16">
        <v>365</v>
      </c>
      <c r="F25" s="22">
        <v>2.9999999999999997E-4</v>
      </c>
      <c r="G25" s="10">
        <v>900</v>
      </c>
      <c r="H25" s="12">
        <v>1E-3</v>
      </c>
      <c r="I25" s="18">
        <v>10950</v>
      </c>
      <c r="J25" s="20">
        <v>9</v>
      </c>
      <c r="K25" s="19">
        <f t="shared" si="0"/>
        <v>3.2399999999999994E-3</v>
      </c>
      <c r="L25" s="2">
        <f t="shared" si="1"/>
        <v>1.7999999999999995E-3</v>
      </c>
      <c r="M25" s="2">
        <f t="shared" si="2"/>
        <v>3.599999999999999E-3</v>
      </c>
      <c r="N25" s="2">
        <f t="shared" si="3"/>
        <v>5.3999999999999994E-3</v>
      </c>
      <c r="O25" s="2">
        <f t="shared" si="4"/>
        <v>7.1999999999999981E-3</v>
      </c>
      <c r="P25" s="2">
        <f t="shared" si="5"/>
        <v>8.9999999999999976E-3</v>
      </c>
      <c r="Q25" s="2">
        <f t="shared" si="6"/>
        <v>1.0799999999999999E-2</v>
      </c>
      <c r="R25" s="2">
        <f t="shared" si="7"/>
        <v>3.2399999999999993</v>
      </c>
      <c r="S25" s="2">
        <f t="shared" si="8"/>
        <v>1.7999999999999994</v>
      </c>
      <c r="T25" s="2">
        <f t="shared" si="9"/>
        <v>3.5999999999999988</v>
      </c>
      <c r="U25" s="2">
        <f t="shared" si="10"/>
        <v>5.3999999999999995</v>
      </c>
      <c r="V25" s="2">
        <f t="shared" si="11"/>
        <v>7.1999999999999975</v>
      </c>
      <c r="W25" s="2">
        <f t="shared" si="12"/>
        <v>8.9999999999999982</v>
      </c>
      <c r="X25" s="2">
        <f t="shared" si="13"/>
        <v>10.799999999999999</v>
      </c>
      <c r="Y25" s="5" t="str">
        <f t="shared" si="14"/>
        <v>1</v>
      </c>
      <c r="Z25" s="5" t="str">
        <f t="shared" si="14"/>
        <v>1</v>
      </c>
      <c r="AA25" s="5" t="str">
        <f t="shared" si="14"/>
        <v>1</v>
      </c>
      <c r="AB25" s="5" t="str">
        <f t="shared" si="14"/>
        <v>1</v>
      </c>
      <c r="AC25" s="5" t="str">
        <f t="shared" si="14"/>
        <v>1</v>
      </c>
      <c r="AD25" s="5" t="str">
        <f t="shared" si="14"/>
        <v>1</v>
      </c>
      <c r="AE25" s="5" t="str">
        <f t="shared" si="14"/>
        <v>1</v>
      </c>
    </row>
    <row r="26" spans="1:31" ht="14.4" x14ac:dyDescent="0.3">
      <c r="A26" s="14">
        <v>23</v>
      </c>
      <c r="B26" s="15" t="s">
        <v>129</v>
      </c>
      <c r="C26" s="10">
        <v>9</v>
      </c>
      <c r="D26" s="10">
        <v>39</v>
      </c>
      <c r="E26" s="16">
        <v>365</v>
      </c>
      <c r="F26" s="22">
        <v>2.9999999999999997E-4</v>
      </c>
      <c r="G26" s="10">
        <v>900</v>
      </c>
      <c r="H26" s="12">
        <v>1E-3</v>
      </c>
      <c r="I26" s="18">
        <v>10950</v>
      </c>
      <c r="J26" s="20">
        <v>1</v>
      </c>
      <c r="K26" s="19">
        <f t="shared" si="0"/>
        <v>2.3076923076923074E-4</v>
      </c>
      <c r="L26" s="2">
        <f t="shared" si="1"/>
        <v>1.1538461538461535E-3</v>
      </c>
      <c r="M26" s="2">
        <f t="shared" si="2"/>
        <v>2.307692307692307E-3</v>
      </c>
      <c r="N26" s="2">
        <f t="shared" si="3"/>
        <v>3.4615384615384612E-3</v>
      </c>
      <c r="O26" s="2">
        <f t="shared" si="4"/>
        <v>4.6153846153846141E-3</v>
      </c>
      <c r="P26" s="2">
        <f t="shared" si="5"/>
        <v>5.7692307692307678E-3</v>
      </c>
      <c r="Q26" s="2">
        <f t="shared" si="6"/>
        <v>6.9230769230769224E-3</v>
      </c>
      <c r="R26" s="2">
        <f t="shared" si="7"/>
        <v>0.23076923076923073</v>
      </c>
      <c r="S26" s="2">
        <f t="shared" si="8"/>
        <v>1.1538461538461535</v>
      </c>
      <c r="T26" s="2">
        <f t="shared" si="9"/>
        <v>2.307692307692307</v>
      </c>
      <c r="U26" s="2">
        <f t="shared" si="10"/>
        <v>3.4615384615384612</v>
      </c>
      <c r="V26" s="2">
        <f t="shared" si="11"/>
        <v>4.6153846153846141</v>
      </c>
      <c r="W26" s="2">
        <f t="shared" si="12"/>
        <v>5.7692307692307674</v>
      </c>
      <c r="X26" s="2">
        <f t="shared" si="13"/>
        <v>6.9230769230769225</v>
      </c>
      <c r="Y26" s="5" t="str">
        <f t="shared" si="14"/>
        <v>2</v>
      </c>
      <c r="Z26" s="5" t="str">
        <f t="shared" si="14"/>
        <v>1</v>
      </c>
      <c r="AA26" s="5" t="str">
        <f t="shared" si="14"/>
        <v>1</v>
      </c>
      <c r="AB26" s="5" t="str">
        <f t="shared" si="14"/>
        <v>1</v>
      </c>
      <c r="AC26" s="5" t="str">
        <f t="shared" si="14"/>
        <v>1</v>
      </c>
      <c r="AD26" s="5" t="str">
        <f t="shared" si="14"/>
        <v>1</v>
      </c>
      <c r="AE26" s="5" t="str">
        <f t="shared" si="14"/>
        <v>1</v>
      </c>
    </row>
    <row r="27" spans="1:31" ht="14.4" x14ac:dyDescent="0.3">
      <c r="A27" s="14">
        <v>24</v>
      </c>
      <c r="B27" s="15" t="s">
        <v>130</v>
      </c>
      <c r="C27" s="10">
        <v>9</v>
      </c>
      <c r="D27" s="10">
        <v>26</v>
      </c>
      <c r="E27" s="16">
        <v>365</v>
      </c>
      <c r="F27" s="22">
        <v>2.9999999999999997E-4</v>
      </c>
      <c r="G27" s="10">
        <v>900</v>
      </c>
      <c r="H27" s="12">
        <v>1E-3</v>
      </c>
      <c r="I27" s="18">
        <v>10950</v>
      </c>
      <c r="J27" s="20">
        <v>9</v>
      </c>
      <c r="K27" s="19">
        <f t="shared" si="0"/>
        <v>3.1153846153846149E-3</v>
      </c>
      <c r="L27" s="2">
        <f t="shared" si="1"/>
        <v>1.7307692307692304E-3</v>
      </c>
      <c r="M27" s="2">
        <f t="shared" si="2"/>
        <v>3.4615384615384608E-3</v>
      </c>
      <c r="N27" s="2">
        <f t="shared" si="3"/>
        <v>5.1923076923076914E-3</v>
      </c>
      <c r="O27" s="2">
        <f t="shared" si="4"/>
        <v>6.9230769230769216E-3</v>
      </c>
      <c r="P27" s="2">
        <f t="shared" si="5"/>
        <v>8.6538461538461526E-3</v>
      </c>
      <c r="Q27" s="2">
        <f t="shared" si="6"/>
        <v>1.0384615384615383E-2</v>
      </c>
      <c r="R27" s="2">
        <f t="shared" si="7"/>
        <v>3.115384615384615</v>
      </c>
      <c r="S27" s="2">
        <f t="shared" si="8"/>
        <v>1.7307692307692304</v>
      </c>
      <c r="T27" s="2">
        <f t="shared" si="9"/>
        <v>3.4615384615384608</v>
      </c>
      <c r="U27" s="2">
        <f t="shared" si="10"/>
        <v>5.1923076923076916</v>
      </c>
      <c r="V27" s="2">
        <f t="shared" si="11"/>
        <v>6.9230769230769216</v>
      </c>
      <c r="W27" s="2">
        <f t="shared" si="12"/>
        <v>8.6538461538461533</v>
      </c>
      <c r="X27" s="2">
        <f t="shared" si="13"/>
        <v>10.384615384615383</v>
      </c>
      <c r="Y27" s="5" t="str">
        <f t="shared" si="14"/>
        <v>1</v>
      </c>
      <c r="Z27" s="5" t="str">
        <f t="shared" si="14"/>
        <v>1</v>
      </c>
      <c r="AA27" s="5" t="str">
        <f t="shared" si="14"/>
        <v>1</v>
      </c>
      <c r="AB27" s="5" t="str">
        <f t="shared" si="14"/>
        <v>1</v>
      </c>
      <c r="AC27" s="5" t="str">
        <f t="shared" si="14"/>
        <v>1</v>
      </c>
      <c r="AD27" s="5" t="str">
        <f t="shared" si="14"/>
        <v>1</v>
      </c>
      <c r="AE27" s="5" t="str">
        <f t="shared" si="14"/>
        <v>1</v>
      </c>
    </row>
    <row r="28" spans="1:31" ht="14.4" x14ac:dyDescent="0.3">
      <c r="A28" s="14">
        <v>25</v>
      </c>
      <c r="B28" s="15" t="s">
        <v>131</v>
      </c>
      <c r="C28" s="10">
        <v>9</v>
      </c>
      <c r="D28" s="10">
        <v>20</v>
      </c>
      <c r="E28" s="16">
        <v>365</v>
      </c>
      <c r="F28" s="22">
        <v>2.9999999999999997E-4</v>
      </c>
      <c r="G28" s="10">
        <v>2100</v>
      </c>
      <c r="H28" s="12">
        <v>1E-3</v>
      </c>
      <c r="I28" s="18">
        <v>10950</v>
      </c>
      <c r="J28" s="20">
        <v>9</v>
      </c>
      <c r="K28" s="19">
        <f t="shared" si="0"/>
        <v>9.4499999999999983E-3</v>
      </c>
      <c r="L28" s="2">
        <f t="shared" si="1"/>
        <v>5.2499999999999986E-3</v>
      </c>
      <c r="M28" s="2">
        <f t="shared" si="2"/>
        <v>1.0499999999999997E-2</v>
      </c>
      <c r="N28" s="2">
        <f t="shared" si="3"/>
        <v>1.5749999999999997E-2</v>
      </c>
      <c r="O28" s="2">
        <f t="shared" si="4"/>
        <v>2.0999999999999994E-2</v>
      </c>
      <c r="P28" s="2">
        <f t="shared" si="5"/>
        <v>2.6249999999999996E-2</v>
      </c>
      <c r="Q28" s="2">
        <f t="shared" si="6"/>
        <v>3.1499999999999993E-2</v>
      </c>
      <c r="R28" s="2">
        <f t="shared" si="7"/>
        <v>9.4499999999999975</v>
      </c>
      <c r="S28" s="2">
        <f t="shared" si="8"/>
        <v>5.2499999999999982</v>
      </c>
      <c r="T28" s="2">
        <f t="shared" si="9"/>
        <v>10.499999999999996</v>
      </c>
      <c r="U28" s="2">
        <f t="shared" si="10"/>
        <v>15.749999999999996</v>
      </c>
      <c r="V28" s="2">
        <f t="shared" si="11"/>
        <v>20.999999999999993</v>
      </c>
      <c r="W28" s="2">
        <f t="shared" si="12"/>
        <v>26.249999999999996</v>
      </c>
      <c r="X28" s="2">
        <f t="shared" si="13"/>
        <v>31.499999999999993</v>
      </c>
      <c r="Y28" s="5" t="str">
        <f t="shared" si="14"/>
        <v>1</v>
      </c>
      <c r="Z28" s="5" t="str">
        <f t="shared" si="14"/>
        <v>1</v>
      </c>
      <c r="AA28" s="5" t="str">
        <f t="shared" si="14"/>
        <v>1</v>
      </c>
      <c r="AB28" s="5" t="str">
        <f t="shared" si="14"/>
        <v>1</v>
      </c>
      <c r="AC28" s="5" t="str">
        <f t="shared" si="14"/>
        <v>1</v>
      </c>
      <c r="AD28" s="5" t="str">
        <f t="shared" si="14"/>
        <v>1</v>
      </c>
      <c r="AE28" s="5" t="str">
        <f t="shared" si="14"/>
        <v>1</v>
      </c>
    </row>
    <row r="29" spans="1:31" ht="14.4" x14ac:dyDescent="0.3">
      <c r="A29" s="14">
        <v>26</v>
      </c>
      <c r="B29" s="15" t="s">
        <v>132</v>
      </c>
      <c r="C29" s="10">
        <v>9</v>
      </c>
      <c r="D29" s="10">
        <v>40</v>
      </c>
      <c r="E29" s="16">
        <v>365</v>
      </c>
      <c r="F29" s="22">
        <v>2.9999999999999997E-4</v>
      </c>
      <c r="G29" s="10">
        <v>900</v>
      </c>
      <c r="H29" s="12">
        <v>1E-3</v>
      </c>
      <c r="I29" s="18">
        <v>10950</v>
      </c>
      <c r="J29" s="20">
        <v>5</v>
      </c>
      <c r="K29" s="19">
        <f t="shared" si="0"/>
        <v>1.1249999999999997E-3</v>
      </c>
      <c r="L29" s="2">
        <f t="shared" si="1"/>
        <v>1.1249999999999997E-3</v>
      </c>
      <c r="M29" s="2">
        <f t="shared" si="2"/>
        <v>2.2499999999999994E-3</v>
      </c>
      <c r="N29" s="2">
        <f t="shared" si="3"/>
        <v>3.3749999999999995E-3</v>
      </c>
      <c r="O29" s="2">
        <f t="shared" si="4"/>
        <v>4.4999999999999988E-3</v>
      </c>
      <c r="P29" s="2">
        <f t="shared" si="5"/>
        <v>5.6249999999999989E-3</v>
      </c>
      <c r="Q29" s="2">
        <f t="shared" si="6"/>
        <v>6.7499999999999991E-3</v>
      </c>
      <c r="R29" s="2">
        <f t="shared" si="7"/>
        <v>1.1249999999999998</v>
      </c>
      <c r="S29" s="2">
        <f t="shared" si="8"/>
        <v>1.1249999999999998</v>
      </c>
      <c r="T29" s="2">
        <f t="shared" si="9"/>
        <v>2.2499999999999996</v>
      </c>
      <c r="U29" s="2">
        <f t="shared" si="10"/>
        <v>3.3749999999999996</v>
      </c>
      <c r="V29" s="2">
        <f t="shared" si="11"/>
        <v>4.4999999999999991</v>
      </c>
      <c r="W29" s="2">
        <f t="shared" si="12"/>
        <v>5.6249999999999991</v>
      </c>
      <c r="X29" s="2">
        <f t="shared" si="13"/>
        <v>6.7499999999999991</v>
      </c>
      <c r="Y29" s="5" t="str">
        <f t="shared" ref="Y29:AE53" si="15">IF(R29&gt;1,"1","2")</f>
        <v>1</v>
      </c>
      <c r="Z29" s="5" t="str">
        <f t="shared" si="15"/>
        <v>1</v>
      </c>
      <c r="AA29" s="5" t="str">
        <f t="shared" si="15"/>
        <v>1</v>
      </c>
      <c r="AB29" s="5" t="str">
        <f t="shared" si="15"/>
        <v>1</v>
      </c>
      <c r="AC29" s="5" t="str">
        <f t="shared" si="15"/>
        <v>1</v>
      </c>
      <c r="AD29" s="5" t="str">
        <f t="shared" si="15"/>
        <v>1</v>
      </c>
      <c r="AE29" s="5" t="str">
        <f t="shared" si="15"/>
        <v>1</v>
      </c>
    </row>
    <row r="30" spans="1:31" ht="14.4" x14ac:dyDescent="0.3">
      <c r="A30" s="14">
        <v>27</v>
      </c>
      <c r="B30" s="15" t="s">
        <v>105</v>
      </c>
      <c r="C30" s="10">
        <v>9</v>
      </c>
      <c r="D30" s="10">
        <v>39</v>
      </c>
      <c r="E30" s="16">
        <v>365</v>
      </c>
      <c r="F30" s="22">
        <v>2.9999999999999997E-4</v>
      </c>
      <c r="G30" s="10">
        <v>900</v>
      </c>
      <c r="H30" s="12">
        <v>1E-3</v>
      </c>
      <c r="I30" s="18">
        <v>10950</v>
      </c>
      <c r="J30" s="20">
        <v>1</v>
      </c>
      <c r="K30" s="19">
        <f t="shared" si="0"/>
        <v>2.3076923076923074E-4</v>
      </c>
      <c r="L30" s="2">
        <f t="shared" si="1"/>
        <v>1.1538461538461535E-3</v>
      </c>
      <c r="M30" s="2">
        <f t="shared" si="2"/>
        <v>2.307692307692307E-3</v>
      </c>
      <c r="N30" s="2">
        <f t="shared" si="3"/>
        <v>3.4615384615384612E-3</v>
      </c>
      <c r="O30" s="2">
        <f t="shared" si="4"/>
        <v>4.6153846153846141E-3</v>
      </c>
      <c r="P30" s="2">
        <f t="shared" si="5"/>
        <v>5.7692307692307678E-3</v>
      </c>
      <c r="Q30" s="2">
        <f t="shared" si="6"/>
        <v>6.9230769230769224E-3</v>
      </c>
      <c r="R30" s="2">
        <f t="shared" si="7"/>
        <v>0.23076923076923073</v>
      </c>
      <c r="S30" s="2">
        <f t="shared" si="8"/>
        <v>1.1538461538461535</v>
      </c>
      <c r="T30" s="2">
        <f t="shared" si="9"/>
        <v>2.307692307692307</v>
      </c>
      <c r="U30" s="2">
        <f t="shared" si="10"/>
        <v>3.4615384615384612</v>
      </c>
      <c r="V30" s="2">
        <f t="shared" si="11"/>
        <v>4.6153846153846141</v>
      </c>
      <c r="W30" s="2">
        <f t="shared" si="12"/>
        <v>5.7692307692307674</v>
      </c>
      <c r="X30" s="2">
        <f t="shared" si="13"/>
        <v>6.9230769230769225</v>
      </c>
      <c r="Y30" s="5" t="str">
        <f t="shared" si="15"/>
        <v>2</v>
      </c>
      <c r="Z30" s="5" t="str">
        <f t="shared" si="15"/>
        <v>1</v>
      </c>
      <c r="AA30" s="5" t="str">
        <f t="shared" si="15"/>
        <v>1</v>
      </c>
      <c r="AB30" s="5" t="str">
        <f t="shared" si="15"/>
        <v>1</v>
      </c>
      <c r="AC30" s="5" t="str">
        <f t="shared" si="15"/>
        <v>1</v>
      </c>
      <c r="AD30" s="5" t="str">
        <f t="shared" si="15"/>
        <v>1</v>
      </c>
      <c r="AE30" s="5" t="str">
        <f t="shared" si="15"/>
        <v>1</v>
      </c>
    </row>
    <row r="31" spans="1:31" ht="14.4" x14ac:dyDescent="0.3">
      <c r="A31" s="14">
        <v>28</v>
      </c>
      <c r="B31" s="15" t="s">
        <v>133</v>
      </c>
      <c r="C31" s="10">
        <v>9</v>
      </c>
      <c r="D31" s="10">
        <v>26</v>
      </c>
      <c r="E31" s="16">
        <v>365</v>
      </c>
      <c r="F31" s="22">
        <v>2.9999999999999997E-4</v>
      </c>
      <c r="G31" s="10">
        <v>900</v>
      </c>
      <c r="H31" s="12">
        <v>1E-3</v>
      </c>
      <c r="I31" s="18">
        <v>10950</v>
      </c>
      <c r="J31" s="20">
        <v>9</v>
      </c>
      <c r="K31" s="19">
        <f t="shared" si="0"/>
        <v>3.1153846153846149E-3</v>
      </c>
      <c r="L31" s="2">
        <f t="shared" si="1"/>
        <v>1.7307692307692304E-3</v>
      </c>
      <c r="M31" s="2">
        <f t="shared" si="2"/>
        <v>3.4615384615384608E-3</v>
      </c>
      <c r="N31" s="2">
        <f t="shared" si="3"/>
        <v>5.1923076923076914E-3</v>
      </c>
      <c r="O31" s="2">
        <f t="shared" si="4"/>
        <v>6.9230769230769216E-3</v>
      </c>
      <c r="P31" s="2">
        <f t="shared" si="5"/>
        <v>8.6538461538461526E-3</v>
      </c>
      <c r="Q31" s="2">
        <f t="shared" si="6"/>
        <v>1.0384615384615383E-2</v>
      </c>
      <c r="R31" s="2">
        <f t="shared" si="7"/>
        <v>3.115384615384615</v>
      </c>
      <c r="S31" s="2">
        <f t="shared" si="8"/>
        <v>1.7307692307692304</v>
      </c>
      <c r="T31" s="2">
        <f t="shared" si="9"/>
        <v>3.4615384615384608</v>
      </c>
      <c r="U31" s="2">
        <f t="shared" si="10"/>
        <v>5.1923076923076916</v>
      </c>
      <c r="V31" s="2">
        <f t="shared" si="11"/>
        <v>6.9230769230769216</v>
      </c>
      <c r="W31" s="2">
        <f t="shared" si="12"/>
        <v>8.6538461538461533</v>
      </c>
      <c r="X31" s="2">
        <f t="shared" si="13"/>
        <v>10.384615384615383</v>
      </c>
      <c r="Y31" s="5" t="str">
        <f t="shared" si="15"/>
        <v>1</v>
      </c>
      <c r="Z31" s="5" t="str">
        <f t="shared" si="15"/>
        <v>1</v>
      </c>
      <c r="AA31" s="5" t="str">
        <f t="shared" si="15"/>
        <v>1</v>
      </c>
      <c r="AB31" s="5" t="str">
        <f t="shared" si="15"/>
        <v>1</v>
      </c>
      <c r="AC31" s="5" t="str">
        <f t="shared" si="15"/>
        <v>1</v>
      </c>
      <c r="AD31" s="5" t="str">
        <f t="shared" si="15"/>
        <v>1</v>
      </c>
      <c r="AE31" s="5" t="str">
        <f t="shared" si="15"/>
        <v>1</v>
      </c>
    </row>
    <row r="32" spans="1:31" ht="14.4" x14ac:dyDescent="0.3">
      <c r="A32" s="14">
        <v>29</v>
      </c>
      <c r="B32" s="15" t="s">
        <v>134</v>
      </c>
      <c r="C32" s="10">
        <v>9</v>
      </c>
      <c r="D32" s="10">
        <v>25</v>
      </c>
      <c r="E32" s="16">
        <v>365</v>
      </c>
      <c r="F32" s="22">
        <v>2.9999999999999997E-4</v>
      </c>
      <c r="G32" s="10">
        <v>900</v>
      </c>
      <c r="H32" s="12">
        <v>1E-3</v>
      </c>
      <c r="I32" s="18">
        <v>10950</v>
      </c>
      <c r="J32" s="20">
        <v>9</v>
      </c>
      <c r="K32" s="19">
        <f t="shared" si="0"/>
        <v>3.2399999999999994E-3</v>
      </c>
      <c r="L32" s="2">
        <f t="shared" si="1"/>
        <v>1.7999999999999995E-3</v>
      </c>
      <c r="M32" s="2">
        <f t="shared" si="2"/>
        <v>3.599999999999999E-3</v>
      </c>
      <c r="N32" s="2">
        <f t="shared" si="3"/>
        <v>5.3999999999999994E-3</v>
      </c>
      <c r="O32" s="2">
        <f t="shared" si="4"/>
        <v>7.1999999999999981E-3</v>
      </c>
      <c r="P32" s="2">
        <f t="shared" si="5"/>
        <v>8.9999999999999976E-3</v>
      </c>
      <c r="Q32" s="2">
        <f t="shared" si="6"/>
        <v>1.0799999999999999E-2</v>
      </c>
      <c r="R32" s="2">
        <f t="shared" si="7"/>
        <v>3.2399999999999993</v>
      </c>
      <c r="S32" s="2">
        <f t="shared" si="8"/>
        <v>1.7999999999999994</v>
      </c>
      <c r="T32" s="2">
        <f t="shared" si="9"/>
        <v>3.5999999999999988</v>
      </c>
      <c r="U32" s="2">
        <f t="shared" si="10"/>
        <v>5.3999999999999995</v>
      </c>
      <c r="V32" s="2">
        <f t="shared" si="11"/>
        <v>7.1999999999999975</v>
      </c>
      <c r="W32" s="2">
        <f t="shared" si="12"/>
        <v>8.9999999999999982</v>
      </c>
      <c r="X32" s="2">
        <f t="shared" si="13"/>
        <v>10.799999999999999</v>
      </c>
      <c r="Y32" s="5" t="str">
        <f t="shared" si="15"/>
        <v>1</v>
      </c>
      <c r="Z32" s="5" t="str">
        <f t="shared" si="15"/>
        <v>1</v>
      </c>
      <c r="AA32" s="5" t="str">
        <f t="shared" si="15"/>
        <v>1</v>
      </c>
      <c r="AB32" s="5" t="str">
        <f t="shared" si="15"/>
        <v>1</v>
      </c>
      <c r="AC32" s="5" t="str">
        <f t="shared" si="15"/>
        <v>1</v>
      </c>
      <c r="AD32" s="5" t="str">
        <f t="shared" si="15"/>
        <v>1</v>
      </c>
      <c r="AE32" s="5" t="str">
        <f t="shared" si="15"/>
        <v>1</v>
      </c>
    </row>
    <row r="33" spans="1:31" ht="14.4" x14ac:dyDescent="0.3">
      <c r="A33" s="14">
        <v>30</v>
      </c>
      <c r="B33" s="15" t="s">
        <v>135</v>
      </c>
      <c r="C33" s="10">
        <v>10</v>
      </c>
      <c r="D33" s="10">
        <v>25</v>
      </c>
      <c r="E33" s="16">
        <v>365</v>
      </c>
      <c r="F33" s="22">
        <v>2.9999999999999997E-4</v>
      </c>
      <c r="G33" s="10">
        <v>900</v>
      </c>
      <c r="H33" s="12">
        <v>1E-3</v>
      </c>
      <c r="I33" s="18">
        <v>10950</v>
      </c>
      <c r="J33" s="20">
        <v>10</v>
      </c>
      <c r="K33" s="19">
        <f t="shared" si="0"/>
        <v>3.599999999999999E-3</v>
      </c>
      <c r="L33" s="2">
        <f t="shared" si="1"/>
        <v>1.7999999999999995E-3</v>
      </c>
      <c r="M33" s="2">
        <f t="shared" si="2"/>
        <v>3.599999999999999E-3</v>
      </c>
      <c r="N33" s="2">
        <f t="shared" si="3"/>
        <v>5.3999999999999994E-3</v>
      </c>
      <c r="O33" s="2">
        <f t="shared" si="4"/>
        <v>7.1999999999999981E-3</v>
      </c>
      <c r="P33" s="2">
        <f t="shared" si="5"/>
        <v>8.9999999999999976E-3</v>
      </c>
      <c r="Q33" s="2">
        <f t="shared" si="6"/>
        <v>1.0799999999999999E-2</v>
      </c>
      <c r="R33" s="2">
        <f t="shared" si="7"/>
        <v>3.5999999999999988</v>
      </c>
      <c r="S33" s="2">
        <f t="shared" si="8"/>
        <v>1.7999999999999994</v>
      </c>
      <c r="T33" s="2">
        <f t="shared" si="9"/>
        <v>3.5999999999999988</v>
      </c>
      <c r="U33" s="2">
        <f t="shared" si="10"/>
        <v>5.3999999999999995</v>
      </c>
      <c r="V33" s="2">
        <f t="shared" si="11"/>
        <v>7.1999999999999975</v>
      </c>
      <c r="W33" s="2">
        <f t="shared" si="12"/>
        <v>8.9999999999999982</v>
      </c>
      <c r="X33" s="2">
        <f t="shared" si="13"/>
        <v>10.799999999999999</v>
      </c>
      <c r="Y33" s="5" t="str">
        <f t="shared" si="15"/>
        <v>1</v>
      </c>
      <c r="Z33" s="5" t="str">
        <f t="shared" si="15"/>
        <v>1</v>
      </c>
      <c r="AA33" s="5" t="str">
        <f t="shared" si="15"/>
        <v>1</v>
      </c>
      <c r="AB33" s="5" t="str">
        <f t="shared" si="15"/>
        <v>1</v>
      </c>
      <c r="AC33" s="5" t="str">
        <f t="shared" si="15"/>
        <v>1</v>
      </c>
      <c r="AD33" s="5" t="str">
        <f t="shared" si="15"/>
        <v>1</v>
      </c>
      <c r="AE33" s="5" t="str">
        <f t="shared" si="15"/>
        <v>1</v>
      </c>
    </row>
    <row r="34" spans="1:31" ht="14.4" x14ac:dyDescent="0.3">
      <c r="A34" s="14">
        <v>31</v>
      </c>
      <c r="B34" s="15" t="s">
        <v>136</v>
      </c>
      <c r="C34" s="10">
        <v>10</v>
      </c>
      <c r="D34" s="10">
        <v>33</v>
      </c>
      <c r="E34" s="16">
        <v>365</v>
      </c>
      <c r="F34" s="22">
        <v>2.9999999999999997E-4</v>
      </c>
      <c r="G34" s="10">
        <v>900</v>
      </c>
      <c r="H34" s="12">
        <v>1E-3</v>
      </c>
      <c r="I34" s="18">
        <v>10950</v>
      </c>
      <c r="J34" s="20">
        <v>10</v>
      </c>
      <c r="K34" s="19">
        <f t="shared" si="0"/>
        <v>2.7272727272727266E-3</v>
      </c>
      <c r="L34" s="2">
        <f t="shared" si="1"/>
        <v>1.3636363636363633E-3</v>
      </c>
      <c r="M34" s="2">
        <f t="shared" si="2"/>
        <v>2.7272727272727266E-3</v>
      </c>
      <c r="N34" s="2">
        <f t="shared" si="3"/>
        <v>4.0909090909090904E-3</v>
      </c>
      <c r="O34" s="2">
        <f t="shared" si="4"/>
        <v>5.4545454545454532E-3</v>
      </c>
      <c r="P34" s="2">
        <f t="shared" si="5"/>
        <v>6.818181818181817E-3</v>
      </c>
      <c r="Q34" s="2">
        <f t="shared" si="6"/>
        <v>8.1818181818181807E-3</v>
      </c>
      <c r="R34" s="2">
        <f t="shared" si="7"/>
        <v>2.7272727272727266</v>
      </c>
      <c r="S34" s="2">
        <f t="shared" si="8"/>
        <v>1.3636363636363633</v>
      </c>
      <c r="T34" s="2">
        <f t="shared" si="9"/>
        <v>2.7272727272727266</v>
      </c>
      <c r="U34" s="2">
        <f t="shared" si="10"/>
        <v>4.0909090909090899</v>
      </c>
      <c r="V34" s="2">
        <f t="shared" si="11"/>
        <v>5.4545454545454533</v>
      </c>
      <c r="W34" s="2">
        <f t="shared" si="12"/>
        <v>6.8181818181818166</v>
      </c>
      <c r="X34" s="2">
        <f t="shared" si="13"/>
        <v>8.1818181818181799</v>
      </c>
      <c r="Y34" s="5" t="str">
        <f t="shared" si="15"/>
        <v>1</v>
      </c>
      <c r="Z34" s="5" t="str">
        <f t="shared" si="15"/>
        <v>1</v>
      </c>
      <c r="AA34" s="5" t="str">
        <f t="shared" si="15"/>
        <v>1</v>
      </c>
      <c r="AB34" s="5" t="str">
        <f t="shared" si="15"/>
        <v>1</v>
      </c>
      <c r="AC34" s="5" t="str">
        <f t="shared" si="15"/>
        <v>1</v>
      </c>
      <c r="AD34" s="5" t="str">
        <f t="shared" si="15"/>
        <v>1</v>
      </c>
      <c r="AE34" s="5" t="str">
        <f t="shared" si="15"/>
        <v>1</v>
      </c>
    </row>
    <row r="35" spans="1:31" ht="14.4" x14ac:dyDescent="0.3">
      <c r="A35" s="14">
        <v>32</v>
      </c>
      <c r="B35" s="15" t="s">
        <v>137</v>
      </c>
      <c r="C35" s="10">
        <v>10</v>
      </c>
      <c r="D35" s="10">
        <v>25</v>
      </c>
      <c r="E35" s="16">
        <v>365</v>
      </c>
      <c r="F35" s="22">
        <v>2.9999999999999997E-4</v>
      </c>
      <c r="G35" s="10">
        <v>900</v>
      </c>
      <c r="H35" s="12">
        <v>1E-3</v>
      </c>
      <c r="I35" s="18">
        <v>10950</v>
      </c>
      <c r="J35" s="20">
        <v>10</v>
      </c>
      <c r="K35" s="19">
        <f t="shared" si="0"/>
        <v>3.599999999999999E-3</v>
      </c>
      <c r="L35" s="2">
        <f t="shared" si="1"/>
        <v>1.7999999999999995E-3</v>
      </c>
      <c r="M35" s="2">
        <f t="shared" si="2"/>
        <v>3.599999999999999E-3</v>
      </c>
      <c r="N35" s="2">
        <f t="shared" si="3"/>
        <v>5.3999999999999994E-3</v>
      </c>
      <c r="O35" s="2">
        <f t="shared" si="4"/>
        <v>7.1999999999999981E-3</v>
      </c>
      <c r="P35" s="2">
        <f t="shared" si="5"/>
        <v>8.9999999999999976E-3</v>
      </c>
      <c r="Q35" s="2">
        <f t="shared" si="6"/>
        <v>1.0799999999999999E-2</v>
      </c>
      <c r="R35" s="2">
        <f t="shared" si="7"/>
        <v>3.5999999999999988</v>
      </c>
      <c r="S35" s="2">
        <f t="shared" si="8"/>
        <v>1.7999999999999994</v>
      </c>
      <c r="T35" s="2">
        <f t="shared" si="9"/>
        <v>3.5999999999999988</v>
      </c>
      <c r="U35" s="2">
        <f t="shared" si="10"/>
        <v>5.3999999999999995</v>
      </c>
      <c r="V35" s="2">
        <f t="shared" si="11"/>
        <v>7.1999999999999975</v>
      </c>
      <c r="W35" s="2">
        <f t="shared" si="12"/>
        <v>8.9999999999999982</v>
      </c>
      <c r="X35" s="2">
        <f t="shared" si="13"/>
        <v>10.799999999999999</v>
      </c>
      <c r="Y35" s="5" t="str">
        <f t="shared" si="15"/>
        <v>1</v>
      </c>
      <c r="Z35" s="5" t="str">
        <f t="shared" si="15"/>
        <v>1</v>
      </c>
      <c r="AA35" s="5" t="str">
        <f t="shared" si="15"/>
        <v>1</v>
      </c>
      <c r="AB35" s="5" t="str">
        <f t="shared" si="15"/>
        <v>1</v>
      </c>
      <c r="AC35" s="5" t="str">
        <f t="shared" si="15"/>
        <v>1</v>
      </c>
      <c r="AD35" s="5" t="str">
        <f t="shared" si="15"/>
        <v>1</v>
      </c>
      <c r="AE35" s="5" t="str">
        <f t="shared" si="15"/>
        <v>1</v>
      </c>
    </row>
    <row r="36" spans="1:31" ht="14.4" x14ac:dyDescent="0.3">
      <c r="A36" s="14">
        <v>33</v>
      </c>
      <c r="B36" s="15" t="s">
        <v>138</v>
      </c>
      <c r="C36" s="10">
        <v>10</v>
      </c>
      <c r="D36" s="10">
        <v>25</v>
      </c>
      <c r="E36" s="16">
        <v>365</v>
      </c>
      <c r="F36" s="22">
        <v>2.9999999999999997E-4</v>
      </c>
      <c r="G36" s="10">
        <v>900</v>
      </c>
      <c r="H36" s="12">
        <v>1E-3</v>
      </c>
      <c r="I36" s="18">
        <v>10950</v>
      </c>
      <c r="J36" s="20">
        <v>10</v>
      </c>
      <c r="K36" s="19">
        <f t="shared" si="0"/>
        <v>3.599999999999999E-3</v>
      </c>
      <c r="L36" s="2">
        <f t="shared" si="1"/>
        <v>1.7999999999999995E-3</v>
      </c>
      <c r="M36" s="2">
        <f t="shared" si="2"/>
        <v>3.599999999999999E-3</v>
      </c>
      <c r="N36" s="2">
        <f t="shared" si="3"/>
        <v>5.3999999999999994E-3</v>
      </c>
      <c r="O36" s="2">
        <f t="shared" si="4"/>
        <v>7.1999999999999981E-3</v>
      </c>
      <c r="P36" s="2">
        <f t="shared" si="5"/>
        <v>8.9999999999999976E-3</v>
      </c>
      <c r="Q36" s="2">
        <f t="shared" si="6"/>
        <v>1.0799999999999999E-2</v>
      </c>
      <c r="R36" s="2">
        <f t="shared" si="7"/>
        <v>3.5999999999999988</v>
      </c>
      <c r="S36" s="2">
        <f t="shared" si="8"/>
        <v>1.7999999999999994</v>
      </c>
      <c r="T36" s="2">
        <f t="shared" si="9"/>
        <v>3.5999999999999988</v>
      </c>
      <c r="U36" s="2">
        <f t="shared" si="10"/>
        <v>5.3999999999999995</v>
      </c>
      <c r="V36" s="2">
        <f t="shared" si="11"/>
        <v>7.1999999999999975</v>
      </c>
      <c r="W36" s="2">
        <f t="shared" si="12"/>
        <v>8.9999999999999982</v>
      </c>
      <c r="X36" s="2">
        <f t="shared" si="13"/>
        <v>10.799999999999999</v>
      </c>
      <c r="Y36" s="5" t="str">
        <f t="shared" si="15"/>
        <v>1</v>
      </c>
      <c r="Z36" s="5" t="str">
        <f t="shared" si="15"/>
        <v>1</v>
      </c>
      <c r="AA36" s="5" t="str">
        <f t="shared" si="15"/>
        <v>1</v>
      </c>
      <c r="AB36" s="5" t="str">
        <f t="shared" si="15"/>
        <v>1</v>
      </c>
      <c r="AC36" s="5" t="str">
        <f t="shared" si="15"/>
        <v>1</v>
      </c>
      <c r="AD36" s="5" t="str">
        <f t="shared" si="15"/>
        <v>1</v>
      </c>
      <c r="AE36" s="5" t="str">
        <f t="shared" si="15"/>
        <v>1</v>
      </c>
    </row>
    <row r="37" spans="1:31" ht="14.4" x14ac:dyDescent="0.3">
      <c r="A37" s="14">
        <v>34</v>
      </c>
      <c r="B37" s="15" t="s">
        <v>139</v>
      </c>
      <c r="C37" s="10">
        <v>10</v>
      </c>
      <c r="D37" s="10">
        <v>33</v>
      </c>
      <c r="E37" s="17">
        <v>365</v>
      </c>
      <c r="F37" s="22">
        <v>2.9999999999999997E-4</v>
      </c>
      <c r="G37" s="10">
        <v>900</v>
      </c>
      <c r="H37" s="12">
        <v>1E-3</v>
      </c>
      <c r="I37" s="18">
        <v>10950</v>
      </c>
      <c r="J37" s="20">
        <v>10</v>
      </c>
      <c r="K37" s="19">
        <f t="shared" si="0"/>
        <v>2.7272727272727266E-3</v>
      </c>
      <c r="L37" s="2">
        <f t="shared" si="1"/>
        <v>1.3636363636363633E-3</v>
      </c>
      <c r="M37" s="2">
        <f t="shared" si="2"/>
        <v>2.7272727272727266E-3</v>
      </c>
      <c r="N37" s="2">
        <f t="shared" si="3"/>
        <v>4.0909090909090904E-3</v>
      </c>
      <c r="O37" s="2">
        <f t="shared" si="4"/>
        <v>5.4545454545454532E-3</v>
      </c>
      <c r="P37" s="2">
        <f t="shared" si="5"/>
        <v>6.818181818181817E-3</v>
      </c>
      <c r="Q37" s="2">
        <f t="shared" si="6"/>
        <v>8.1818181818181807E-3</v>
      </c>
      <c r="R37" s="2">
        <f t="shared" si="7"/>
        <v>2.7272727272727266</v>
      </c>
      <c r="S37" s="2">
        <f t="shared" si="8"/>
        <v>1.3636363636363633</v>
      </c>
      <c r="T37" s="2">
        <f t="shared" si="9"/>
        <v>2.7272727272727266</v>
      </c>
      <c r="U37" s="2">
        <f t="shared" si="10"/>
        <v>4.0909090909090899</v>
      </c>
      <c r="V37" s="2">
        <f t="shared" si="11"/>
        <v>5.4545454545454533</v>
      </c>
      <c r="W37" s="2">
        <f t="shared" si="12"/>
        <v>6.8181818181818166</v>
      </c>
      <c r="X37" s="2">
        <f t="shared" si="13"/>
        <v>8.1818181818181799</v>
      </c>
      <c r="Y37" s="5" t="str">
        <f t="shared" si="15"/>
        <v>1</v>
      </c>
      <c r="Z37" s="5" t="str">
        <f t="shared" si="15"/>
        <v>1</v>
      </c>
      <c r="AA37" s="5" t="str">
        <f t="shared" si="15"/>
        <v>1</v>
      </c>
      <c r="AB37" s="5" t="str">
        <f t="shared" si="15"/>
        <v>1</v>
      </c>
      <c r="AC37" s="5" t="str">
        <f t="shared" si="15"/>
        <v>1</v>
      </c>
      <c r="AD37" s="5" t="str">
        <f t="shared" si="15"/>
        <v>1</v>
      </c>
      <c r="AE37" s="5" t="str">
        <f t="shared" si="15"/>
        <v>1</v>
      </c>
    </row>
    <row r="38" spans="1:31" ht="14.4" x14ac:dyDescent="0.3">
      <c r="A38" s="14">
        <v>35</v>
      </c>
      <c r="B38" s="15" t="s">
        <v>140</v>
      </c>
      <c r="C38" s="10">
        <v>10</v>
      </c>
      <c r="D38" s="10">
        <v>25</v>
      </c>
      <c r="E38" s="17">
        <v>365</v>
      </c>
      <c r="F38" s="22">
        <v>2.9999999999999997E-4</v>
      </c>
      <c r="G38" s="10">
        <v>900</v>
      </c>
      <c r="H38" s="12">
        <v>1E-3</v>
      </c>
      <c r="I38" s="18">
        <v>10950</v>
      </c>
      <c r="J38" s="20">
        <v>10</v>
      </c>
      <c r="K38" s="19">
        <f t="shared" si="0"/>
        <v>3.599999999999999E-3</v>
      </c>
      <c r="L38" s="2">
        <f t="shared" si="1"/>
        <v>1.7999999999999995E-3</v>
      </c>
      <c r="M38" s="2">
        <f t="shared" si="2"/>
        <v>3.599999999999999E-3</v>
      </c>
      <c r="N38" s="2">
        <f t="shared" si="3"/>
        <v>5.3999999999999994E-3</v>
      </c>
      <c r="O38" s="2">
        <f t="shared" si="4"/>
        <v>7.1999999999999981E-3</v>
      </c>
      <c r="P38" s="2">
        <f t="shared" si="5"/>
        <v>8.9999999999999976E-3</v>
      </c>
      <c r="Q38" s="2">
        <f t="shared" si="6"/>
        <v>1.0799999999999999E-2</v>
      </c>
      <c r="R38" s="2">
        <f t="shared" si="7"/>
        <v>3.5999999999999988</v>
      </c>
      <c r="S38" s="2">
        <f t="shared" si="8"/>
        <v>1.7999999999999994</v>
      </c>
      <c r="T38" s="2">
        <f t="shared" si="9"/>
        <v>3.5999999999999988</v>
      </c>
      <c r="U38" s="2">
        <f t="shared" si="10"/>
        <v>5.3999999999999995</v>
      </c>
      <c r="V38" s="2">
        <f t="shared" si="11"/>
        <v>7.1999999999999975</v>
      </c>
      <c r="W38" s="2">
        <f t="shared" si="12"/>
        <v>8.9999999999999982</v>
      </c>
      <c r="X38" s="2">
        <f t="shared" si="13"/>
        <v>10.799999999999999</v>
      </c>
      <c r="Y38" s="5" t="str">
        <f t="shared" si="15"/>
        <v>1</v>
      </c>
      <c r="Z38" s="5" t="str">
        <f t="shared" si="15"/>
        <v>1</v>
      </c>
      <c r="AA38" s="5" t="str">
        <f t="shared" si="15"/>
        <v>1</v>
      </c>
      <c r="AB38" s="5" t="str">
        <f t="shared" si="15"/>
        <v>1</v>
      </c>
      <c r="AC38" s="5" t="str">
        <f t="shared" si="15"/>
        <v>1</v>
      </c>
      <c r="AD38" s="5" t="str">
        <f t="shared" si="15"/>
        <v>1</v>
      </c>
      <c r="AE38" s="5" t="str">
        <f t="shared" si="15"/>
        <v>1</v>
      </c>
    </row>
    <row r="39" spans="1:31" ht="14.4" x14ac:dyDescent="0.3">
      <c r="A39" s="14">
        <v>36</v>
      </c>
      <c r="B39" s="15" t="s">
        <v>141</v>
      </c>
      <c r="C39" s="10">
        <v>10</v>
      </c>
      <c r="D39" s="10">
        <v>24</v>
      </c>
      <c r="E39" s="17">
        <v>365</v>
      </c>
      <c r="F39" s="22">
        <v>2.9999999999999997E-4</v>
      </c>
      <c r="G39" s="10">
        <v>900</v>
      </c>
      <c r="H39" s="12">
        <v>1E-3</v>
      </c>
      <c r="I39" s="18">
        <v>10950</v>
      </c>
      <c r="J39" s="20">
        <v>1</v>
      </c>
      <c r="K39" s="19">
        <f t="shared" si="0"/>
        <v>3.7499999999999995E-4</v>
      </c>
      <c r="L39" s="2">
        <f t="shared" si="1"/>
        <v>1.8749999999999995E-3</v>
      </c>
      <c r="M39" s="2">
        <f t="shared" si="2"/>
        <v>3.749999999999999E-3</v>
      </c>
      <c r="N39" s="2">
        <f t="shared" si="3"/>
        <v>5.6249999999999989E-3</v>
      </c>
      <c r="O39" s="2">
        <f t="shared" si="4"/>
        <v>7.499999999999998E-3</v>
      </c>
      <c r="P39" s="2">
        <f t="shared" si="5"/>
        <v>9.3749999999999979E-3</v>
      </c>
      <c r="Q39" s="2">
        <f t="shared" si="6"/>
        <v>1.1249999999999998E-2</v>
      </c>
      <c r="R39" s="2">
        <f t="shared" si="7"/>
        <v>0.37499999999999994</v>
      </c>
      <c r="S39" s="2">
        <f t="shared" si="8"/>
        <v>1.8749999999999996</v>
      </c>
      <c r="T39" s="2">
        <f t="shared" si="9"/>
        <v>3.7499999999999991</v>
      </c>
      <c r="U39" s="2">
        <f t="shared" si="10"/>
        <v>5.6249999999999991</v>
      </c>
      <c r="V39" s="2">
        <f t="shared" si="11"/>
        <v>7.4999999999999982</v>
      </c>
      <c r="W39" s="2">
        <f t="shared" si="12"/>
        <v>9.3749999999999982</v>
      </c>
      <c r="X39" s="2">
        <f t="shared" si="13"/>
        <v>11.249999999999998</v>
      </c>
      <c r="Y39" s="5" t="str">
        <f t="shared" si="15"/>
        <v>2</v>
      </c>
      <c r="Z39" s="5" t="str">
        <f t="shared" si="15"/>
        <v>1</v>
      </c>
      <c r="AA39" s="5" t="str">
        <f t="shared" si="15"/>
        <v>1</v>
      </c>
      <c r="AB39" s="5" t="str">
        <f t="shared" si="15"/>
        <v>1</v>
      </c>
      <c r="AC39" s="5" t="str">
        <f t="shared" si="15"/>
        <v>1</v>
      </c>
      <c r="AD39" s="5" t="str">
        <f t="shared" si="15"/>
        <v>1</v>
      </c>
      <c r="AE39" s="5" t="str">
        <f t="shared" si="15"/>
        <v>1</v>
      </c>
    </row>
    <row r="40" spans="1:31" ht="14.4" x14ac:dyDescent="0.3">
      <c r="A40" s="14">
        <v>37</v>
      </c>
      <c r="B40" s="15" t="s">
        <v>142</v>
      </c>
      <c r="C40" s="10">
        <v>10</v>
      </c>
      <c r="D40" s="10">
        <v>20</v>
      </c>
      <c r="E40" s="17">
        <v>365</v>
      </c>
      <c r="F40" s="22">
        <v>2.9999999999999997E-4</v>
      </c>
      <c r="G40" s="10">
        <v>900</v>
      </c>
      <c r="H40" s="12">
        <v>1E-3</v>
      </c>
      <c r="I40" s="18">
        <v>10950</v>
      </c>
      <c r="J40" s="20">
        <v>10</v>
      </c>
      <c r="K40" s="19">
        <f t="shared" si="0"/>
        <v>4.4999999999999988E-3</v>
      </c>
      <c r="L40" s="2">
        <f t="shared" si="1"/>
        <v>2.2499999999999994E-3</v>
      </c>
      <c r="M40" s="2">
        <f t="shared" si="2"/>
        <v>4.4999999999999988E-3</v>
      </c>
      <c r="N40" s="2">
        <f t="shared" si="3"/>
        <v>6.7499999999999991E-3</v>
      </c>
      <c r="O40" s="2">
        <f t="shared" si="4"/>
        <v>8.9999999999999976E-3</v>
      </c>
      <c r="P40" s="2">
        <f t="shared" si="5"/>
        <v>1.1249999999999998E-2</v>
      </c>
      <c r="Q40" s="2">
        <f t="shared" si="6"/>
        <v>1.3499999999999998E-2</v>
      </c>
      <c r="R40" s="2">
        <f t="shared" si="7"/>
        <v>4.4999999999999991</v>
      </c>
      <c r="S40" s="2">
        <f t="shared" si="8"/>
        <v>2.2499999999999996</v>
      </c>
      <c r="T40" s="2">
        <f t="shared" si="9"/>
        <v>4.4999999999999991</v>
      </c>
      <c r="U40" s="2">
        <f t="shared" si="10"/>
        <v>6.7499999999999991</v>
      </c>
      <c r="V40" s="2">
        <f t="shared" si="11"/>
        <v>8.9999999999999982</v>
      </c>
      <c r="W40" s="2">
        <f t="shared" si="12"/>
        <v>11.249999999999998</v>
      </c>
      <c r="X40" s="2">
        <f t="shared" si="13"/>
        <v>13.499999999999998</v>
      </c>
      <c r="Y40" s="5" t="str">
        <f t="shared" si="15"/>
        <v>1</v>
      </c>
      <c r="Z40" s="5" t="str">
        <f t="shared" si="15"/>
        <v>1</v>
      </c>
      <c r="AA40" s="5" t="str">
        <f t="shared" si="15"/>
        <v>1</v>
      </c>
      <c r="AB40" s="5" t="str">
        <f t="shared" si="15"/>
        <v>1</v>
      </c>
      <c r="AC40" s="5" t="str">
        <f t="shared" si="15"/>
        <v>1</v>
      </c>
      <c r="AD40" s="5" t="str">
        <f t="shared" si="15"/>
        <v>1</v>
      </c>
      <c r="AE40" s="5" t="str">
        <f t="shared" si="15"/>
        <v>1</v>
      </c>
    </row>
    <row r="41" spans="1:31" ht="14.4" x14ac:dyDescent="0.3">
      <c r="A41" s="14">
        <v>38</v>
      </c>
      <c r="B41" s="15" t="s">
        <v>143</v>
      </c>
      <c r="C41" s="10">
        <v>10</v>
      </c>
      <c r="D41" s="10">
        <v>25</v>
      </c>
      <c r="E41" s="17">
        <v>365</v>
      </c>
      <c r="F41" s="22">
        <v>2.9999999999999997E-4</v>
      </c>
      <c r="G41" s="10">
        <v>900</v>
      </c>
      <c r="H41" s="12">
        <v>1E-3</v>
      </c>
      <c r="I41" s="18">
        <v>10950</v>
      </c>
      <c r="J41" s="20">
        <v>10</v>
      </c>
      <c r="K41" s="19">
        <f t="shared" si="0"/>
        <v>3.599999999999999E-3</v>
      </c>
      <c r="L41" s="2">
        <f t="shared" si="1"/>
        <v>1.7999999999999995E-3</v>
      </c>
      <c r="M41" s="2">
        <f t="shared" si="2"/>
        <v>3.599999999999999E-3</v>
      </c>
      <c r="N41" s="2">
        <f t="shared" si="3"/>
        <v>5.3999999999999994E-3</v>
      </c>
      <c r="O41" s="2">
        <f t="shared" si="4"/>
        <v>7.1999999999999981E-3</v>
      </c>
      <c r="P41" s="2">
        <f t="shared" si="5"/>
        <v>8.9999999999999976E-3</v>
      </c>
      <c r="Q41" s="2">
        <f t="shared" si="6"/>
        <v>1.0799999999999999E-2</v>
      </c>
      <c r="R41" s="2">
        <f t="shared" si="7"/>
        <v>3.5999999999999988</v>
      </c>
      <c r="S41" s="2">
        <f t="shared" si="8"/>
        <v>1.7999999999999994</v>
      </c>
      <c r="T41" s="2">
        <f t="shared" si="9"/>
        <v>3.5999999999999988</v>
      </c>
      <c r="U41" s="2">
        <f t="shared" si="10"/>
        <v>5.3999999999999995</v>
      </c>
      <c r="V41" s="2">
        <f t="shared" si="11"/>
        <v>7.1999999999999975</v>
      </c>
      <c r="W41" s="2">
        <f t="shared" si="12"/>
        <v>8.9999999999999982</v>
      </c>
      <c r="X41" s="2">
        <f t="shared" si="13"/>
        <v>10.799999999999999</v>
      </c>
      <c r="Y41" s="5" t="str">
        <f t="shared" si="15"/>
        <v>1</v>
      </c>
      <c r="Z41" s="5" t="str">
        <f t="shared" si="15"/>
        <v>1</v>
      </c>
      <c r="AA41" s="5" t="str">
        <f t="shared" si="15"/>
        <v>1</v>
      </c>
      <c r="AB41" s="5" t="str">
        <f t="shared" si="15"/>
        <v>1</v>
      </c>
      <c r="AC41" s="5" t="str">
        <f t="shared" si="15"/>
        <v>1</v>
      </c>
      <c r="AD41" s="5" t="str">
        <f t="shared" si="15"/>
        <v>1</v>
      </c>
      <c r="AE41" s="5" t="str">
        <f t="shared" si="15"/>
        <v>1</v>
      </c>
    </row>
    <row r="42" spans="1:31" ht="14.4" x14ac:dyDescent="0.3">
      <c r="A42" s="14">
        <v>39</v>
      </c>
      <c r="B42" s="15" t="s">
        <v>144</v>
      </c>
      <c r="C42" s="10">
        <v>10</v>
      </c>
      <c r="D42" s="10">
        <v>30</v>
      </c>
      <c r="E42" s="17">
        <v>365</v>
      </c>
      <c r="F42" s="22">
        <v>2.9999999999999997E-4</v>
      </c>
      <c r="G42" s="10">
        <v>900</v>
      </c>
      <c r="H42" s="12">
        <v>1E-3</v>
      </c>
      <c r="I42" s="18">
        <v>10950</v>
      </c>
      <c r="J42" s="20">
        <v>10</v>
      </c>
      <c r="K42" s="19">
        <f t="shared" si="0"/>
        <v>2.9999999999999992E-3</v>
      </c>
      <c r="L42" s="2">
        <f t="shared" si="1"/>
        <v>1.4999999999999996E-3</v>
      </c>
      <c r="M42" s="2">
        <f t="shared" si="2"/>
        <v>2.9999999999999992E-3</v>
      </c>
      <c r="N42" s="2">
        <f t="shared" si="3"/>
        <v>4.4999999999999997E-3</v>
      </c>
      <c r="O42" s="2">
        <f t="shared" si="4"/>
        <v>5.9999999999999984E-3</v>
      </c>
      <c r="P42" s="2">
        <f t="shared" si="5"/>
        <v>7.4999999999999989E-3</v>
      </c>
      <c r="Q42" s="2">
        <f t="shared" si="6"/>
        <v>8.9999999999999993E-3</v>
      </c>
      <c r="R42" s="2">
        <f t="shared" si="7"/>
        <v>2.9999999999999991</v>
      </c>
      <c r="S42" s="2">
        <f t="shared" si="8"/>
        <v>1.4999999999999996</v>
      </c>
      <c r="T42" s="2">
        <f t="shared" si="9"/>
        <v>2.9999999999999991</v>
      </c>
      <c r="U42" s="2">
        <f t="shared" si="10"/>
        <v>4.5</v>
      </c>
      <c r="V42" s="2">
        <f t="shared" si="11"/>
        <v>5.9999999999999982</v>
      </c>
      <c r="W42" s="2">
        <f t="shared" si="12"/>
        <v>7.4999999999999991</v>
      </c>
      <c r="X42" s="2">
        <f t="shared" si="13"/>
        <v>9</v>
      </c>
      <c r="Y42" s="5" t="str">
        <f t="shared" si="15"/>
        <v>1</v>
      </c>
      <c r="Z42" s="5" t="str">
        <f t="shared" si="15"/>
        <v>1</v>
      </c>
      <c r="AA42" s="5" t="str">
        <f t="shared" si="15"/>
        <v>1</v>
      </c>
      <c r="AB42" s="5" t="str">
        <f t="shared" si="15"/>
        <v>1</v>
      </c>
      <c r="AC42" s="5" t="str">
        <f t="shared" si="15"/>
        <v>1</v>
      </c>
      <c r="AD42" s="5" t="str">
        <f t="shared" si="15"/>
        <v>1</v>
      </c>
      <c r="AE42" s="5" t="str">
        <f t="shared" si="15"/>
        <v>1</v>
      </c>
    </row>
    <row r="43" spans="1:31" ht="14.4" x14ac:dyDescent="0.3">
      <c r="A43" s="14">
        <v>40</v>
      </c>
      <c r="B43" s="15" t="s">
        <v>145</v>
      </c>
      <c r="C43" s="10">
        <v>10</v>
      </c>
      <c r="D43" s="10">
        <v>25</v>
      </c>
      <c r="E43" s="17">
        <v>365</v>
      </c>
      <c r="F43" s="22">
        <v>2.9999999999999997E-4</v>
      </c>
      <c r="G43" s="10">
        <v>900</v>
      </c>
      <c r="H43" s="12">
        <v>1E-3</v>
      </c>
      <c r="I43" s="18">
        <v>10950</v>
      </c>
      <c r="J43" s="20">
        <v>10</v>
      </c>
      <c r="K43" s="19">
        <f t="shared" si="0"/>
        <v>3.599999999999999E-3</v>
      </c>
      <c r="L43" s="2">
        <f t="shared" si="1"/>
        <v>1.7999999999999995E-3</v>
      </c>
      <c r="M43" s="2">
        <f t="shared" si="2"/>
        <v>3.599999999999999E-3</v>
      </c>
      <c r="N43" s="2">
        <f t="shared" si="3"/>
        <v>5.3999999999999994E-3</v>
      </c>
      <c r="O43" s="2">
        <f t="shared" si="4"/>
        <v>7.1999999999999981E-3</v>
      </c>
      <c r="P43" s="2">
        <f t="shared" si="5"/>
        <v>8.9999999999999976E-3</v>
      </c>
      <c r="Q43" s="2">
        <f t="shared" si="6"/>
        <v>1.0799999999999999E-2</v>
      </c>
      <c r="R43" s="2">
        <f t="shared" si="7"/>
        <v>3.5999999999999988</v>
      </c>
      <c r="S43" s="2">
        <f>L43/H43</f>
        <v>1.7999999999999994</v>
      </c>
      <c r="T43" s="2">
        <f t="shared" si="9"/>
        <v>3.5999999999999988</v>
      </c>
      <c r="U43" s="2">
        <f t="shared" si="10"/>
        <v>5.3999999999999995</v>
      </c>
      <c r="V43" s="2">
        <f t="shared" si="11"/>
        <v>7.1999999999999975</v>
      </c>
      <c r="W43" s="2">
        <f t="shared" si="12"/>
        <v>8.9999999999999982</v>
      </c>
      <c r="X43" s="2">
        <f t="shared" si="13"/>
        <v>10.799999999999999</v>
      </c>
      <c r="Y43" s="5" t="str">
        <f t="shared" si="15"/>
        <v>1</v>
      </c>
      <c r="Z43" s="5" t="str">
        <f t="shared" si="15"/>
        <v>1</v>
      </c>
      <c r="AA43" s="5" t="str">
        <f t="shared" si="15"/>
        <v>1</v>
      </c>
      <c r="AB43" s="5" t="str">
        <f t="shared" si="15"/>
        <v>1</v>
      </c>
      <c r="AC43" s="5" t="str">
        <f t="shared" si="15"/>
        <v>1</v>
      </c>
      <c r="AD43" s="5" t="str">
        <f t="shared" si="15"/>
        <v>1</v>
      </c>
      <c r="AE43" s="5" t="str">
        <f t="shared" si="15"/>
        <v>1</v>
      </c>
    </row>
    <row r="44" spans="1:31" ht="14.4" x14ac:dyDescent="0.3">
      <c r="A44" s="14">
        <v>41</v>
      </c>
      <c r="B44" s="15" t="s">
        <v>146</v>
      </c>
      <c r="C44" s="10">
        <v>10</v>
      </c>
      <c r="D44" s="10">
        <v>37</v>
      </c>
      <c r="E44" s="17">
        <v>365</v>
      </c>
      <c r="F44" s="22">
        <v>2.9999999999999997E-4</v>
      </c>
      <c r="G44" s="10">
        <v>900</v>
      </c>
      <c r="H44" s="12">
        <v>1E-3</v>
      </c>
      <c r="I44" s="18">
        <v>10950</v>
      </c>
      <c r="J44" s="20">
        <v>10</v>
      </c>
      <c r="K44" s="19">
        <f t="shared" si="0"/>
        <v>2.4324324324324319E-3</v>
      </c>
      <c r="L44" s="2">
        <f t="shared" si="1"/>
        <v>1.2162162162162159E-3</v>
      </c>
      <c r="M44" s="2">
        <f t="shared" si="2"/>
        <v>2.4324324324324319E-3</v>
      </c>
      <c r="N44" s="2">
        <f t="shared" si="3"/>
        <v>3.6486486486486482E-3</v>
      </c>
      <c r="O44" s="2">
        <f t="shared" si="4"/>
        <v>4.8648648648648637E-3</v>
      </c>
      <c r="P44" s="2">
        <f t="shared" si="5"/>
        <v>6.0810810810810797E-3</v>
      </c>
      <c r="Q44" s="2">
        <f t="shared" si="6"/>
        <v>7.2972972972972965E-3</v>
      </c>
      <c r="R44" s="2">
        <f t="shared" si="7"/>
        <v>2.432432432432432</v>
      </c>
      <c r="S44" s="2">
        <f t="shared" ref="S44:S103" si="16">L44/H44</f>
        <v>1.216216216216216</v>
      </c>
      <c r="T44" s="2">
        <f t="shared" si="9"/>
        <v>2.432432432432432</v>
      </c>
      <c r="U44" s="2">
        <f>N44/H44</f>
        <v>3.6486486486486482</v>
      </c>
      <c r="V44" s="2">
        <f>O44/H44</f>
        <v>4.864864864864864</v>
      </c>
      <c r="W44" s="2">
        <f>P44/H44</f>
        <v>6.0810810810810798</v>
      </c>
      <c r="X44" s="2">
        <f>Q44/H44</f>
        <v>7.2972972972972965</v>
      </c>
      <c r="Y44" s="5" t="str">
        <f t="shared" si="15"/>
        <v>1</v>
      </c>
      <c r="Z44" s="5" t="str">
        <f t="shared" si="15"/>
        <v>1</v>
      </c>
      <c r="AA44" s="5" t="str">
        <f t="shared" si="15"/>
        <v>1</v>
      </c>
      <c r="AB44" s="5" t="str">
        <f t="shared" si="15"/>
        <v>1</v>
      </c>
      <c r="AC44" s="5" t="str">
        <f t="shared" si="15"/>
        <v>1</v>
      </c>
      <c r="AD44" s="5" t="str">
        <f t="shared" si="15"/>
        <v>1</v>
      </c>
      <c r="AE44" s="5" t="str">
        <f t="shared" si="15"/>
        <v>1</v>
      </c>
    </row>
    <row r="45" spans="1:31" ht="14.4" x14ac:dyDescent="0.3">
      <c r="A45" s="14">
        <v>42</v>
      </c>
      <c r="B45" s="15" t="s">
        <v>147</v>
      </c>
      <c r="C45" s="10">
        <v>10</v>
      </c>
      <c r="D45" s="10">
        <v>22</v>
      </c>
      <c r="E45" s="17">
        <v>365</v>
      </c>
      <c r="F45" s="22">
        <v>2.9999999999999997E-4</v>
      </c>
      <c r="G45" s="10">
        <v>900</v>
      </c>
      <c r="H45" s="12">
        <v>1E-3</v>
      </c>
      <c r="I45" s="18">
        <v>10950</v>
      </c>
      <c r="J45" s="20">
        <v>10</v>
      </c>
      <c r="K45" s="19">
        <f t="shared" si="0"/>
        <v>4.0909090909090904E-3</v>
      </c>
      <c r="L45" s="2">
        <f t="shared" si="1"/>
        <v>2.0454545454545452E-3</v>
      </c>
      <c r="M45" s="2">
        <f t="shared" si="2"/>
        <v>4.0909090909090904E-3</v>
      </c>
      <c r="N45" s="2">
        <f t="shared" si="3"/>
        <v>6.1363636363636351E-3</v>
      </c>
      <c r="O45" s="2">
        <f t="shared" si="4"/>
        <v>8.1818181818181807E-3</v>
      </c>
      <c r="P45" s="2">
        <f t="shared" si="5"/>
        <v>1.0227272727272725E-2</v>
      </c>
      <c r="Q45" s="2">
        <f t="shared" si="6"/>
        <v>1.227272727272727E-2</v>
      </c>
      <c r="R45" s="2">
        <f t="shared" si="7"/>
        <v>4.0909090909090899</v>
      </c>
      <c r="S45" s="2">
        <f t="shared" si="16"/>
        <v>2.045454545454545</v>
      </c>
      <c r="T45" s="2">
        <f t="shared" si="9"/>
        <v>4.0909090909090899</v>
      </c>
      <c r="U45" s="2">
        <f>N45/H45</f>
        <v>6.1363636363636349</v>
      </c>
      <c r="V45" s="2">
        <f>O45/H45</f>
        <v>8.1818181818181799</v>
      </c>
      <c r="W45" s="2">
        <f>P45/H45</f>
        <v>10.227272727272725</v>
      </c>
      <c r="X45" s="2">
        <f>Q45/H45</f>
        <v>12.27272727272727</v>
      </c>
      <c r="Y45" s="5" t="str">
        <f t="shared" si="15"/>
        <v>1</v>
      </c>
      <c r="Z45" s="5" t="str">
        <f t="shared" si="15"/>
        <v>1</v>
      </c>
      <c r="AA45" s="5" t="str">
        <f t="shared" si="15"/>
        <v>1</v>
      </c>
      <c r="AB45" s="5" t="str">
        <f t="shared" si="15"/>
        <v>1</v>
      </c>
      <c r="AC45" s="5" t="str">
        <f t="shared" si="15"/>
        <v>1</v>
      </c>
      <c r="AD45" s="5" t="str">
        <f t="shared" si="15"/>
        <v>1</v>
      </c>
      <c r="AE45" s="5" t="str">
        <f t="shared" si="15"/>
        <v>1</v>
      </c>
    </row>
    <row r="46" spans="1:31" ht="14.4" x14ac:dyDescent="0.3">
      <c r="A46" s="14">
        <v>43</v>
      </c>
      <c r="B46" s="15" t="s">
        <v>148</v>
      </c>
      <c r="C46" s="10">
        <v>10</v>
      </c>
      <c r="D46" s="10">
        <v>20</v>
      </c>
      <c r="E46" s="17">
        <v>365</v>
      </c>
      <c r="F46" s="22">
        <v>2.9999999999999997E-4</v>
      </c>
      <c r="G46" s="10">
        <v>900</v>
      </c>
      <c r="H46" s="12">
        <v>1E-3</v>
      </c>
      <c r="I46" s="18">
        <v>10950</v>
      </c>
      <c r="J46" s="20">
        <v>6</v>
      </c>
      <c r="K46" s="19">
        <f t="shared" si="0"/>
        <v>2.6999999999999997E-3</v>
      </c>
      <c r="L46" s="2">
        <f>(F46*G46*E46*5)/(D46*I46)</f>
        <v>2.2499999999999994E-3</v>
      </c>
      <c r="M46" s="2">
        <f t="shared" si="2"/>
        <v>4.4999999999999988E-3</v>
      </c>
      <c r="N46" s="2">
        <f t="shared" si="3"/>
        <v>6.7499999999999991E-3</v>
      </c>
      <c r="O46" s="2">
        <f t="shared" si="4"/>
        <v>8.9999999999999976E-3</v>
      </c>
      <c r="P46" s="2">
        <f t="shared" si="5"/>
        <v>1.1249999999999998E-2</v>
      </c>
      <c r="Q46" s="2">
        <f t="shared" si="6"/>
        <v>1.3499999999999998E-2</v>
      </c>
      <c r="R46" s="2">
        <f t="shared" si="7"/>
        <v>2.6999999999999997</v>
      </c>
      <c r="S46" s="2">
        <f t="shared" si="16"/>
        <v>2.2499999999999996</v>
      </c>
      <c r="T46" s="2">
        <f t="shared" si="9"/>
        <v>4.4999999999999991</v>
      </c>
      <c r="U46" s="2">
        <f t="shared" ref="U46:U103" si="17">N46/H46</f>
        <v>6.7499999999999991</v>
      </c>
      <c r="V46" s="2">
        <f t="shared" ref="V46:V103" si="18">O46/H46</f>
        <v>8.9999999999999982</v>
      </c>
      <c r="W46" s="2">
        <f t="shared" ref="W46:W103" si="19">P46/H46</f>
        <v>11.249999999999998</v>
      </c>
      <c r="X46" s="2">
        <f t="shared" ref="X46:X103" si="20">Q46/H46</f>
        <v>13.499999999999998</v>
      </c>
      <c r="Y46" s="5" t="str">
        <f t="shared" si="15"/>
        <v>1</v>
      </c>
      <c r="Z46" s="5" t="str">
        <f t="shared" si="15"/>
        <v>1</v>
      </c>
      <c r="AA46" s="5" t="str">
        <f t="shared" si="15"/>
        <v>1</v>
      </c>
      <c r="AB46" s="5" t="str">
        <f t="shared" si="15"/>
        <v>1</v>
      </c>
      <c r="AC46" s="5" t="str">
        <f t="shared" si="15"/>
        <v>1</v>
      </c>
      <c r="AD46" s="5" t="str">
        <f t="shared" si="15"/>
        <v>1</v>
      </c>
      <c r="AE46" s="5" t="str">
        <f t="shared" si="15"/>
        <v>1</v>
      </c>
    </row>
    <row r="47" spans="1:31" ht="14.4" x14ac:dyDescent="0.3">
      <c r="A47" s="14">
        <v>44</v>
      </c>
      <c r="B47" s="15" t="s">
        <v>149</v>
      </c>
      <c r="C47" s="10">
        <v>10</v>
      </c>
      <c r="D47" s="10">
        <v>25</v>
      </c>
      <c r="E47" s="17">
        <v>365</v>
      </c>
      <c r="F47" s="22">
        <v>2.9999999999999997E-4</v>
      </c>
      <c r="G47" s="10">
        <v>1500</v>
      </c>
      <c r="H47" s="12">
        <v>1E-3</v>
      </c>
      <c r="I47" s="18">
        <v>10950</v>
      </c>
      <c r="J47" s="20">
        <v>6</v>
      </c>
      <c r="K47" s="19">
        <f t="shared" si="0"/>
        <v>3.599999999999999E-3</v>
      </c>
      <c r="L47" s="2">
        <f t="shared" ref="L47:L103" si="21">(F47*G47*E47*5)/(D47*I47)</f>
        <v>2.9999999999999996E-3</v>
      </c>
      <c r="M47" s="2">
        <f t="shared" si="2"/>
        <v>5.9999999999999993E-3</v>
      </c>
      <c r="N47" s="2">
        <f t="shared" si="3"/>
        <v>8.9999999999999976E-3</v>
      </c>
      <c r="O47" s="2">
        <f t="shared" si="4"/>
        <v>1.1999999999999999E-2</v>
      </c>
      <c r="P47" s="2">
        <f t="shared" si="5"/>
        <v>1.4999999999999996E-2</v>
      </c>
      <c r="Q47" s="2">
        <f t="shared" si="6"/>
        <v>1.7999999999999995E-2</v>
      </c>
      <c r="R47" s="2">
        <f t="shared" si="7"/>
        <v>3.5999999999999988</v>
      </c>
      <c r="S47" s="2">
        <f t="shared" si="16"/>
        <v>2.9999999999999996</v>
      </c>
      <c r="T47" s="2">
        <f t="shared" si="9"/>
        <v>5.9999999999999991</v>
      </c>
      <c r="U47" s="2">
        <f t="shared" si="17"/>
        <v>8.9999999999999982</v>
      </c>
      <c r="V47" s="2">
        <f t="shared" si="18"/>
        <v>11.999999999999998</v>
      </c>
      <c r="W47" s="2">
        <f t="shared" si="19"/>
        <v>14.999999999999996</v>
      </c>
      <c r="X47" s="2">
        <f t="shared" si="20"/>
        <v>17.999999999999996</v>
      </c>
      <c r="Y47" s="5" t="str">
        <f t="shared" si="15"/>
        <v>1</v>
      </c>
      <c r="Z47" s="5" t="str">
        <f t="shared" si="15"/>
        <v>1</v>
      </c>
      <c r="AA47" s="5" t="str">
        <f t="shared" si="15"/>
        <v>1</v>
      </c>
      <c r="AB47" s="5" t="str">
        <f t="shared" si="15"/>
        <v>1</v>
      </c>
      <c r="AC47" s="5" t="str">
        <f t="shared" si="15"/>
        <v>1</v>
      </c>
      <c r="AD47" s="5" t="str">
        <f t="shared" si="15"/>
        <v>1</v>
      </c>
      <c r="AE47" s="5" t="str">
        <f t="shared" si="15"/>
        <v>1</v>
      </c>
    </row>
    <row r="48" spans="1:31" ht="14.4" x14ac:dyDescent="0.3">
      <c r="A48" s="14">
        <v>45</v>
      </c>
      <c r="B48" s="15" t="s">
        <v>150</v>
      </c>
      <c r="C48" s="10">
        <v>10</v>
      </c>
      <c r="D48" s="10">
        <v>49</v>
      </c>
      <c r="E48" s="17">
        <v>365</v>
      </c>
      <c r="F48" s="22">
        <v>2.9999999999999997E-4</v>
      </c>
      <c r="G48" s="10">
        <v>2100</v>
      </c>
      <c r="H48" s="12">
        <v>1E-3</v>
      </c>
      <c r="I48" s="18">
        <v>10950</v>
      </c>
      <c r="J48" s="20">
        <v>2</v>
      </c>
      <c r="K48" s="19">
        <f t="shared" si="0"/>
        <v>8.5714285714285699E-4</v>
      </c>
      <c r="L48" s="2">
        <f t="shared" si="21"/>
        <v>2.1428571428571425E-3</v>
      </c>
      <c r="M48" s="2">
        <f t="shared" si="2"/>
        <v>4.2857142857142851E-3</v>
      </c>
      <c r="N48" s="2">
        <f t="shared" si="3"/>
        <v>6.4285714285714276E-3</v>
      </c>
      <c r="O48" s="2">
        <f t="shared" si="4"/>
        <v>8.5714285714285701E-3</v>
      </c>
      <c r="P48" s="2">
        <f t="shared" si="5"/>
        <v>1.0714285714285713E-2</v>
      </c>
      <c r="Q48" s="2">
        <f t="shared" si="6"/>
        <v>1.2857142857142855E-2</v>
      </c>
      <c r="R48" s="2">
        <f t="shared" si="7"/>
        <v>0.85714285714285698</v>
      </c>
      <c r="S48" s="2">
        <f t="shared" si="16"/>
        <v>2.1428571428571423</v>
      </c>
      <c r="T48" s="2">
        <f t="shared" si="9"/>
        <v>4.2857142857142847</v>
      </c>
      <c r="U48" s="2">
        <f t="shared" si="17"/>
        <v>6.428571428571427</v>
      </c>
      <c r="V48" s="2">
        <f t="shared" si="18"/>
        <v>8.5714285714285694</v>
      </c>
      <c r="W48" s="2">
        <f t="shared" si="19"/>
        <v>10.714285714285712</v>
      </c>
      <c r="X48" s="2">
        <f t="shared" si="20"/>
        <v>12.857142857142854</v>
      </c>
      <c r="Y48" s="5" t="str">
        <f t="shared" si="15"/>
        <v>2</v>
      </c>
      <c r="Z48" s="5" t="str">
        <f t="shared" si="15"/>
        <v>1</v>
      </c>
      <c r="AA48" s="5" t="str">
        <f t="shared" si="15"/>
        <v>1</v>
      </c>
      <c r="AB48" s="5" t="str">
        <f t="shared" si="15"/>
        <v>1</v>
      </c>
      <c r="AC48" s="5" t="str">
        <f t="shared" si="15"/>
        <v>1</v>
      </c>
      <c r="AD48" s="5" t="str">
        <f t="shared" si="15"/>
        <v>1</v>
      </c>
      <c r="AE48" s="5" t="str">
        <f t="shared" si="15"/>
        <v>1</v>
      </c>
    </row>
    <row r="49" spans="1:31" ht="14.4" x14ac:dyDescent="0.3">
      <c r="A49" s="14">
        <v>46</v>
      </c>
      <c r="B49" s="15" t="s">
        <v>151</v>
      </c>
      <c r="C49" s="10">
        <v>10</v>
      </c>
      <c r="D49" s="10">
        <v>25</v>
      </c>
      <c r="E49" s="17">
        <v>365</v>
      </c>
      <c r="F49" s="22">
        <v>2.9999999999999997E-4</v>
      </c>
      <c r="G49" s="10">
        <v>900</v>
      </c>
      <c r="H49" s="12">
        <v>1E-3</v>
      </c>
      <c r="I49" s="18">
        <v>10950</v>
      </c>
      <c r="J49" s="20">
        <v>10</v>
      </c>
      <c r="K49" s="19">
        <f t="shared" si="0"/>
        <v>3.599999999999999E-3</v>
      </c>
      <c r="L49" s="2">
        <f t="shared" si="21"/>
        <v>1.7999999999999995E-3</v>
      </c>
      <c r="M49" s="2">
        <f t="shared" si="2"/>
        <v>3.599999999999999E-3</v>
      </c>
      <c r="N49" s="2">
        <f t="shared" si="3"/>
        <v>5.3999999999999994E-3</v>
      </c>
      <c r="O49" s="2">
        <f t="shared" si="4"/>
        <v>7.1999999999999981E-3</v>
      </c>
      <c r="P49" s="2">
        <f t="shared" si="5"/>
        <v>8.9999999999999976E-3</v>
      </c>
      <c r="Q49" s="2">
        <f t="shared" si="6"/>
        <v>1.0799999999999999E-2</v>
      </c>
      <c r="R49" s="2">
        <f t="shared" si="7"/>
        <v>3.5999999999999988</v>
      </c>
      <c r="S49" s="2">
        <f t="shared" si="16"/>
        <v>1.7999999999999994</v>
      </c>
      <c r="T49" s="2">
        <f t="shared" si="9"/>
        <v>3.5999999999999988</v>
      </c>
      <c r="U49" s="2">
        <f t="shared" si="17"/>
        <v>5.3999999999999995</v>
      </c>
      <c r="V49" s="2">
        <f t="shared" si="18"/>
        <v>7.1999999999999975</v>
      </c>
      <c r="W49" s="2">
        <f t="shared" si="19"/>
        <v>8.9999999999999982</v>
      </c>
      <c r="X49" s="2">
        <f t="shared" si="20"/>
        <v>10.799999999999999</v>
      </c>
      <c r="Y49" s="5" t="str">
        <f t="shared" si="15"/>
        <v>1</v>
      </c>
      <c r="Z49" s="5" t="str">
        <f t="shared" si="15"/>
        <v>1</v>
      </c>
      <c r="AA49" s="5" t="str">
        <f t="shared" si="15"/>
        <v>1</v>
      </c>
      <c r="AB49" s="5" t="str">
        <f t="shared" si="15"/>
        <v>1</v>
      </c>
      <c r="AC49" s="5" t="str">
        <f t="shared" si="15"/>
        <v>1</v>
      </c>
      <c r="AD49" s="5" t="str">
        <f t="shared" si="15"/>
        <v>1</v>
      </c>
      <c r="AE49" s="5" t="str">
        <f t="shared" si="15"/>
        <v>1</v>
      </c>
    </row>
    <row r="50" spans="1:31" ht="14.4" x14ac:dyDescent="0.3">
      <c r="A50" s="14">
        <v>47</v>
      </c>
      <c r="B50" s="15" t="s">
        <v>152</v>
      </c>
      <c r="C50" s="10">
        <v>10</v>
      </c>
      <c r="D50" s="10">
        <v>27</v>
      </c>
      <c r="E50" s="17">
        <v>365</v>
      </c>
      <c r="F50" s="22">
        <v>2.9999999999999997E-4</v>
      </c>
      <c r="G50" s="10">
        <v>900</v>
      </c>
      <c r="H50" s="12">
        <v>1E-3</v>
      </c>
      <c r="I50" s="18">
        <v>10950</v>
      </c>
      <c r="J50" s="20">
        <v>10</v>
      </c>
      <c r="K50" s="19">
        <f t="shared" si="0"/>
        <v>3.3333333333333327E-3</v>
      </c>
      <c r="L50" s="2">
        <f t="shared" si="21"/>
        <v>1.6666666666666663E-3</v>
      </c>
      <c r="M50" s="2">
        <f t="shared" si="2"/>
        <v>3.3333333333333327E-3</v>
      </c>
      <c r="N50" s="2">
        <f t="shared" si="3"/>
        <v>4.9999999999999992E-3</v>
      </c>
      <c r="O50" s="2">
        <f t="shared" si="4"/>
        <v>6.6666666666666654E-3</v>
      </c>
      <c r="P50" s="2">
        <f t="shared" si="5"/>
        <v>8.3333333333333315E-3</v>
      </c>
      <c r="Q50" s="2">
        <f t="shared" si="6"/>
        <v>9.9999999999999985E-3</v>
      </c>
      <c r="R50" s="2">
        <f t="shared" si="7"/>
        <v>3.3333333333333326</v>
      </c>
      <c r="S50" s="2">
        <f t="shared" si="16"/>
        <v>1.6666666666666663</v>
      </c>
      <c r="T50" s="2">
        <f t="shared" si="9"/>
        <v>3.3333333333333326</v>
      </c>
      <c r="U50" s="2">
        <f t="shared" si="17"/>
        <v>4.9999999999999991</v>
      </c>
      <c r="V50" s="2">
        <f t="shared" si="18"/>
        <v>6.6666666666666652</v>
      </c>
      <c r="W50" s="2">
        <f t="shared" si="19"/>
        <v>8.3333333333333321</v>
      </c>
      <c r="X50" s="2">
        <f t="shared" si="20"/>
        <v>9.9999999999999982</v>
      </c>
      <c r="Y50" s="5" t="str">
        <f t="shared" si="15"/>
        <v>1</v>
      </c>
      <c r="Z50" s="5" t="str">
        <f t="shared" si="15"/>
        <v>1</v>
      </c>
      <c r="AA50" s="5" t="str">
        <f t="shared" si="15"/>
        <v>1</v>
      </c>
      <c r="AB50" s="5" t="str">
        <f t="shared" si="15"/>
        <v>1</v>
      </c>
      <c r="AC50" s="5" t="str">
        <f t="shared" si="15"/>
        <v>1</v>
      </c>
      <c r="AD50" s="5" t="str">
        <f t="shared" si="15"/>
        <v>1</v>
      </c>
      <c r="AE50" s="5" t="str">
        <f t="shared" si="15"/>
        <v>1</v>
      </c>
    </row>
    <row r="51" spans="1:31" ht="14.4" x14ac:dyDescent="0.3">
      <c r="A51" s="14">
        <v>48</v>
      </c>
      <c r="B51" s="15" t="s">
        <v>106</v>
      </c>
      <c r="C51" s="10">
        <v>10</v>
      </c>
      <c r="D51" s="10">
        <v>33</v>
      </c>
      <c r="E51" s="17">
        <v>365</v>
      </c>
      <c r="F51" s="22">
        <v>2.9999999999999997E-4</v>
      </c>
      <c r="G51" s="10">
        <v>900</v>
      </c>
      <c r="H51" s="12">
        <v>1E-3</v>
      </c>
      <c r="I51" s="18">
        <v>10950</v>
      </c>
      <c r="J51" s="20">
        <v>6</v>
      </c>
      <c r="K51" s="19">
        <f t="shared" si="0"/>
        <v>1.6363636363636363E-3</v>
      </c>
      <c r="L51" s="2">
        <f t="shared" si="21"/>
        <v>1.3636363636363633E-3</v>
      </c>
      <c r="M51" s="2">
        <f t="shared" si="2"/>
        <v>2.7272727272727266E-3</v>
      </c>
      <c r="N51" s="2">
        <f t="shared" si="3"/>
        <v>4.0909090909090904E-3</v>
      </c>
      <c r="O51" s="2">
        <f t="shared" si="4"/>
        <v>5.4545454545454532E-3</v>
      </c>
      <c r="P51" s="2">
        <f t="shared" si="5"/>
        <v>6.818181818181817E-3</v>
      </c>
      <c r="Q51" s="2">
        <f t="shared" si="6"/>
        <v>8.1818181818181807E-3</v>
      </c>
      <c r="R51" s="2">
        <f t="shared" si="7"/>
        <v>1.6363636363636362</v>
      </c>
      <c r="S51" s="2">
        <f t="shared" si="16"/>
        <v>1.3636363636363633</v>
      </c>
      <c r="T51" s="2">
        <f t="shared" si="9"/>
        <v>2.7272727272727266</v>
      </c>
      <c r="U51" s="2">
        <f t="shared" si="17"/>
        <v>4.0909090909090899</v>
      </c>
      <c r="V51" s="2">
        <f t="shared" si="18"/>
        <v>5.4545454545454533</v>
      </c>
      <c r="W51" s="2">
        <f t="shared" si="19"/>
        <v>6.8181818181818166</v>
      </c>
      <c r="X51" s="2">
        <f t="shared" si="20"/>
        <v>8.1818181818181799</v>
      </c>
      <c r="Y51" s="5" t="str">
        <f t="shared" si="15"/>
        <v>1</v>
      </c>
      <c r="Z51" s="5" t="str">
        <f t="shared" si="15"/>
        <v>1</v>
      </c>
      <c r="AA51" s="5" t="str">
        <f t="shared" si="15"/>
        <v>1</v>
      </c>
      <c r="AB51" s="5" t="str">
        <f t="shared" si="15"/>
        <v>1</v>
      </c>
      <c r="AC51" s="5" t="str">
        <f t="shared" si="15"/>
        <v>1</v>
      </c>
      <c r="AD51" s="5" t="str">
        <f t="shared" si="15"/>
        <v>1</v>
      </c>
      <c r="AE51" s="5" t="str">
        <f t="shared" si="15"/>
        <v>1</v>
      </c>
    </row>
    <row r="52" spans="1:31" ht="14.4" x14ac:dyDescent="0.3">
      <c r="A52" s="14">
        <v>49</v>
      </c>
      <c r="B52" s="15" t="s">
        <v>153</v>
      </c>
      <c r="C52" s="10">
        <v>10</v>
      </c>
      <c r="D52" s="10">
        <v>29</v>
      </c>
      <c r="E52" s="17">
        <v>365</v>
      </c>
      <c r="F52" s="22">
        <v>2.9999999999999997E-4</v>
      </c>
      <c r="G52" s="10">
        <v>1500</v>
      </c>
      <c r="H52" s="12">
        <v>1E-3</v>
      </c>
      <c r="I52" s="18">
        <v>10950</v>
      </c>
      <c r="J52" s="20">
        <v>8</v>
      </c>
      <c r="K52" s="19">
        <f t="shared" si="0"/>
        <v>4.1379310344827579E-3</v>
      </c>
      <c r="L52" s="2">
        <f t="shared" si="21"/>
        <v>2.5862068965517237E-3</v>
      </c>
      <c r="M52" s="2">
        <f t="shared" si="2"/>
        <v>5.1724137931034473E-3</v>
      </c>
      <c r="N52" s="2">
        <f t="shared" si="3"/>
        <v>7.7586206896551706E-3</v>
      </c>
      <c r="O52" s="2">
        <f t="shared" si="4"/>
        <v>1.0344827586206895E-2</v>
      </c>
      <c r="P52" s="2">
        <f t="shared" si="5"/>
        <v>1.2931034482758617E-2</v>
      </c>
      <c r="Q52" s="2">
        <f t="shared" si="6"/>
        <v>1.5517241379310341E-2</v>
      </c>
      <c r="R52" s="2">
        <f t="shared" si="7"/>
        <v>4.137931034482758</v>
      </c>
      <c r="S52" s="2">
        <f t="shared" si="16"/>
        <v>2.5862068965517238</v>
      </c>
      <c r="T52" s="2">
        <f t="shared" si="9"/>
        <v>5.1724137931034475</v>
      </c>
      <c r="U52" s="2">
        <f t="shared" si="17"/>
        <v>7.7586206896551708</v>
      </c>
      <c r="V52" s="2">
        <f t="shared" si="18"/>
        <v>10.344827586206895</v>
      </c>
      <c r="W52" s="2">
        <f t="shared" si="19"/>
        <v>12.931034482758617</v>
      </c>
      <c r="X52" s="2">
        <f t="shared" si="20"/>
        <v>15.517241379310342</v>
      </c>
      <c r="Y52" s="5" t="str">
        <f t="shared" si="15"/>
        <v>1</v>
      </c>
      <c r="Z52" s="5" t="str">
        <f t="shared" si="15"/>
        <v>1</v>
      </c>
      <c r="AA52" s="5" t="str">
        <f t="shared" si="15"/>
        <v>1</v>
      </c>
      <c r="AB52" s="5" t="str">
        <f t="shared" si="15"/>
        <v>1</v>
      </c>
      <c r="AC52" s="5" t="str">
        <f t="shared" si="15"/>
        <v>1</v>
      </c>
      <c r="AD52" s="5" t="str">
        <f t="shared" si="15"/>
        <v>1</v>
      </c>
      <c r="AE52" s="5" t="str">
        <f t="shared" si="15"/>
        <v>1</v>
      </c>
    </row>
    <row r="53" spans="1:31" ht="14.4" x14ac:dyDescent="0.3">
      <c r="A53" s="14">
        <v>50</v>
      </c>
      <c r="B53" s="15" t="s">
        <v>154</v>
      </c>
      <c r="C53" s="10">
        <v>10</v>
      </c>
      <c r="D53" s="10">
        <v>39</v>
      </c>
      <c r="E53" s="17">
        <v>365</v>
      </c>
      <c r="F53" s="22">
        <v>2.9999999999999997E-4</v>
      </c>
      <c r="G53" s="10">
        <v>900</v>
      </c>
      <c r="H53" s="12">
        <v>1E-3</v>
      </c>
      <c r="I53" s="18">
        <v>10950</v>
      </c>
      <c r="J53" s="20">
        <v>8</v>
      </c>
      <c r="K53" s="19">
        <f t="shared" si="0"/>
        <v>1.8461538461538459E-3</v>
      </c>
      <c r="L53" s="2">
        <f t="shared" si="21"/>
        <v>1.1538461538461535E-3</v>
      </c>
      <c r="M53" s="2">
        <f t="shared" si="2"/>
        <v>2.307692307692307E-3</v>
      </c>
      <c r="N53" s="2">
        <f t="shared" si="3"/>
        <v>3.4615384615384612E-3</v>
      </c>
      <c r="O53" s="2">
        <f t="shared" si="4"/>
        <v>4.6153846153846141E-3</v>
      </c>
      <c r="P53" s="2">
        <f t="shared" si="5"/>
        <v>5.7692307692307678E-3</v>
      </c>
      <c r="Q53" s="2">
        <f t="shared" si="6"/>
        <v>6.9230769230769224E-3</v>
      </c>
      <c r="R53" s="2">
        <f t="shared" si="7"/>
        <v>1.8461538461538458</v>
      </c>
      <c r="S53" s="2">
        <f t="shared" si="16"/>
        <v>1.1538461538461535</v>
      </c>
      <c r="T53" s="2">
        <f t="shared" si="9"/>
        <v>2.307692307692307</v>
      </c>
      <c r="U53" s="2">
        <f t="shared" si="17"/>
        <v>3.4615384615384612</v>
      </c>
      <c r="V53" s="2">
        <f t="shared" si="18"/>
        <v>4.6153846153846141</v>
      </c>
      <c r="W53" s="2">
        <f t="shared" si="19"/>
        <v>5.7692307692307674</v>
      </c>
      <c r="X53" s="2">
        <f t="shared" si="20"/>
        <v>6.9230769230769225</v>
      </c>
      <c r="Y53" s="5" t="str">
        <f t="shared" si="15"/>
        <v>1</v>
      </c>
      <c r="Z53" s="5" t="str">
        <f t="shared" si="15"/>
        <v>1</v>
      </c>
      <c r="AA53" s="5" t="str">
        <f t="shared" si="15"/>
        <v>1</v>
      </c>
      <c r="AB53" s="5" t="str">
        <f t="shared" si="15"/>
        <v>1</v>
      </c>
      <c r="AC53" s="5" t="str">
        <f t="shared" si="15"/>
        <v>1</v>
      </c>
      <c r="AD53" s="5" t="str">
        <f t="shared" si="15"/>
        <v>1</v>
      </c>
      <c r="AE53" s="5" t="str">
        <f t="shared" si="15"/>
        <v>1</v>
      </c>
    </row>
    <row r="54" spans="1:31" ht="14.4" x14ac:dyDescent="0.3">
      <c r="A54" s="14">
        <v>51</v>
      </c>
      <c r="B54" s="15" t="s">
        <v>155</v>
      </c>
      <c r="C54" s="10">
        <v>10</v>
      </c>
      <c r="D54" s="10">
        <v>25</v>
      </c>
      <c r="E54" s="17">
        <v>365</v>
      </c>
      <c r="F54" s="22">
        <v>2.9999999999999997E-4</v>
      </c>
      <c r="G54" s="10">
        <v>900</v>
      </c>
      <c r="H54" s="12">
        <v>1E-3</v>
      </c>
      <c r="I54" s="18">
        <v>10950</v>
      </c>
      <c r="J54" s="20">
        <v>10</v>
      </c>
      <c r="K54" s="19">
        <f t="shared" si="0"/>
        <v>3.599999999999999E-3</v>
      </c>
      <c r="L54" s="2">
        <f t="shared" si="21"/>
        <v>1.7999999999999995E-3</v>
      </c>
      <c r="M54" s="2">
        <f t="shared" si="2"/>
        <v>3.599999999999999E-3</v>
      </c>
      <c r="N54" s="2">
        <f t="shared" si="3"/>
        <v>5.3999999999999994E-3</v>
      </c>
      <c r="O54" s="2">
        <f t="shared" si="4"/>
        <v>7.1999999999999981E-3</v>
      </c>
      <c r="P54" s="2">
        <f t="shared" si="5"/>
        <v>8.9999999999999976E-3</v>
      </c>
      <c r="Q54" s="2">
        <f t="shared" si="6"/>
        <v>1.0799999999999999E-2</v>
      </c>
      <c r="R54" s="2">
        <f t="shared" si="7"/>
        <v>3.5999999999999988</v>
      </c>
      <c r="S54" s="2">
        <f t="shared" si="16"/>
        <v>1.7999999999999994</v>
      </c>
      <c r="T54" s="2">
        <f t="shared" si="9"/>
        <v>3.5999999999999988</v>
      </c>
      <c r="U54" s="2">
        <f t="shared" si="17"/>
        <v>5.3999999999999995</v>
      </c>
      <c r="V54" s="2">
        <f t="shared" si="18"/>
        <v>7.1999999999999975</v>
      </c>
      <c r="W54" s="2">
        <f t="shared" si="19"/>
        <v>8.9999999999999982</v>
      </c>
      <c r="X54" s="2">
        <f t="shared" si="20"/>
        <v>10.799999999999999</v>
      </c>
      <c r="Y54" s="5" t="str">
        <f t="shared" ref="Y54:AE90" si="22">IF(R54&gt;1,"1","2")</f>
        <v>1</v>
      </c>
      <c r="Z54" s="5" t="str">
        <f t="shared" si="22"/>
        <v>1</v>
      </c>
      <c r="AA54" s="5" t="str">
        <f t="shared" si="22"/>
        <v>1</v>
      </c>
      <c r="AB54" s="5" t="str">
        <f t="shared" si="22"/>
        <v>1</v>
      </c>
      <c r="AC54" s="5" t="str">
        <f t="shared" si="22"/>
        <v>1</v>
      </c>
      <c r="AD54" s="5" t="str">
        <f t="shared" si="22"/>
        <v>1</v>
      </c>
      <c r="AE54" s="5" t="str">
        <f t="shared" si="22"/>
        <v>1</v>
      </c>
    </row>
    <row r="55" spans="1:31" ht="14.4" x14ac:dyDescent="0.3">
      <c r="A55" s="14">
        <v>52</v>
      </c>
      <c r="B55" s="15" t="s">
        <v>156</v>
      </c>
      <c r="C55" s="10">
        <v>10</v>
      </c>
      <c r="D55" s="10">
        <v>25</v>
      </c>
      <c r="E55" s="17">
        <v>365</v>
      </c>
      <c r="F55" s="22">
        <v>2.9999999999999997E-4</v>
      </c>
      <c r="G55" s="10">
        <v>900</v>
      </c>
      <c r="H55" s="12">
        <v>1E-3</v>
      </c>
      <c r="I55" s="18">
        <v>10950</v>
      </c>
      <c r="J55" s="20">
        <v>10</v>
      </c>
      <c r="K55" s="19">
        <f t="shared" si="0"/>
        <v>3.599999999999999E-3</v>
      </c>
      <c r="L55" s="2">
        <f t="shared" si="21"/>
        <v>1.7999999999999995E-3</v>
      </c>
      <c r="M55" s="2">
        <f t="shared" si="2"/>
        <v>3.599999999999999E-3</v>
      </c>
      <c r="N55" s="2">
        <f t="shared" si="3"/>
        <v>5.3999999999999994E-3</v>
      </c>
      <c r="O55" s="2">
        <f t="shared" si="4"/>
        <v>7.1999999999999981E-3</v>
      </c>
      <c r="P55" s="2">
        <f t="shared" si="5"/>
        <v>8.9999999999999976E-3</v>
      </c>
      <c r="Q55" s="2">
        <f t="shared" si="6"/>
        <v>1.0799999999999999E-2</v>
      </c>
      <c r="R55" s="2">
        <f t="shared" si="7"/>
        <v>3.5999999999999988</v>
      </c>
      <c r="S55" s="2">
        <f t="shared" si="16"/>
        <v>1.7999999999999994</v>
      </c>
      <c r="T55" s="2">
        <f t="shared" si="9"/>
        <v>3.5999999999999988</v>
      </c>
      <c r="U55" s="2">
        <f t="shared" si="17"/>
        <v>5.3999999999999995</v>
      </c>
      <c r="V55" s="2">
        <f t="shared" si="18"/>
        <v>7.1999999999999975</v>
      </c>
      <c r="W55" s="2">
        <f t="shared" si="19"/>
        <v>8.9999999999999982</v>
      </c>
      <c r="X55" s="2">
        <f t="shared" si="20"/>
        <v>10.799999999999999</v>
      </c>
      <c r="Y55" s="5" t="str">
        <f t="shared" si="22"/>
        <v>1</v>
      </c>
      <c r="Z55" s="5" t="str">
        <f t="shared" si="22"/>
        <v>1</v>
      </c>
      <c r="AA55" s="5" t="str">
        <f t="shared" si="22"/>
        <v>1</v>
      </c>
      <c r="AB55" s="5" t="str">
        <f t="shared" si="22"/>
        <v>1</v>
      </c>
      <c r="AC55" s="5" t="str">
        <f t="shared" si="22"/>
        <v>1</v>
      </c>
      <c r="AD55" s="5" t="str">
        <f t="shared" si="22"/>
        <v>1</v>
      </c>
      <c r="AE55" s="5" t="str">
        <f t="shared" si="22"/>
        <v>1</v>
      </c>
    </row>
    <row r="56" spans="1:31" ht="14.4" x14ac:dyDescent="0.3">
      <c r="A56" s="14">
        <v>53</v>
      </c>
      <c r="B56" s="15" t="s">
        <v>139</v>
      </c>
      <c r="C56" s="10">
        <v>10</v>
      </c>
      <c r="D56" s="10">
        <v>33</v>
      </c>
      <c r="E56" s="17">
        <v>365</v>
      </c>
      <c r="F56" s="22">
        <v>2.9999999999999997E-4</v>
      </c>
      <c r="G56" s="10">
        <v>900</v>
      </c>
      <c r="H56" s="12">
        <v>1E-3</v>
      </c>
      <c r="I56" s="18">
        <v>10950</v>
      </c>
      <c r="J56" s="20">
        <v>10</v>
      </c>
      <c r="K56" s="19">
        <f t="shared" si="0"/>
        <v>2.7272727272727266E-3</v>
      </c>
      <c r="L56" s="2">
        <f t="shared" si="21"/>
        <v>1.3636363636363633E-3</v>
      </c>
      <c r="M56" s="2">
        <f t="shared" si="2"/>
        <v>2.7272727272727266E-3</v>
      </c>
      <c r="N56" s="2">
        <f t="shared" si="3"/>
        <v>4.0909090909090904E-3</v>
      </c>
      <c r="O56" s="2">
        <f t="shared" si="4"/>
        <v>5.4545454545454532E-3</v>
      </c>
      <c r="P56" s="2">
        <f t="shared" si="5"/>
        <v>6.818181818181817E-3</v>
      </c>
      <c r="Q56" s="2">
        <f t="shared" si="6"/>
        <v>8.1818181818181807E-3</v>
      </c>
      <c r="R56" s="2">
        <f t="shared" si="7"/>
        <v>2.7272727272727266</v>
      </c>
      <c r="S56" s="2">
        <f t="shared" si="16"/>
        <v>1.3636363636363633</v>
      </c>
      <c r="T56" s="2">
        <f t="shared" si="9"/>
        <v>2.7272727272727266</v>
      </c>
      <c r="U56" s="2">
        <f t="shared" si="17"/>
        <v>4.0909090909090899</v>
      </c>
      <c r="V56" s="2">
        <f t="shared" si="18"/>
        <v>5.4545454545454533</v>
      </c>
      <c r="W56" s="2">
        <f t="shared" si="19"/>
        <v>6.8181818181818166</v>
      </c>
      <c r="X56" s="2">
        <f t="shared" si="20"/>
        <v>8.1818181818181799</v>
      </c>
      <c r="Y56" s="5" t="str">
        <f t="shared" si="22"/>
        <v>1</v>
      </c>
      <c r="Z56" s="5" t="str">
        <f t="shared" si="22"/>
        <v>1</v>
      </c>
      <c r="AA56" s="5" t="str">
        <f t="shared" si="22"/>
        <v>1</v>
      </c>
      <c r="AB56" s="5" t="str">
        <f t="shared" si="22"/>
        <v>1</v>
      </c>
      <c r="AC56" s="5" t="str">
        <f t="shared" si="22"/>
        <v>1</v>
      </c>
      <c r="AD56" s="5" t="str">
        <f t="shared" si="22"/>
        <v>1</v>
      </c>
      <c r="AE56" s="5" t="str">
        <f t="shared" si="22"/>
        <v>1</v>
      </c>
    </row>
    <row r="57" spans="1:31" ht="14.4" x14ac:dyDescent="0.3">
      <c r="A57" s="14">
        <v>54</v>
      </c>
      <c r="B57" s="15" t="s">
        <v>157</v>
      </c>
      <c r="C57" s="10">
        <v>10</v>
      </c>
      <c r="D57" s="10">
        <v>25</v>
      </c>
      <c r="E57" s="17">
        <v>365</v>
      </c>
      <c r="F57" s="22">
        <v>2.9999999999999997E-4</v>
      </c>
      <c r="G57" s="10">
        <v>900</v>
      </c>
      <c r="H57" s="12">
        <v>1E-3</v>
      </c>
      <c r="I57" s="18">
        <v>10950</v>
      </c>
      <c r="J57" s="20">
        <v>10</v>
      </c>
      <c r="K57" s="19">
        <f t="shared" si="0"/>
        <v>3.599999999999999E-3</v>
      </c>
      <c r="L57" s="2">
        <f t="shared" si="21"/>
        <v>1.7999999999999995E-3</v>
      </c>
      <c r="M57" s="2">
        <f t="shared" si="2"/>
        <v>3.599999999999999E-3</v>
      </c>
      <c r="N57" s="2">
        <f t="shared" si="3"/>
        <v>5.3999999999999994E-3</v>
      </c>
      <c r="O57" s="2">
        <f t="shared" si="4"/>
        <v>7.1999999999999981E-3</v>
      </c>
      <c r="P57" s="2">
        <f t="shared" si="5"/>
        <v>8.9999999999999976E-3</v>
      </c>
      <c r="Q57" s="2">
        <f t="shared" si="6"/>
        <v>1.0799999999999999E-2</v>
      </c>
      <c r="R57" s="2">
        <f t="shared" si="7"/>
        <v>3.5999999999999988</v>
      </c>
      <c r="S57" s="2">
        <f t="shared" si="16"/>
        <v>1.7999999999999994</v>
      </c>
      <c r="T57" s="2">
        <f t="shared" si="9"/>
        <v>3.5999999999999988</v>
      </c>
      <c r="U57" s="2">
        <f t="shared" si="17"/>
        <v>5.3999999999999995</v>
      </c>
      <c r="V57" s="2">
        <f t="shared" si="18"/>
        <v>7.1999999999999975</v>
      </c>
      <c r="W57" s="2">
        <f t="shared" si="19"/>
        <v>8.9999999999999982</v>
      </c>
      <c r="X57" s="2">
        <f t="shared" si="20"/>
        <v>10.799999999999999</v>
      </c>
      <c r="Y57" s="5" t="str">
        <f t="shared" si="22"/>
        <v>1</v>
      </c>
      <c r="Z57" s="5" t="str">
        <f t="shared" si="22"/>
        <v>1</v>
      </c>
      <c r="AA57" s="5" t="str">
        <f t="shared" si="22"/>
        <v>1</v>
      </c>
      <c r="AB57" s="5" t="str">
        <f t="shared" si="22"/>
        <v>1</v>
      </c>
      <c r="AC57" s="5" t="str">
        <f t="shared" si="22"/>
        <v>1</v>
      </c>
      <c r="AD57" s="5" t="str">
        <f t="shared" si="22"/>
        <v>1</v>
      </c>
      <c r="AE57" s="5" t="str">
        <f t="shared" si="22"/>
        <v>1</v>
      </c>
    </row>
    <row r="58" spans="1:31" ht="14.4" x14ac:dyDescent="0.3">
      <c r="A58" s="14">
        <v>55</v>
      </c>
      <c r="B58" s="15" t="s">
        <v>149</v>
      </c>
      <c r="C58" s="10">
        <v>10</v>
      </c>
      <c r="D58" s="10">
        <v>25</v>
      </c>
      <c r="E58" s="17">
        <v>365</v>
      </c>
      <c r="F58" s="22">
        <v>2.9999999999999997E-4</v>
      </c>
      <c r="G58" s="10">
        <v>1500</v>
      </c>
      <c r="H58" s="12">
        <v>1E-3</v>
      </c>
      <c r="I58" s="18">
        <v>10950</v>
      </c>
      <c r="J58" s="20">
        <v>6</v>
      </c>
      <c r="K58" s="19">
        <f t="shared" si="0"/>
        <v>3.599999999999999E-3</v>
      </c>
      <c r="L58" s="2">
        <f t="shared" si="21"/>
        <v>2.9999999999999996E-3</v>
      </c>
      <c r="M58" s="2">
        <f t="shared" si="2"/>
        <v>5.9999999999999993E-3</v>
      </c>
      <c r="N58" s="2">
        <f t="shared" si="3"/>
        <v>8.9999999999999976E-3</v>
      </c>
      <c r="O58" s="2">
        <f t="shared" si="4"/>
        <v>1.1999999999999999E-2</v>
      </c>
      <c r="P58" s="2">
        <f t="shared" si="5"/>
        <v>1.4999999999999996E-2</v>
      </c>
      <c r="Q58" s="2">
        <f t="shared" si="6"/>
        <v>1.7999999999999995E-2</v>
      </c>
      <c r="R58" s="2">
        <f t="shared" si="7"/>
        <v>3.5999999999999988</v>
      </c>
      <c r="S58" s="2">
        <f t="shared" si="16"/>
        <v>2.9999999999999996</v>
      </c>
      <c r="T58" s="2">
        <f t="shared" si="9"/>
        <v>5.9999999999999991</v>
      </c>
      <c r="U58" s="2">
        <f t="shared" si="17"/>
        <v>8.9999999999999982</v>
      </c>
      <c r="V58" s="2">
        <f t="shared" si="18"/>
        <v>11.999999999999998</v>
      </c>
      <c r="W58" s="2">
        <f t="shared" si="19"/>
        <v>14.999999999999996</v>
      </c>
      <c r="X58" s="2">
        <f t="shared" si="20"/>
        <v>17.999999999999996</v>
      </c>
      <c r="Y58" s="5" t="str">
        <f t="shared" si="22"/>
        <v>1</v>
      </c>
      <c r="Z58" s="5" t="str">
        <f t="shared" si="22"/>
        <v>1</v>
      </c>
      <c r="AA58" s="5" t="str">
        <f t="shared" si="22"/>
        <v>1</v>
      </c>
      <c r="AB58" s="5" t="str">
        <f t="shared" si="22"/>
        <v>1</v>
      </c>
      <c r="AC58" s="5" t="str">
        <f t="shared" si="22"/>
        <v>1</v>
      </c>
      <c r="AD58" s="5" t="str">
        <f t="shared" si="22"/>
        <v>1</v>
      </c>
      <c r="AE58" s="5" t="str">
        <f t="shared" si="22"/>
        <v>1</v>
      </c>
    </row>
    <row r="59" spans="1:31" ht="14.4" x14ac:dyDescent="0.3">
      <c r="A59" s="14">
        <v>56</v>
      </c>
      <c r="B59" s="15" t="s">
        <v>158</v>
      </c>
      <c r="C59" s="10">
        <v>10</v>
      </c>
      <c r="D59" s="10">
        <v>49</v>
      </c>
      <c r="E59" s="17">
        <v>365</v>
      </c>
      <c r="F59" s="22">
        <v>2.9999999999999997E-4</v>
      </c>
      <c r="G59" s="10">
        <v>2100</v>
      </c>
      <c r="H59" s="12">
        <v>1E-3</v>
      </c>
      <c r="I59" s="18">
        <v>10950</v>
      </c>
      <c r="J59" s="20">
        <v>2</v>
      </c>
      <c r="K59" s="19">
        <f t="shared" si="0"/>
        <v>8.5714285714285699E-4</v>
      </c>
      <c r="L59" s="2">
        <f t="shared" si="21"/>
        <v>2.1428571428571425E-3</v>
      </c>
      <c r="M59" s="2">
        <f t="shared" si="2"/>
        <v>4.2857142857142851E-3</v>
      </c>
      <c r="N59" s="2">
        <f t="shared" si="3"/>
        <v>6.4285714285714276E-3</v>
      </c>
      <c r="O59" s="2">
        <f t="shared" si="4"/>
        <v>8.5714285714285701E-3</v>
      </c>
      <c r="P59" s="2">
        <f t="shared" si="5"/>
        <v>1.0714285714285713E-2</v>
      </c>
      <c r="Q59" s="2">
        <f t="shared" si="6"/>
        <v>1.2857142857142855E-2</v>
      </c>
      <c r="R59" s="2">
        <f t="shared" si="7"/>
        <v>0.85714285714285698</v>
      </c>
      <c r="S59" s="2">
        <f t="shared" si="16"/>
        <v>2.1428571428571423</v>
      </c>
      <c r="T59" s="2">
        <f t="shared" si="9"/>
        <v>4.2857142857142847</v>
      </c>
      <c r="U59" s="2">
        <f t="shared" si="17"/>
        <v>6.428571428571427</v>
      </c>
      <c r="V59" s="2">
        <f t="shared" si="18"/>
        <v>8.5714285714285694</v>
      </c>
      <c r="W59" s="2">
        <f t="shared" si="19"/>
        <v>10.714285714285712</v>
      </c>
      <c r="X59" s="2">
        <f t="shared" si="20"/>
        <v>12.857142857142854</v>
      </c>
      <c r="Y59" s="5" t="str">
        <f t="shared" si="22"/>
        <v>2</v>
      </c>
      <c r="Z59" s="5" t="str">
        <f t="shared" si="22"/>
        <v>1</v>
      </c>
      <c r="AA59" s="5" t="str">
        <f t="shared" si="22"/>
        <v>1</v>
      </c>
      <c r="AB59" s="5" t="str">
        <f t="shared" si="22"/>
        <v>1</v>
      </c>
      <c r="AC59" s="5" t="str">
        <f t="shared" si="22"/>
        <v>1</v>
      </c>
      <c r="AD59" s="5" t="str">
        <f t="shared" si="22"/>
        <v>1</v>
      </c>
      <c r="AE59" s="5" t="str">
        <f t="shared" si="22"/>
        <v>1</v>
      </c>
    </row>
    <row r="60" spans="1:31" ht="14.4" x14ac:dyDescent="0.3">
      <c r="A60" s="14">
        <v>57</v>
      </c>
      <c r="B60" s="15" t="s">
        <v>159</v>
      </c>
      <c r="C60" s="10">
        <v>10</v>
      </c>
      <c r="D60" s="10">
        <v>25</v>
      </c>
      <c r="E60" s="17">
        <v>365</v>
      </c>
      <c r="F60" s="22">
        <v>2.9999999999999997E-4</v>
      </c>
      <c r="G60" s="10">
        <v>900</v>
      </c>
      <c r="H60" s="12">
        <v>1E-3</v>
      </c>
      <c r="I60" s="18">
        <v>10950</v>
      </c>
      <c r="J60" s="20">
        <v>10</v>
      </c>
      <c r="K60" s="19">
        <f t="shared" si="0"/>
        <v>3.599999999999999E-3</v>
      </c>
      <c r="L60" s="2">
        <f t="shared" si="21"/>
        <v>1.7999999999999995E-3</v>
      </c>
      <c r="M60" s="2">
        <f t="shared" si="2"/>
        <v>3.599999999999999E-3</v>
      </c>
      <c r="N60" s="2">
        <f t="shared" si="3"/>
        <v>5.3999999999999994E-3</v>
      </c>
      <c r="O60" s="2">
        <f t="shared" si="4"/>
        <v>7.1999999999999981E-3</v>
      </c>
      <c r="P60" s="2">
        <f t="shared" si="5"/>
        <v>8.9999999999999976E-3</v>
      </c>
      <c r="Q60" s="2">
        <f t="shared" si="6"/>
        <v>1.0799999999999999E-2</v>
      </c>
      <c r="R60" s="2">
        <f t="shared" si="7"/>
        <v>3.5999999999999988</v>
      </c>
      <c r="S60" s="2">
        <f t="shared" si="16"/>
        <v>1.7999999999999994</v>
      </c>
      <c r="T60" s="2">
        <f t="shared" si="9"/>
        <v>3.5999999999999988</v>
      </c>
      <c r="U60" s="2">
        <f t="shared" si="17"/>
        <v>5.3999999999999995</v>
      </c>
      <c r="V60" s="2">
        <f t="shared" si="18"/>
        <v>7.1999999999999975</v>
      </c>
      <c r="W60" s="2">
        <f t="shared" si="19"/>
        <v>8.9999999999999982</v>
      </c>
      <c r="X60" s="2">
        <f t="shared" si="20"/>
        <v>10.799999999999999</v>
      </c>
      <c r="Y60" s="5" t="str">
        <f t="shared" si="22"/>
        <v>1</v>
      </c>
      <c r="Z60" s="5" t="str">
        <f t="shared" si="22"/>
        <v>1</v>
      </c>
      <c r="AA60" s="5" t="str">
        <f t="shared" si="22"/>
        <v>1</v>
      </c>
      <c r="AB60" s="5" t="str">
        <f t="shared" si="22"/>
        <v>1</v>
      </c>
      <c r="AC60" s="5" t="str">
        <f t="shared" si="22"/>
        <v>1</v>
      </c>
      <c r="AD60" s="5" t="str">
        <f t="shared" si="22"/>
        <v>1</v>
      </c>
      <c r="AE60" s="5" t="str">
        <f t="shared" si="22"/>
        <v>1</v>
      </c>
    </row>
    <row r="61" spans="1:31" ht="14.4" x14ac:dyDescent="0.3">
      <c r="A61" s="14">
        <v>58</v>
      </c>
      <c r="B61" s="15" t="s">
        <v>160</v>
      </c>
      <c r="C61" s="10">
        <v>10</v>
      </c>
      <c r="D61" s="10">
        <v>27</v>
      </c>
      <c r="E61" s="17">
        <v>365</v>
      </c>
      <c r="F61" s="22">
        <v>2.9999999999999997E-4</v>
      </c>
      <c r="G61" s="10">
        <v>900</v>
      </c>
      <c r="H61" s="12">
        <v>1E-3</v>
      </c>
      <c r="I61" s="18">
        <v>10950</v>
      </c>
      <c r="J61" s="20">
        <v>10</v>
      </c>
      <c r="K61" s="19">
        <f t="shared" si="0"/>
        <v>3.3333333333333327E-3</v>
      </c>
      <c r="L61" s="2">
        <f t="shared" si="21"/>
        <v>1.6666666666666663E-3</v>
      </c>
      <c r="M61" s="2">
        <f t="shared" si="2"/>
        <v>3.3333333333333327E-3</v>
      </c>
      <c r="N61" s="2">
        <f t="shared" si="3"/>
        <v>4.9999999999999992E-3</v>
      </c>
      <c r="O61" s="2">
        <f t="shared" si="4"/>
        <v>6.6666666666666654E-3</v>
      </c>
      <c r="P61" s="2">
        <f t="shared" si="5"/>
        <v>8.3333333333333315E-3</v>
      </c>
      <c r="Q61" s="2">
        <f t="shared" si="6"/>
        <v>9.9999999999999985E-3</v>
      </c>
      <c r="R61" s="2">
        <f t="shared" si="7"/>
        <v>3.3333333333333326</v>
      </c>
      <c r="S61" s="2">
        <f t="shared" si="16"/>
        <v>1.6666666666666663</v>
      </c>
      <c r="T61" s="2">
        <f t="shared" si="9"/>
        <v>3.3333333333333326</v>
      </c>
      <c r="U61" s="2">
        <f t="shared" si="17"/>
        <v>4.9999999999999991</v>
      </c>
      <c r="V61" s="2">
        <f t="shared" si="18"/>
        <v>6.6666666666666652</v>
      </c>
      <c r="W61" s="2">
        <f t="shared" si="19"/>
        <v>8.3333333333333321</v>
      </c>
      <c r="X61" s="2">
        <f t="shared" si="20"/>
        <v>9.9999999999999982</v>
      </c>
      <c r="Y61" s="5" t="str">
        <f t="shared" si="22"/>
        <v>1</v>
      </c>
      <c r="Z61" s="5" t="str">
        <f t="shared" si="22"/>
        <v>1</v>
      </c>
      <c r="AA61" s="5" t="str">
        <f t="shared" si="22"/>
        <v>1</v>
      </c>
      <c r="AB61" s="5" t="str">
        <f t="shared" si="22"/>
        <v>1</v>
      </c>
      <c r="AC61" s="5" t="str">
        <f t="shared" si="22"/>
        <v>1</v>
      </c>
      <c r="AD61" s="5" t="str">
        <f t="shared" si="22"/>
        <v>1</v>
      </c>
      <c r="AE61" s="5" t="str">
        <f t="shared" si="22"/>
        <v>1</v>
      </c>
    </row>
    <row r="62" spans="1:31" ht="14.4" x14ac:dyDescent="0.3">
      <c r="A62" s="14">
        <v>59</v>
      </c>
      <c r="B62" s="15" t="s">
        <v>161</v>
      </c>
      <c r="C62" s="10">
        <v>10</v>
      </c>
      <c r="D62" s="10">
        <v>25</v>
      </c>
      <c r="E62" s="17">
        <v>365</v>
      </c>
      <c r="F62" s="22">
        <v>2.9999999999999997E-4</v>
      </c>
      <c r="G62" s="10">
        <v>900</v>
      </c>
      <c r="H62" s="12">
        <v>1E-3</v>
      </c>
      <c r="I62" s="18">
        <v>10950</v>
      </c>
      <c r="J62" s="20">
        <v>10</v>
      </c>
      <c r="K62" s="19">
        <f t="shared" si="0"/>
        <v>3.599999999999999E-3</v>
      </c>
      <c r="L62" s="2">
        <f t="shared" si="21"/>
        <v>1.7999999999999995E-3</v>
      </c>
      <c r="M62" s="2">
        <f t="shared" si="2"/>
        <v>3.599999999999999E-3</v>
      </c>
      <c r="N62" s="2">
        <f t="shared" si="3"/>
        <v>5.3999999999999994E-3</v>
      </c>
      <c r="O62" s="2">
        <f t="shared" si="4"/>
        <v>7.1999999999999981E-3</v>
      </c>
      <c r="P62" s="2">
        <f t="shared" si="5"/>
        <v>8.9999999999999976E-3</v>
      </c>
      <c r="Q62" s="2">
        <f t="shared" si="6"/>
        <v>1.0799999999999999E-2</v>
      </c>
      <c r="R62" s="2">
        <f t="shared" si="7"/>
        <v>3.5999999999999988</v>
      </c>
      <c r="S62" s="2">
        <f t="shared" si="16"/>
        <v>1.7999999999999994</v>
      </c>
      <c r="T62" s="2">
        <f t="shared" si="9"/>
        <v>3.5999999999999988</v>
      </c>
      <c r="U62" s="2">
        <f t="shared" si="17"/>
        <v>5.3999999999999995</v>
      </c>
      <c r="V62" s="2">
        <f t="shared" si="18"/>
        <v>7.1999999999999975</v>
      </c>
      <c r="W62" s="2">
        <f t="shared" si="19"/>
        <v>8.9999999999999982</v>
      </c>
      <c r="X62" s="2">
        <f t="shared" si="20"/>
        <v>10.799999999999999</v>
      </c>
      <c r="Y62" s="5" t="str">
        <f t="shared" si="22"/>
        <v>1</v>
      </c>
      <c r="Z62" s="5" t="str">
        <f t="shared" si="22"/>
        <v>1</v>
      </c>
      <c r="AA62" s="5" t="str">
        <f t="shared" si="22"/>
        <v>1</v>
      </c>
      <c r="AB62" s="5" t="str">
        <f t="shared" si="22"/>
        <v>1</v>
      </c>
      <c r="AC62" s="5" t="str">
        <f t="shared" si="22"/>
        <v>1</v>
      </c>
      <c r="AD62" s="5" t="str">
        <f t="shared" si="22"/>
        <v>1</v>
      </c>
      <c r="AE62" s="5" t="str">
        <f t="shared" si="22"/>
        <v>1</v>
      </c>
    </row>
    <row r="63" spans="1:31" ht="14.4" x14ac:dyDescent="0.3">
      <c r="A63" s="14">
        <v>60</v>
      </c>
      <c r="B63" s="15" t="s">
        <v>162</v>
      </c>
      <c r="C63" s="10">
        <v>10</v>
      </c>
      <c r="D63" s="10">
        <v>25</v>
      </c>
      <c r="E63" s="17">
        <v>365</v>
      </c>
      <c r="F63" s="22">
        <v>2.9999999999999997E-4</v>
      </c>
      <c r="G63" s="10">
        <v>900</v>
      </c>
      <c r="H63" s="12">
        <v>1E-3</v>
      </c>
      <c r="I63" s="18">
        <v>10950</v>
      </c>
      <c r="J63" s="20">
        <v>10</v>
      </c>
      <c r="K63" s="19">
        <f t="shared" si="0"/>
        <v>3.599999999999999E-3</v>
      </c>
      <c r="L63" s="2">
        <f t="shared" si="21"/>
        <v>1.7999999999999995E-3</v>
      </c>
      <c r="M63" s="2">
        <f t="shared" si="2"/>
        <v>3.599999999999999E-3</v>
      </c>
      <c r="N63" s="2">
        <f t="shared" si="3"/>
        <v>5.3999999999999994E-3</v>
      </c>
      <c r="O63" s="2">
        <f t="shared" si="4"/>
        <v>7.1999999999999981E-3</v>
      </c>
      <c r="P63" s="2">
        <f t="shared" si="5"/>
        <v>8.9999999999999976E-3</v>
      </c>
      <c r="Q63" s="2">
        <f t="shared" si="6"/>
        <v>1.0799999999999999E-2</v>
      </c>
      <c r="R63" s="2">
        <f t="shared" si="7"/>
        <v>3.5999999999999988</v>
      </c>
      <c r="S63" s="2">
        <f t="shared" si="16"/>
        <v>1.7999999999999994</v>
      </c>
      <c r="T63" s="2">
        <f t="shared" si="9"/>
        <v>3.5999999999999988</v>
      </c>
      <c r="U63" s="2">
        <f t="shared" si="17"/>
        <v>5.3999999999999995</v>
      </c>
      <c r="V63" s="2">
        <f t="shared" si="18"/>
        <v>7.1999999999999975</v>
      </c>
      <c r="W63" s="2">
        <f t="shared" si="19"/>
        <v>8.9999999999999982</v>
      </c>
      <c r="X63" s="2">
        <f t="shared" si="20"/>
        <v>10.799999999999999</v>
      </c>
      <c r="Y63" s="5" t="str">
        <f t="shared" si="22"/>
        <v>1</v>
      </c>
      <c r="Z63" s="5" t="str">
        <f t="shared" si="22"/>
        <v>1</v>
      </c>
      <c r="AA63" s="5" t="str">
        <f t="shared" si="22"/>
        <v>1</v>
      </c>
      <c r="AB63" s="5" t="str">
        <f t="shared" si="22"/>
        <v>1</v>
      </c>
      <c r="AC63" s="5" t="str">
        <f t="shared" si="22"/>
        <v>1</v>
      </c>
      <c r="AD63" s="5" t="str">
        <f t="shared" si="22"/>
        <v>1</v>
      </c>
      <c r="AE63" s="5" t="str">
        <f t="shared" si="22"/>
        <v>1</v>
      </c>
    </row>
    <row r="64" spans="1:31" ht="14.4" x14ac:dyDescent="0.3">
      <c r="A64" s="14">
        <v>61</v>
      </c>
      <c r="B64" s="15" t="s">
        <v>163</v>
      </c>
      <c r="C64" s="10">
        <v>10</v>
      </c>
      <c r="D64" s="10">
        <v>30</v>
      </c>
      <c r="E64" s="17">
        <v>365</v>
      </c>
      <c r="F64" s="22">
        <v>2.9999999999999997E-4</v>
      </c>
      <c r="G64" s="10">
        <v>900</v>
      </c>
      <c r="H64" s="12">
        <v>1E-3</v>
      </c>
      <c r="I64" s="18">
        <v>10950</v>
      </c>
      <c r="J64" s="20">
        <v>10</v>
      </c>
      <c r="K64" s="19">
        <f t="shared" si="0"/>
        <v>2.9999999999999992E-3</v>
      </c>
      <c r="L64" s="2">
        <f t="shared" si="21"/>
        <v>1.4999999999999996E-3</v>
      </c>
      <c r="M64" s="2">
        <f t="shared" si="2"/>
        <v>2.9999999999999992E-3</v>
      </c>
      <c r="N64" s="2">
        <f t="shared" si="3"/>
        <v>4.4999999999999997E-3</v>
      </c>
      <c r="O64" s="2">
        <f t="shared" si="4"/>
        <v>5.9999999999999984E-3</v>
      </c>
      <c r="P64" s="2">
        <f t="shared" si="5"/>
        <v>7.4999999999999989E-3</v>
      </c>
      <c r="Q64" s="2">
        <f t="shared" si="6"/>
        <v>8.9999999999999993E-3</v>
      </c>
      <c r="R64" s="2">
        <f t="shared" si="7"/>
        <v>2.9999999999999991</v>
      </c>
      <c r="S64" s="2">
        <f t="shared" si="16"/>
        <v>1.4999999999999996</v>
      </c>
      <c r="T64" s="2">
        <f t="shared" si="9"/>
        <v>2.9999999999999991</v>
      </c>
      <c r="U64" s="2">
        <f t="shared" si="17"/>
        <v>4.5</v>
      </c>
      <c r="V64" s="2">
        <f t="shared" si="18"/>
        <v>5.9999999999999982</v>
      </c>
      <c r="W64" s="2">
        <f t="shared" si="19"/>
        <v>7.4999999999999991</v>
      </c>
      <c r="X64" s="2">
        <f t="shared" si="20"/>
        <v>9</v>
      </c>
      <c r="Y64" s="5" t="str">
        <f t="shared" si="22"/>
        <v>1</v>
      </c>
      <c r="Z64" s="5" t="str">
        <f t="shared" si="22"/>
        <v>1</v>
      </c>
      <c r="AA64" s="5" t="str">
        <f t="shared" si="22"/>
        <v>1</v>
      </c>
      <c r="AB64" s="5" t="str">
        <f t="shared" si="22"/>
        <v>1</v>
      </c>
      <c r="AC64" s="5" t="str">
        <f t="shared" si="22"/>
        <v>1</v>
      </c>
      <c r="AD64" s="5" t="str">
        <f t="shared" si="22"/>
        <v>1</v>
      </c>
      <c r="AE64" s="5" t="str">
        <f t="shared" si="22"/>
        <v>1</v>
      </c>
    </row>
    <row r="65" spans="1:31" ht="14.4" x14ac:dyDescent="0.3">
      <c r="A65" s="14">
        <v>62</v>
      </c>
      <c r="B65" s="15" t="s">
        <v>164</v>
      </c>
      <c r="C65" s="10">
        <v>10</v>
      </c>
      <c r="D65" s="10">
        <v>25</v>
      </c>
      <c r="E65" s="17">
        <v>365</v>
      </c>
      <c r="F65" s="22">
        <v>2.9999999999999997E-4</v>
      </c>
      <c r="G65" s="10">
        <v>900</v>
      </c>
      <c r="H65" s="12">
        <v>1E-3</v>
      </c>
      <c r="I65" s="18">
        <v>10950</v>
      </c>
      <c r="J65" s="20">
        <v>10</v>
      </c>
      <c r="K65" s="19">
        <f t="shared" si="0"/>
        <v>3.599999999999999E-3</v>
      </c>
      <c r="L65" s="2">
        <f t="shared" si="21"/>
        <v>1.7999999999999995E-3</v>
      </c>
      <c r="M65" s="2">
        <f t="shared" si="2"/>
        <v>3.599999999999999E-3</v>
      </c>
      <c r="N65" s="2">
        <f t="shared" si="3"/>
        <v>5.3999999999999994E-3</v>
      </c>
      <c r="O65" s="2">
        <f t="shared" si="4"/>
        <v>7.1999999999999981E-3</v>
      </c>
      <c r="P65" s="2">
        <f t="shared" si="5"/>
        <v>8.9999999999999976E-3</v>
      </c>
      <c r="Q65" s="2">
        <f t="shared" si="6"/>
        <v>1.0799999999999999E-2</v>
      </c>
      <c r="R65" s="2">
        <f t="shared" si="7"/>
        <v>3.5999999999999988</v>
      </c>
      <c r="S65" s="2">
        <f t="shared" si="16"/>
        <v>1.7999999999999994</v>
      </c>
      <c r="T65" s="2">
        <f t="shared" si="9"/>
        <v>3.5999999999999988</v>
      </c>
      <c r="U65" s="2">
        <f t="shared" si="17"/>
        <v>5.3999999999999995</v>
      </c>
      <c r="V65" s="2">
        <f t="shared" si="18"/>
        <v>7.1999999999999975</v>
      </c>
      <c r="W65" s="2">
        <f t="shared" si="19"/>
        <v>8.9999999999999982</v>
      </c>
      <c r="X65" s="2">
        <f t="shared" si="20"/>
        <v>10.799999999999999</v>
      </c>
      <c r="Y65" s="5" t="str">
        <f t="shared" si="22"/>
        <v>1</v>
      </c>
      <c r="Z65" s="5" t="str">
        <f t="shared" si="22"/>
        <v>1</v>
      </c>
      <c r="AA65" s="5" t="str">
        <f t="shared" si="22"/>
        <v>1</v>
      </c>
      <c r="AB65" s="5" t="str">
        <f t="shared" si="22"/>
        <v>1</v>
      </c>
      <c r="AC65" s="5" t="str">
        <f t="shared" si="22"/>
        <v>1</v>
      </c>
      <c r="AD65" s="5" t="str">
        <f t="shared" si="22"/>
        <v>1</v>
      </c>
      <c r="AE65" s="5" t="str">
        <f t="shared" si="22"/>
        <v>1</v>
      </c>
    </row>
    <row r="66" spans="1:31" ht="14.4" x14ac:dyDescent="0.3">
      <c r="A66" s="14">
        <v>63</v>
      </c>
      <c r="B66" s="15" t="s">
        <v>165</v>
      </c>
      <c r="C66" s="10">
        <v>10</v>
      </c>
      <c r="D66" s="10">
        <v>25</v>
      </c>
      <c r="E66" s="17">
        <v>365</v>
      </c>
      <c r="F66" s="22">
        <v>2.9999999999999997E-4</v>
      </c>
      <c r="G66" s="10">
        <v>900</v>
      </c>
      <c r="H66" s="12">
        <v>1E-3</v>
      </c>
      <c r="I66" s="18">
        <v>10950</v>
      </c>
      <c r="J66" s="20">
        <v>10</v>
      </c>
      <c r="K66" s="19">
        <f t="shared" si="0"/>
        <v>3.599999999999999E-3</v>
      </c>
      <c r="L66" s="2">
        <f t="shared" si="21"/>
        <v>1.7999999999999995E-3</v>
      </c>
      <c r="M66" s="2">
        <f t="shared" si="2"/>
        <v>3.599999999999999E-3</v>
      </c>
      <c r="N66" s="2">
        <f t="shared" si="3"/>
        <v>5.3999999999999994E-3</v>
      </c>
      <c r="O66" s="2">
        <f t="shared" si="4"/>
        <v>7.1999999999999981E-3</v>
      </c>
      <c r="P66" s="2">
        <f t="shared" si="5"/>
        <v>8.9999999999999976E-3</v>
      </c>
      <c r="Q66" s="2">
        <f t="shared" si="6"/>
        <v>1.0799999999999999E-2</v>
      </c>
      <c r="R66" s="2">
        <f t="shared" si="7"/>
        <v>3.5999999999999988</v>
      </c>
      <c r="S66" s="2">
        <f t="shared" si="16"/>
        <v>1.7999999999999994</v>
      </c>
      <c r="T66" s="2">
        <f t="shared" si="9"/>
        <v>3.5999999999999988</v>
      </c>
      <c r="U66" s="2">
        <f t="shared" si="17"/>
        <v>5.3999999999999995</v>
      </c>
      <c r="V66" s="2">
        <f t="shared" si="18"/>
        <v>7.1999999999999975</v>
      </c>
      <c r="W66" s="2">
        <f t="shared" si="19"/>
        <v>8.9999999999999982</v>
      </c>
      <c r="X66" s="2">
        <f t="shared" si="20"/>
        <v>10.799999999999999</v>
      </c>
      <c r="Y66" s="5" t="str">
        <f t="shared" si="22"/>
        <v>1</v>
      </c>
      <c r="Z66" s="5" t="str">
        <f t="shared" si="22"/>
        <v>1</v>
      </c>
      <c r="AA66" s="5" t="str">
        <f t="shared" si="22"/>
        <v>1</v>
      </c>
      <c r="AB66" s="5" t="str">
        <f t="shared" si="22"/>
        <v>1</v>
      </c>
      <c r="AC66" s="5" t="str">
        <f t="shared" si="22"/>
        <v>1</v>
      </c>
      <c r="AD66" s="5" t="str">
        <f t="shared" si="22"/>
        <v>1</v>
      </c>
      <c r="AE66" s="5" t="str">
        <f t="shared" si="22"/>
        <v>1</v>
      </c>
    </row>
    <row r="67" spans="1:31" ht="14.4" x14ac:dyDescent="0.3">
      <c r="A67" s="14">
        <v>64</v>
      </c>
      <c r="B67" s="15" t="s">
        <v>144</v>
      </c>
      <c r="C67" s="10">
        <v>10</v>
      </c>
      <c r="D67" s="10">
        <v>30</v>
      </c>
      <c r="E67" s="17">
        <v>365</v>
      </c>
      <c r="F67" s="22">
        <v>2.9999999999999997E-4</v>
      </c>
      <c r="G67" s="10">
        <v>900</v>
      </c>
      <c r="H67" s="12">
        <v>1E-3</v>
      </c>
      <c r="I67" s="18">
        <v>10950</v>
      </c>
      <c r="J67" s="20">
        <v>10</v>
      </c>
      <c r="K67" s="19">
        <f t="shared" si="0"/>
        <v>2.9999999999999992E-3</v>
      </c>
      <c r="L67" s="2">
        <f t="shared" si="21"/>
        <v>1.4999999999999996E-3</v>
      </c>
      <c r="M67" s="2">
        <f t="shared" si="2"/>
        <v>2.9999999999999992E-3</v>
      </c>
      <c r="N67" s="2">
        <f t="shared" si="3"/>
        <v>4.4999999999999997E-3</v>
      </c>
      <c r="O67" s="2">
        <f t="shared" si="4"/>
        <v>5.9999999999999984E-3</v>
      </c>
      <c r="P67" s="2">
        <f t="shared" si="5"/>
        <v>7.4999999999999989E-3</v>
      </c>
      <c r="Q67" s="2">
        <f t="shared" si="6"/>
        <v>8.9999999999999993E-3</v>
      </c>
      <c r="R67" s="2">
        <f t="shared" si="7"/>
        <v>2.9999999999999991</v>
      </c>
      <c r="S67" s="2">
        <f t="shared" si="16"/>
        <v>1.4999999999999996</v>
      </c>
      <c r="T67" s="2">
        <f t="shared" si="9"/>
        <v>2.9999999999999991</v>
      </c>
      <c r="U67" s="2">
        <f t="shared" si="17"/>
        <v>4.5</v>
      </c>
      <c r="V67" s="2">
        <f t="shared" si="18"/>
        <v>5.9999999999999982</v>
      </c>
      <c r="W67" s="2">
        <f t="shared" si="19"/>
        <v>7.4999999999999991</v>
      </c>
      <c r="X67" s="2">
        <f t="shared" si="20"/>
        <v>9</v>
      </c>
      <c r="Y67" s="5" t="str">
        <f t="shared" si="22"/>
        <v>1</v>
      </c>
      <c r="Z67" s="5" t="str">
        <f t="shared" si="22"/>
        <v>1</v>
      </c>
      <c r="AA67" s="5" t="str">
        <f t="shared" si="22"/>
        <v>1</v>
      </c>
      <c r="AB67" s="5" t="str">
        <f t="shared" si="22"/>
        <v>1</v>
      </c>
      <c r="AC67" s="5" t="str">
        <f t="shared" si="22"/>
        <v>1</v>
      </c>
      <c r="AD67" s="5" t="str">
        <f t="shared" si="22"/>
        <v>1</v>
      </c>
      <c r="AE67" s="5" t="str">
        <f t="shared" si="22"/>
        <v>1</v>
      </c>
    </row>
    <row r="68" spans="1:31" ht="14.4" x14ac:dyDescent="0.3">
      <c r="A68" s="14">
        <v>65</v>
      </c>
      <c r="B68" s="15" t="s">
        <v>166</v>
      </c>
      <c r="C68" s="10">
        <v>11</v>
      </c>
      <c r="D68" s="10">
        <v>33</v>
      </c>
      <c r="E68" s="17">
        <v>365</v>
      </c>
      <c r="F68" s="22">
        <v>2.9999999999999997E-4</v>
      </c>
      <c r="G68" s="10">
        <v>900</v>
      </c>
      <c r="H68" s="12">
        <v>1E-3</v>
      </c>
      <c r="I68" s="18">
        <v>10950</v>
      </c>
      <c r="J68" s="20">
        <v>11</v>
      </c>
      <c r="K68" s="19">
        <f t="shared" ref="K68:K103" si="23">(F68*G68*E68*J68)/(D68*I68)</f>
        <v>2.9999999999999992E-3</v>
      </c>
      <c r="L68" s="2">
        <f t="shared" si="21"/>
        <v>1.3636363636363633E-3</v>
      </c>
      <c r="M68" s="2">
        <f t="shared" ref="M68:M103" si="24">(F68*G68*E68*10)/(D68*I68)</f>
        <v>2.7272727272727266E-3</v>
      </c>
      <c r="N68" s="2">
        <f t="shared" ref="N68:N103" si="25">(F68*G68*E68*15)/(D68*I68)</f>
        <v>4.0909090909090904E-3</v>
      </c>
      <c r="O68" s="2">
        <f t="shared" ref="O68:O103" si="26">(F68*G68*E68*20)/(D68*I68)</f>
        <v>5.4545454545454532E-3</v>
      </c>
      <c r="P68" s="2">
        <f t="shared" ref="P68:P103" si="27">(F68*G68*E68*25)/(D68*I68)</f>
        <v>6.818181818181817E-3</v>
      </c>
      <c r="Q68" s="2">
        <f t="shared" ref="Q68:Q103" si="28">(F68*G68*E68*30)/(D68*I68)</f>
        <v>8.1818181818181807E-3</v>
      </c>
      <c r="R68" s="2">
        <f t="shared" ref="R68:R103" si="29">K68/H68</f>
        <v>2.9999999999999991</v>
      </c>
      <c r="S68" s="2">
        <f t="shared" si="16"/>
        <v>1.3636363636363633</v>
      </c>
      <c r="T68" s="2">
        <f t="shared" ref="T68:T103" si="30">M68/H68</f>
        <v>2.7272727272727266</v>
      </c>
      <c r="U68" s="2">
        <f t="shared" si="17"/>
        <v>4.0909090909090899</v>
      </c>
      <c r="V68" s="2">
        <f t="shared" si="18"/>
        <v>5.4545454545454533</v>
      </c>
      <c r="W68" s="2">
        <f t="shared" si="19"/>
        <v>6.8181818181818166</v>
      </c>
      <c r="X68" s="2">
        <f t="shared" si="20"/>
        <v>8.1818181818181799</v>
      </c>
      <c r="Y68" s="5" t="str">
        <f t="shared" si="22"/>
        <v>1</v>
      </c>
      <c r="Z68" s="5" t="str">
        <f t="shared" si="22"/>
        <v>1</v>
      </c>
      <c r="AA68" s="5" t="str">
        <f t="shared" si="22"/>
        <v>1</v>
      </c>
      <c r="AB68" s="5" t="str">
        <f t="shared" si="22"/>
        <v>1</v>
      </c>
      <c r="AC68" s="5" t="str">
        <f t="shared" si="22"/>
        <v>1</v>
      </c>
      <c r="AD68" s="5" t="str">
        <f t="shared" si="22"/>
        <v>1</v>
      </c>
      <c r="AE68" s="5" t="str">
        <f t="shared" si="22"/>
        <v>1</v>
      </c>
    </row>
    <row r="69" spans="1:31" ht="14.4" x14ac:dyDescent="0.3">
      <c r="A69" s="14">
        <v>66</v>
      </c>
      <c r="B69" s="15" t="s">
        <v>167</v>
      </c>
      <c r="C69" s="10">
        <v>11</v>
      </c>
      <c r="D69" s="10">
        <v>23</v>
      </c>
      <c r="E69" s="17">
        <v>365</v>
      </c>
      <c r="F69" s="22">
        <v>2.9999999999999997E-4</v>
      </c>
      <c r="G69" s="10">
        <v>900</v>
      </c>
      <c r="H69" s="12">
        <v>1E-3</v>
      </c>
      <c r="I69" s="18">
        <v>10950</v>
      </c>
      <c r="J69" s="20">
        <v>11</v>
      </c>
      <c r="K69" s="19">
        <f t="shared" si="23"/>
        <v>4.3043478260869558E-3</v>
      </c>
      <c r="L69" s="2">
        <f t="shared" si="21"/>
        <v>1.9565217391304345E-3</v>
      </c>
      <c r="M69" s="2">
        <f t="shared" si="24"/>
        <v>3.913043478260869E-3</v>
      </c>
      <c r="N69" s="2">
        <f t="shared" si="25"/>
        <v>5.8695652173913031E-3</v>
      </c>
      <c r="O69" s="2">
        <f t="shared" si="26"/>
        <v>7.826086956521738E-3</v>
      </c>
      <c r="P69" s="2">
        <f t="shared" si="27"/>
        <v>9.7826086956521729E-3</v>
      </c>
      <c r="Q69" s="2">
        <f t="shared" si="28"/>
        <v>1.1739130434782606E-2</v>
      </c>
      <c r="R69" s="2">
        <f t="shared" si="29"/>
        <v>4.3043478260869561</v>
      </c>
      <c r="S69" s="2">
        <f t="shared" si="16"/>
        <v>1.9565217391304344</v>
      </c>
      <c r="T69" s="2">
        <f t="shared" si="30"/>
        <v>3.9130434782608687</v>
      </c>
      <c r="U69" s="2">
        <f t="shared" si="17"/>
        <v>5.8695652173913029</v>
      </c>
      <c r="V69" s="2">
        <f t="shared" si="18"/>
        <v>7.8260869565217375</v>
      </c>
      <c r="W69" s="2">
        <f t="shared" si="19"/>
        <v>9.7826086956521721</v>
      </c>
      <c r="X69" s="2">
        <f t="shared" si="20"/>
        <v>11.739130434782606</v>
      </c>
      <c r="Y69" s="5" t="str">
        <f t="shared" si="22"/>
        <v>1</v>
      </c>
      <c r="Z69" s="5" t="str">
        <f t="shared" si="22"/>
        <v>1</v>
      </c>
      <c r="AA69" s="5" t="str">
        <f t="shared" si="22"/>
        <v>1</v>
      </c>
      <c r="AB69" s="5" t="str">
        <f t="shared" si="22"/>
        <v>1</v>
      </c>
      <c r="AC69" s="5" t="str">
        <f t="shared" si="22"/>
        <v>1</v>
      </c>
      <c r="AD69" s="5" t="str">
        <f t="shared" si="22"/>
        <v>1</v>
      </c>
      <c r="AE69" s="5" t="str">
        <f t="shared" si="22"/>
        <v>1</v>
      </c>
    </row>
    <row r="70" spans="1:31" ht="14.4" x14ac:dyDescent="0.3">
      <c r="A70" s="14">
        <v>67</v>
      </c>
      <c r="B70" s="15" t="s">
        <v>168</v>
      </c>
      <c r="C70" s="10">
        <v>11</v>
      </c>
      <c r="D70" s="10">
        <v>34</v>
      </c>
      <c r="E70" s="17">
        <v>365</v>
      </c>
      <c r="F70" s="22">
        <v>2.9999999999999997E-4</v>
      </c>
      <c r="G70" s="10">
        <v>1200</v>
      </c>
      <c r="H70" s="12">
        <v>1E-3</v>
      </c>
      <c r="I70" s="18">
        <v>10950</v>
      </c>
      <c r="J70" s="20">
        <v>11</v>
      </c>
      <c r="K70" s="19">
        <f t="shared" si="23"/>
        <v>3.8823529411764709E-3</v>
      </c>
      <c r="L70" s="2">
        <f t="shared" si="21"/>
        <v>1.7647058823529412E-3</v>
      </c>
      <c r="M70" s="2">
        <f t="shared" si="24"/>
        <v>3.5294117647058825E-3</v>
      </c>
      <c r="N70" s="2">
        <f t="shared" si="25"/>
        <v>5.2941176470588233E-3</v>
      </c>
      <c r="O70" s="2">
        <f t="shared" si="26"/>
        <v>7.058823529411765E-3</v>
      </c>
      <c r="P70" s="2">
        <f t="shared" si="27"/>
        <v>8.8235294117647058E-3</v>
      </c>
      <c r="Q70" s="2">
        <f t="shared" si="28"/>
        <v>1.0588235294117647E-2</v>
      </c>
      <c r="R70" s="2">
        <f t="shared" si="29"/>
        <v>3.882352941176471</v>
      </c>
      <c r="S70" s="2">
        <f t="shared" si="16"/>
        <v>1.7647058823529411</v>
      </c>
      <c r="T70" s="2">
        <f t="shared" si="30"/>
        <v>3.5294117647058822</v>
      </c>
      <c r="U70" s="2">
        <f t="shared" si="17"/>
        <v>5.2941176470588234</v>
      </c>
      <c r="V70" s="2">
        <f t="shared" si="18"/>
        <v>7.0588235294117645</v>
      </c>
      <c r="W70" s="2">
        <f t="shared" si="19"/>
        <v>8.8235294117647047</v>
      </c>
      <c r="X70" s="2">
        <f t="shared" si="20"/>
        <v>10.588235294117647</v>
      </c>
      <c r="Y70" s="5" t="str">
        <f t="shared" si="22"/>
        <v>1</v>
      </c>
      <c r="Z70" s="5" t="str">
        <f t="shared" si="22"/>
        <v>1</v>
      </c>
      <c r="AA70" s="5" t="str">
        <f t="shared" si="22"/>
        <v>1</v>
      </c>
      <c r="AB70" s="5" t="str">
        <f t="shared" si="22"/>
        <v>1</v>
      </c>
      <c r="AC70" s="5" t="str">
        <f t="shared" si="22"/>
        <v>1</v>
      </c>
      <c r="AD70" s="5" t="str">
        <f t="shared" si="22"/>
        <v>1</v>
      </c>
      <c r="AE70" s="5" t="str">
        <f t="shared" si="22"/>
        <v>1</v>
      </c>
    </row>
    <row r="71" spans="1:31" ht="14.4" x14ac:dyDescent="0.3">
      <c r="A71" s="14">
        <v>68</v>
      </c>
      <c r="B71" s="15" t="s">
        <v>169</v>
      </c>
      <c r="C71" s="10">
        <v>11</v>
      </c>
      <c r="D71" s="10">
        <v>32</v>
      </c>
      <c r="E71" s="17">
        <v>365</v>
      </c>
      <c r="F71" s="22">
        <v>2.9999999999999997E-4</v>
      </c>
      <c r="G71" s="10">
        <v>900</v>
      </c>
      <c r="H71" s="12">
        <v>1E-3</v>
      </c>
      <c r="I71" s="18">
        <v>10950</v>
      </c>
      <c r="J71" s="20">
        <v>11</v>
      </c>
      <c r="K71" s="19">
        <f t="shared" si="23"/>
        <v>3.0937499999999993E-3</v>
      </c>
      <c r="L71" s="2">
        <f t="shared" si="21"/>
        <v>1.4062499999999997E-3</v>
      </c>
      <c r="M71" s="2">
        <f t="shared" si="24"/>
        <v>2.8124999999999995E-3</v>
      </c>
      <c r="N71" s="2">
        <f t="shared" si="25"/>
        <v>4.2187499999999994E-3</v>
      </c>
      <c r="O71" s="2">
        <f t="shared" si="26"/>
        <v>5.6249999999999989E-3</v>
      </c>
      <c r="P71" s="2">
        <f t="shared" si="27"/>
        <v>7.0312499999999984E-3</v>
      </c>
      <c r="Q71" s="2">
        <f t="shared" si="28"/>
        <v>8.4374999999999988E-3</v>
      </c>
      <c r="R71" s="2">
        <f t="shared" si="29"/>
        <v>3.0937499999999991</v>
      </c>
      <c r="S71" s="2">
        <f t="shared" si="16"/>
        <v>1.4062499999999998</v>
      </c>
      <c r="T71" s="2">
        <f t="shared" si="30"/>
        <v>2.8124999999999996</v>
      </c>
      <c r="U71" s="2">
        <f t="shared" si="17"/>
        <v>4.2187499999999991</v>
      </c>
      <c r="V71" s="2">
        <f t="shared" si="18"/>
        <v>5.6249999999999991</v>
      </c>
      <c r="W71" s="2">
        <f t="shared" si="19"/>
        <v>7.0312499999999982</v>
      </c>
      <c r="X71" s="2">
        <f t="shared" si="20"/>
        <v>8.4374999999999982</v>
      </c>
      <c r="Y71" s="5" t="str">
        <f t="shared" si="22"/>
        <v>1</v>
      </c>
      <c r="Z71" s="5" t="str">
        <f t="shared" si="22"/>
        <v>1</v>
      </c>
      <c r="AA71" s="5" t="str">
        <f t="shared" si="22"/>
        <v>1</v>
      </c>
      <c r="AB71" s="5" t="str">
        <f t="shared" si="22"/>
        <v>1</v>
      </c>
      <c r="AC71" s="5" t="str">
        <f t="shared" si="22"/>
        <v>1</v>
      </c>
      <c r="AD71" s="5" t="str">
        <f t="shared" si="22"/>
        <v>1</v>
      </c>
      <c r="AE71" s="5" t="str">
        <f t="shared" si="22"/>
        <v>1</v>
      </c>
    </row>
    <row r="72" spans="1:31" ht="14.4" x14ac:dyDescent="0.3">
      <c r="A72" s="14">
        <v>69</v>
      </c>
      <c r="B72" s="15" t="s">
        <v>170</v>
      </c>
      <c r="C72" s="10">
        <v>11</v>
      </c>
      <c r="D72" s="10">
        <v>29</v>
      </c>
      <c r="E72" s="17">
        <v>365</v>
      </c>
      <c r="F72" s="22">
        <v>2.9999999999999997E-4</v>
      </c>
      <c r="G72" s="10">
        <v>1200</v>
      </c>
      <c r="H72" s="12">
        <v>1E-3</v>
      </c>
      <c r="I72" s="18">
        <v>10950</v>
      </c>
      <c r="J72" s="20">
        <v>11</v>
      </c>
      <c r="K72" s="19">
        <f t="shared" si="23"/>
        <v>4.5517241379310347E-3</v>
      </c>
      <c r="L72" s="2">
        <f t="shared" si="21"/>
        <v>2.0689655172413794E-3</v>
      </c>
      <c r="M72" s="2">
        <f t="shared" si="24"/>
        <v>4.1379310344827587E-3</v>
      </c>
      <c r="N72" s="2">
        <f t="shared" si="25"/>
        <v>6.2068965517241377E-3</v>
      </c>
      <c r="O72" s="2">
        <f t="shared" si="26"/>
        <v>8.2758620689655175E-3</v>
      </c>
      <c r="P72" s="2">
        <f t="shared" si="27"/>
        <v>1.0344827586206896E-2</v>
      </c>
      <c r="Q72" s="2">
        <f t="shared" si="28"/>
        <v>1.2413793103448275E-2</v>
      </c>
      <c r="R72" s="2">
        <f t="shared" si="29"/>
        <v>4.5517241379310347</v>
      </c>
      <c r="S72" s="2">
        <f t="shared" si="16"/>
        <v>2.0689655172413794</v>
      </c>
      <c r="T72" s="2">
        <f t="shared" si="30"/>
        <v>4.1379310344827589</v>
      </c>
      <c r="U72" s="2">
        <f t="shared" si="17"/>
        <v>6.2068965517241379</v>
      </c>
      <c r="V72" s="2">
        <f t="shared" si="18"/>
        <v>8.2758620689655178</v>
      </c>
      <c r="W72" s="2">
        <f t="shared" si="19"/>
        <v>10.344827586206897</v>
      </c>
      <c r="X72" s="2">
        <f t="shared" si="20"/>
        <v>12.413793103448276</v>
      </c>
      <c r="Y72" s="5" t="str">
        <f t="shared" si="22"/>
        <v>1</v>
      </c>
      <c r="Z72" s="5" t="str">
        <f t="shared" si="22"/>
        <v>1</v>
      </c>
      <c r="AA72" s="5" t="str">
        <f t="shared" si="22"/>
        <v>1</v>
      </c>
      <c r="AB72" s="5" t="str">
        <f t="shared" si="22"/>
        <v>1</v>
      </c>
      <c r="AC72" s="5" t="str">
        <f t="shared" si="22"/>
        <v>1</v>
      </c>
      <c r="AD72" s="5" t="str">
        <f t="shared" si="22"/>
        <v>1</v>
      </c>
      <c r="AE72" s="5" t="str">
        <f t="shared" si="22"/>
        <v>1</v>
      </c>
    </row>
    <row r="73" spans="1:31" ht="14.4" x14ac:dyDescent="0.3">
      <c r="A73" s="14">
        <v>70</v>
      </c>
      <c r="B73" s="15" t="s">
        <v>171</v>
      </c>
      <c r="C73" s="10">
        <v>11</v>
      </c>
      <c r="D73" s="10">
        <v>29</v>
      </c>
      <c r="E73" s="17">
        <v>365</v>
      </c>
      <c r="F73" s="22">
        <v>2.9999999999999997E-4</v>
      </c>
      <c r="G73" s="10">
        <v>1200</v>
      </c>
      <c r="H73" s="12">
        <v>1E-3</v>
      </c>
      <c r="I73" s="18">
        <v>10950</v>
      </c>
      <c r="J73" s="20">
        <v>11</v>
      </c>
      <c r="K73" s="19">
        <f t="shared" si="23"/>
        <v>4.5517241379310347E-3</v>
      </c>
      <c r="L73" s="2">
        <f t="shared" si="21"/>
        <v>2.0689655172413794E-3</v>
      </c>
      <c r="M73" s="2">
        <f t="shared" si="24"/>
        <v>4.1379310344827587E-3</v>
      </c>
      <c r="N73" s="2">
        <f t="shared" si="25"/>
        <v>6.2068965517241377E-3</v>
      </c>
      <c r="O73" s="2">
        <f t="shared" si="26"/>
        <v>8.2758620689655175E-3</v>
      </c>
      <c r="P73" s="2">
        <f t="shared" si="27"/>
        <v>1.0344827586206896E-2</v>
      </c>
      <c r="Q73" s="2">
        <f t="shared" si="28"/>
        <v>1.2413793103448275E-2</v>
      </c>
      <c r="R73" s="2">
        <f t="shared" si="29"/>
        <v>4.5517241379310347</v>
      </c>
      <c r="S73" s="2">
        <f t="shared" si="16"/>
        <v>2.0689655172413794</v>
      </c>
      <c r="T73" s="2">
        <f t="shared" si="30"/>
        <v>4.1379310344827589</v>
      </c>
      <c r="U73" s="2">
        <f t="shared" si="17"/>
        <v>6.2068965517241379</v>
      </c>
      <c r="V73" s="2">
        <f t="shared" si="18"/>
        <v>8.2758620689655178</v>
      </c>
      <c r="W73" s="2">
        <f t="shared" si="19"/>
        <v>10.344827586206897</v>
      </c>
      <c r="X73" s="2">
        <f t="shared" si="20"/>
        <v>12.413793103448276</v>
      </c>
      <c r="Y73" s="5" t="str">
        <f t="shared" si="22"/>
        <v>1</v>
      </c>
      <c r="Z73" s="5" t="str">
        <f t="shared" si="22"/>
        <v>1</v>
      </c>
      <c r="AA73" s="5" t="str">
        <f t="shared" si="22"/>
        <v>1</v>
      </c>
      <c r="AB73" s="5" t="str">
        <f t="shared" si="22"/>
        <v>1</v>
      </c>
      <c r="AC73" s="5" t="str">
        <f t="shared" si="22"/>
        <v>1</v>
      </c>
      <c r="AD73" s="5" t="str">
        <f t="shared" si="22"/>
        <v>1</v>
      </c>
      <c r="AE73" s="5" t="str">
        <f t="shared" si="22"/>
        <v>1</v>
      </c>
    </row>
    <row r="74" spans="1:31" ht="14.4" x14ac:dyDescent="0.3">
      <c r="A74" s="14">
        <v>71</v>
      </c>
      <c r="B74" s="15" t="s">
        <v>108</v>
      </c>
      <c r="C74" s="10">
        <v>11</v>
      </c>
      <c r="D74" s="10">
        <v>20</v>
      </c>
      <c r="E74" s="17">
        <v>365</v>
      </c>
      <c r="F74" s="22">
        <v>2.9999999999999997E-4</v>
      </c>
      <c r="G74" s="10">
        <v>900</v>
      </c>
      <c r="H74" s="12">
        <v>1E-3</v>
      </c>
      <c r="I74" s="18">
        <v>10950</v>
      </c>
      <c r="J74" s="20">
        <v>1</v>
      </c>
      <c r="K74" s="19">
        <f t="shared" si="23"/>
        <v>4.4999999999999993E-4</v>
      </c>
      <c r="L74" s="2">
        <f t="shared" si="21"/>
        <v>2.2499999999999994E-3</v>
      </c>
      <c r="M74" s="2">
        <f t="shared" si="24"/>
        <v>4.4999999999999988E-3</v>
      </c>
      <c r="N74" s="2">
        <f t="shared" si="25"/>
        <v>6.7499999999999991E-3</v>
      </c>
      <c r="O74" s="2">
        <f t="shared" si="26"/>
        <v>8.9999999999999976E-3</v>
      </c>
      <c r="P74" s="2">
        <f t="shared" si="27"/>
        <v>1.1249999999999998E-2</v>
      </c>
      <c r="Q74" s="2">
        <f t="shared" si="28"/>
        <v>1.3499999999999998E-2</v>
      </c>
      <c r="R74" s="2">
        <f t="shared" si="29"/>
        <v>0.4499999999999999</v>
      </c>
      <c r="S74" s="2">
        <f t="shared" si="16"/>
        <v>2.2499999999999996</v>
      </c>
      <c r="T74" s="2">
        <f t="shared" si="30"/>
        <v>4.4999999999999991</v>
      </c>
      <c r="U74" s="2">
        <f t="shared" si="17"/>
        <v>6.7499999999999991</v>
      </c>
      <c r="V74" s="2">
        <f t="shared" si="18"/>
        <v>8.9999999999999982</v>
      </c>
      <c r="W74" s="2">
        <f t="shared" si="19"/>
        <v>11.249999999999998</v>
      </c>
      <c r="X74" s="2">
        <f t="shared" si="20"/>
        <v>13.499999999999998</v>
      </c>
      <c r="Y74" s="5" t="str">
        <f t="shared" si="22"/>
        <v>2</v>
      </c>
      <c r="Z74" s="5" t="str">
        <f t="shared" si="22"/>
        <v>1</v>
      </c>
      <c r="AA74" s="5" t="str">
        <f t="shared" si="22"/>
        <v>1</v>
      </c>
      <c r="AB74" s="5" t="str">
        <f t="shared" si="22"/>
        <v>1</v>
      </c>
      <c r="AC74" s="5" t="str">
        <f t="shared" si="22"/>
        <v>1</v>
      </c>
      <c r="AD74" s="5" t="str">
        <f t="shared" si="22"/>
        <v>1</v>
      </c>
      <c r="AE74" s="5" t="str">
        <f t="shared" si="22"/>
        <v>1</v>
      </c>
    </row>
    <row r="75" spans="1:31" ht="14.4" x14ac:dyDescent="0.3">
      <c r="A75" s="14">
        <v>72</v>
      </c>
      <c r="B75" s="15" t="s">
        <v>172</v>
      </c>
      <c r="C75" s="10">
        <v>11</v>
      </c>
      <c r="D75" s="10">
        <v>26</v>
      </c>
      <c r="E75" s="17">
        <v>365</v>
      </c>
      <c r="F75" s="22">
        <v>2.9999999999999997E-4</v>
      </c>
      <c r="G75" s="10">
        <v>900</v>
      </c>
      <c r="H75" s="12">
        <v>1E-3</v>
      </c>
      <c r="I75" s="18">
        <v>10950</v>
      </c>
      <c r="J75" s="20">
        <v>1</v>
      </c>
      <c r="K75" s="19">
        <f t="shared" si="23"/>
        <v>3.4615384615384608E-4</v>
      </c>
      <c r="L75" s="2">
        <f t="shared" si="21"/>
        <v>1.7307692307692304E-3</v>
      </c>
      <c r="M75" s="2">
        <f t="shared" si="24"/>
        <v>3.4615384615384608E-3</v>
      </c>
      <c r="N75" s="2">
        <f t="shared" si="25"/>
        <v>5.1923076923076914E-3</v>
      </c>
      <c r="O75" s="2">
        <f t="shared" si="26"/>
        <v>6.9230769230769216E-3</v>
      </c>
      <c r="P75" s="2">
        <f t="shared" si="27"/>
        <v>8.6538461538461526E-3</v>
      </c>
      <c r="Q75" s="2">
        <f t="shared" si="28"/>
        <v>1.0384615384615383E-2</v>
      </c>
      <c r="R75" s="2">
        <f t="shared" si="29"/>
        <v>0.34615384615384609</v>
      </c>
      <c r="S75" s="2">
        <f t="shared" si="16"/>
        <v>1.7307692307692304</v>
      </c>
      <c r="T75" s="2">
        <f t="shared" si="30"/>
        <v>3.4615384615384608</v>
      </c>
      <c r="U75" s="2">
        <f t="shared" si="17"/>
        <v>5.1923076923076916</v>
      </c>
      <c r="V75" s="2">
        <f t="shared" si="18"/>
        <v>6.9230769230769216</v>
      </c>
      <c r="W75" s="2">
        <f t="shared" si="19"/>
        <v>8.6538461538461533</v>
      </c>
      <c r="X75" s="2">
        <f t="shared" si="20"/>
        <v>10.384615384615383</v>
      </c>
      <c r="Y75" s="5" t="str">
        <f t="shared" si="22"/>
        <v>2</v>
      </c>
      <c r="Z75" s="5" t="str">
        <f t="shared" si="22"/>
        <v>1</v>
      </c>
      <c r="AA75" s="5" t="str">
        <f t="shared" si="22"/>
        <v>1</v>
      </c>
      <c r="AB75" s="5" t="str">
        <f t="shared" si="22"/>
        <v>1</v>
      </c>
      <c r="AC75" s="5" t="str">
        <f t="shared" si="22"/>
        <v>1</v>
      </c>
      <c r="AD75" s="5" t="str">
        <f t="shared" si="22"/>
        <v>1</v>
      </c>
      <c r="AE75" s="5" t="str">
        <f t="shared" si="22"/>
        <v>1</v>
      </c>
    </row>
    <row r="76" spans="1:31" ht="14.4" x14ac:dyDescent="0.3">
      <c r="A76" s="14">
        <v>73</v>
      </c>
      <c r="B76" s="15" t="s">
        <v>173</v>
      </c>
      <c r="C76" s="10">
        <v>11</v>
      </c>
      <c r="D76" s="10">
        <v>31</v>
      </c>
      <c r="E76" s="17">
        <v>365</v>
      </c>
      <c r="F76" s="22">
        <v>2.9999999999999997E-4</v>
      </c>
      <c r="G76" s="10">
        <v>1200</v>
      </c>
      <c r="H76" s="12">
        <v>1E-3</v>
      </c>
      <c r="I76" s="18">
        <v>10950</v>
      </c>
      <c r="J76" s="20">
        <v>11</v>
      </c>
      <c r="K76" s="19">
        <f t="shared" si="23"/>
        <v>4.2580645161290325E-3</v>
      </c>
      <c r="L76" s="2">
        <f t="shared" si="21"/>
        <v>1.9354838709677419E-3</v>
      </c>
      <c r="M76" s="2">
        <f t="shared" si="24"/>
        <v>3.8709677419354839E-3</v>
      </c>
      <c r="N76" s="2">
        <f t="shared" si="25"/>
        <v>5.8064516129032262E-3</v>
      </c>
      <c r="O76" s="2">
        <f t="shared" si="26"/>
        <v>7.7419354838709677E-3</v>
      </c>
      <c r="P76" s="2">
        <f t="shared" si="27"/>
        <v>9.6774193548387101E-3</v>
      </c>
      <c r="Q76" s="2">
        <f t="shared" si="28"/>
        <v>1.1612903225806452E-2</v>
      </c>
      <c r="R76" s="2">
        <f t="shared" si="29"/>
        <v>4.258064516129032</v>
      </c>
      <c r="S76" s="2">
        <f t="shared" si="16"/>
        <v>1.935483870967742</v>
      </c>
      <c r="T76" s="2">
        <f t="shared" si="30"/>
        <v>3.870967741935484</v>
      </c>
      <c r="U76" s="2">
        <f t="shared" si="17"/>
        <v>5.806451612903226</v>
      </c>
      <c r="V76" s="2">
        <f t="shared" si="18"/>
        <v>7.741935483870968</v>
      </c>
      <c r="W76" s="2">
        <f t="shared" si="19"/>
        <v>9.67741935483871</v>
      </c>
      <c r="X76" s="2">
        <f t="shared" si="20"/>
        <v>11.612903225806452</v>
      </c>
      <c r="Y76" s="5" t="str">
        <f t="shared" si="22"/>
        <v>1</v>
      </c>
      <c r="Z76" s="5" t="str">
        <f t="shared" si="22"/>
        <v>1</v>
      </c>
      <c r="AA76" s="5" t="str">
        <f t="shared" si="22"/>
        <v>1</v>
      </c>
      <c r="AB76" s="5" t="str">
        <f t="shared" si="22"/>
        <v>1</v>
      </c>
      <c r="AC76" s="5" t="str">
        <f t="shared" si="22"/>
        <v>1</v>
      </c>
      <c r="AD76" s="5" t="str">
        <f t="shared" si="22"/>
        <v>1</v>
      </c>
      <c r="AE76" s="5" t="str">
        <f t="shared" si="22"/>
        <v>1</v>
      </c>
    </row>
    <row r="77" spans="1:31" ht="14.4" x14ac:dyDescent="0.3">
      <c r="A77" s="14">
        <v>74</v>
      </c>
      <c r="B77" s="15" t="s">
        <v>174</v>
      </c>
      <c r="C77" s="10">
        <v>11</v>
      </c>
      <c r="D77" s="10">
        <v>28</v>
      </c>
      <c r="E77" s="17">
        <v>365</v>
      </c>
      <c r="F77" s="22">
        <v>2.9999999999999997E-4</v>
      </c>
      <c r="G77" s="10">
        <v>1200</v>
      </c>
      <c r="H77" s="12">
        <v>1E-3</v>
      </c>
      <c r="I77" s="18">
        <v>10950</v>
      </c>
      <c r="J77" s="20">
        <v>11</v>
      </c>
      <c r="K77" s="19">
        <f t="shared" si="23"/>
        <v>4.7142857142857143E-3</v>
      </c>
      <c r="L77" s="2">
        <f t="shared" si="21"/>
        <v>2.142857142857143E-3</v>
      </c>
      <c r="M77" s="2">
        <f t="shared" si="24"/>
        <v>4.2857142857142859E-3</v>
      </c>
      <c r="N77" s="2">
        <f t="shared" si="25"/>
        <v>6.4285714285714285E-3</v>
      </c>
      <c r="O77" s="2">
        <f t="shared" si="26"/>
        <v>8.5714285714285719E-3</v>
      </c>
      <c r="P77" s="2">
        <f t="shared" si="27"/>
        <v>1.0714285714285714E-2</v>
      </c>
      <c r="Q77" s="2">
        <f t="shared" si="28"/>
        <v>1.2857142857142857E-2</v>
      </c>
      <c r="R77" s="2">
        <f t="shared" si="29"/>
        <v>4.7142857142857144</v>
      </c>
      <c r="S77" s="2">
        <f t="shared" si="16"/>
        <v>2.1428571428571428</v>
      </c>
      <c r="T77" s="2">
        <f t="shared" si="30"/>
        <v>4.2857142857142856</v>
      </c>
      <c r="U77" s="2">
        <f t="shared" si="17"/>
        <v>6.4285714285714279</v>
      </c>
      <c r="V77" s="2">
        <f t="shared" si="18"/>
        <v>8.5714285714285712</v>
      </c>
      <c r="W77" s="2">
        <f t="shared" si="19"/>
        <v>10.714285714285714</v>
      </c>
      <c r="X77" s="2">
        <f t="shared" si="20"/>
        <v>12.857142857142856</v>
      </c>
      <c r="Y77" s="5" t="str">
        <f t="shared" si="22"/>
        <v>1</v>
      </c>
      <c r="Z77" s="5" t="str">
        <f t="shared" si="22"/>
        <v>1</v>
      </c>
      <c r="AA77" s="5" t="str">
        <f t="shared" si="22"/>
        <v>1</v>
      </c>
      <c r="AB77" s="5" t="str">
        <f t="shared" si="22"/>
        <v>1</v>
      </c>
      <c r="AC77" s="5" t="str">
        <f t="shared" si="22"/>
        <v>1</v>
      </c>
      <c r="AD77" s="5" t="str">
        <f t="shared" si="22"/>
        <v>1</v>
      </c>
      <c r="AE77" s="5" t="str">
        <f t="shared" si="22"/>
        <v>1</v>
      </c>
    </row>
    <row r="78" spans="1:31" ht="14.4" x14ac:dyDescent="0.3">
      <c r="A78" s="14">
        <v>75</v>
      </c>
      <c r="B78" s="15" t="s">
        <v>175</v>
      </c>
      <c r="C78" s="10">
        <v>11</v>
      </c>
      <c r="D78" s="10">
        <v>35</v>
      </c>
      <c r="E78" s="17">
        <v>365</v>
      </c>
      <c r="F78" s="22">
        <v>2.9999999999999997E-4</v>
      </c>
      <c r="G78" s="10">
        <v>900</v>
      </c>
      <c r="H78" s="12">
        <v>1E-3</v>
      </c>
      <c r="I78" s="18">
        <v>10950</v>
      </c>
      <c r="J78" s="20">
        <v>6</v>
      </c>
      <c r="K78" s="19">
        <f t="shared" si="23"/>
        <v>1.5428571428571427E-3</v>
      </c>
      <c r="L78" s="2">
        <f t="shared" si="21"/>
        <v>1.2857142857142854E-3</v>
      </c>
      <c r="M78" s="2">
        <f t="shared" si="24"/>
        <v>2.5714285714285709E-3</v>
      </c>
      <c r="N78" s="2">
        <f t="shared" si="25"/>
        <v>3.8571428571428567E-3</v>
      </c>
      <c r="O78" s="2">
        <f t="shared" si="26"/>
        <v>5.1428571428571417E-3</v>
      </c>
      <c r="P78" s="2">
        <f t="shared" si="27"/>
        <v>6.4285714285714276E-3</v>
      </c>
      <c r="Q78" s="2">
        <f t="shared" si="28"/>
        <v>7.7142857142857135E-3</v>
      </c>
      <c r="R78" s="2">
        <f t="shared" si="29"/>
        <v>1.5428571428571427</v>
      </c>
      <c r="S78" s="2">
        <f t="shared" si="16"/>
        <v>1.2857142857142854</v>
      </c>
      <c r="T78" s="2">
        <f t="shared" si="30"/>
        <v>2.5714285714285707</v>
      </c>
      <c r="U78" s="2">
        <f t="shared" si="17"/>
        <v>3.8571428571428568</v>
      </c>
      <c r="V78" s="2">
        <f t="shared" si="18"/>
        <v>5.1428571428571415</v>
      </c>
      <c r="W78" s="2">
        <f t="shared" si="19"/>
        <v>6.428571428571427</v>
      </c>
      <c r="X78" s="2">
        <f t="shared" si="20"/>
        <v>7.7142857142857135</v>
      </c>
      <c r="Y78" s="5" t="str">
        <f t="shared" si="22"/>
        <v>1</v>
      </c>
      <c r="Z78" s="5" t="str">
        <f t="shared" si="22"/>
        <v>1</v>
      </c>
      <c r="AA78" s="5" t="str">
        <f t="shared" si="22"/>
        <v>1</v>
      </c>
      <c r="AB78" s="5" t="str">
        <f t="shared" si="22"/>
        <v>1</v>
      </c>
      <c r="AC78" s="5" t="str">
        <f t="shared" si="22"/>
        <v>1</v>
      </c>
      <c r="AD78" s="5" t="str">
        <f t="shared" si="22"/>
        <v>1</v>
      </c>
      <c r="AE78" s="5" t="str">
        <f t="shared" si="22"/>
        <v>1</v>
      </c>
    </row>
    <row r="79" spans="1:31" ht="14.4" x14ac:dyDescent="0.3">
      <c r="A79" s="14">
        <v>76</v>
      </c>
      <c r="B79" s="15" t="s">
        <v>176</v>
      </c>
      <c r="C79" s="10">
        <v>11</v>
      </c>
      <c r="D79" s="10">
        <v>31</v>
      </c>
      <c r="E79" s="17">
        <v>365</v>
      </c>
      <c r="F79" s="22">
        <v>2.9999999999999997E-4</v>
      </c>
      <c r="G79" s="10">
        <v>1200</v>
      </c>
      <c r="H79" s="12">
        <v>1E-3</v>
      </c>
      <c r="I79" s="18">
        <v>10950</v>
      </c>
      <c r="J79" s="20">
        <v>11</v>
      </c>
      <c r="K79" s="19">
        <f t="shared" si="23"/>
        <v>4.2580645161290325E-3</v>
      </c>
      <c r="L79" s="2">
        <f t="shared" si="21"/>
        <v>1.9354838709677419E-3</v>
      </c>
      <c r="M79" s="2">
        <f t="shared" si="24"/>
        <v>3.8709677419354839E-3</v>
      </c>
      <c r="N79" s="2">
        <f t="shared" si="25"/>
        <v>5.8064516129032262E-3</v>
      </c>
      <c r="O79" s="2">
        <f t="shared" si="26"/>
        <v>7.7419354838709677E-3</v>
      </c>
      <c r="P79" s="2">
        <f t="shared" si="27"/>
        <v>9.6774193548387101E-3</v>
      </c>
      <c r="Q79" s="2">
        <f t="shared" si="28"/>
        <v>1.1612903225806452E-2</v>
      </c>
      <c r="R79" s="2">
        <f t="shared" si="29"/>
        <v>4.258064516129032</v>
      </c>
      <c r="S79" s="2">
        <f t="shared" si="16"/>
        <v>1.935483870967742</v>
      </c>
      <c r="T79" s="2">
        <f t="shared" si="30"/>
        <v>3.870967741935484</v>
      </c>
      <c r="U79" s="2">
        <f t="shared" si="17"/>
        <v>5.806451612903226</v>
      </c>
      <c r="V79" s="2">
        <f t="shared" si="18"/>
        <v>7.741935483870968</v>
      </c>
      <c r="W79" s="2">
        <f t="shared" si="19"/>
        <v>9.67741935483871</v>
      </c>
      <c r="X79" s="2">
        <f t="shared" si="20"/>
        <v>11.612903225806452</v>
      </c>
      <c r="Y79" s="5" t="str">
        <f t="shared" si="22"/>
        <v>1</v>
      </c>
      <c r="Z79" s="5" t="str">
        <f t="shared" si="22"/>
        <v>1</v>
      </c>
      <c r="AA79" s="5" t="str">
        <f t="shared" si="22"/>
        <v>1</v>
      </c>
      <c r="AB79" s="5" t="str">
        <f t="shared" si="22"/>
        <v>1</v>
      </c>
      <c r="AC79" s="5" t="str">
        <f t="shared" si="22"/>
        <v>1</v>
      </c>
      <c r="AD79" s="5" t="str">
        <f t="shared" si="22"/>
        <v>1</v>
      </c>
      <c r="AE79" s="5" t="str">
        <f t="shared" si="22"/>
        <v>1</v>
      </c>
    </row>
    <row r="80" spans="1:31" ht="14.4" x14ac:dyDescent="0.3">
      <c r="A80" s="14">
        <v>77</v>
      </c>
      <c r="B80" s="15" t="s">
        <v>177</v>
      </c>
      <c r="C80" s="10">
        <v>11</v>
      </c>
      <c r="D80" s="10">
        <v>20</v>
      </c>
      <c r="E80" s="17">
        <v>365</v>
      </c>
      <c r="F80" s="22">
        <v>2.9999999999999997E-4</v>
      </c>
      <c r="G80" s="10">
        <v>900</v>
      </c>
      <c r="H80" s="12">
        <v>1E-3</v>
      </c>
      <c r="I80" s="18">
        <v>10950</v>
      </c>
      <c r="J80" s="20">
        <v>1</v>
      </c>
      <c r="K80" s="19">
        <f t="shared" si="23"/>
        <v>4.4999999999999993E-4</v>
      </c>
      <c r="L80" s="2">
        <f t="shared" si="21"/>
        <v>2.2499999999999994E-3</v>
      </c>
      <c r="M80" s="2">
        <f t="shared" si="24"/>
        <v>4.4999999999999988E-3</v>
      </c>
      <c r="N80" s="2">
        <f t="shared" si="25"/>
        <v>6.7499999999999991E-3</v>
      </c>
      <c r="O80" s="2">
        <f t="shared" si="26"/>
        <v>8.9999999999999976E-3</v>
      </c>
      <c r="P80" s="2">
        <f t="shared" si="27"/>
        <v>1.1249999999999998E-2</v>
      </c>
      <c r="Q80" s="2">
        <f t="shared" si="28"/>
        <v>1.3499999999999998E-2</v>
      </c>
      <c r="R80" s="2">
        <f t="shared" si="29"/>
        <v>0.4499999999999999</v>
      </c>
      <c r="S80" s="2">
        <f t="shared" si="16"/>
        <v>2.2499999999999996</v>
      </c>
      <c r="T80" s="2">
        <f t="shared" si="30"/>
        <v>4.4999999999999991</v>
      </c>
      <c r="U80" s="2">
        <f t="shared" si="17"/>
        <v>6.7499999999999991</v>
      </c>
      <c r="V80" s="2">
        <f t="shared" si="18"/>
        <v>8.9999999999999982</v>
      </c>
      <c r="W80" s="2">
        <f t="shared" si="19"/>
        <v>11.249999999999998</v>
      </c>
      <c r="X80" s="2">
        <f t="shared" si="20"/>
        <v>13.499999999999998</v>
      </c>
      <c r="Y80" s="5" t="str">
        <f t="shared" si="22"/>
        <v>2</v>
      </c>
      <c r="Z80" s="5" t="str">
        <f t="shared" si="22"/>
        <v>1</v>
      </c>
      <c r="AA80" s="5" t="str">
        <f t="shared" si="22"/>
        <v>1</v>
      </c>
      <c r="AB80" s="5" t="str">
        <f t="shared" si="22"/>
        <v>1</v>
      </c>
      <c r="AC80" s="5" t="str">
        <f t="shared" si="22"/>
        <v>1</v>
      </c>
      <c r="AD80" s="5" t="str">
        <f t="shared" si="22"/>
        <v>1</v>
      </c>
      <c r="AE80" s="5" t="str">
        <f t="shared" si="22"/>
        <v>1</v>
      </c>
    </row>
    <row r="81" spans="1:31" ht="14.4" x14ac:dyDescent="0.3">
      <c r="A81" s="14">
        <v>78</v>
      </c>
      <c r="B81" s="15" t="s">
        <v>178</v>
      </c>
      <c r="C81" s="10">
        <v>11</v>
      </c>
      <c r="D81" s="10">
        <v>33</v>
      </c>
      <c r="E81" s="17">
        <v>365</v>
      </c>
      <c r="F81" s="22">
        <v>2.9999999999999997E-4</v>
      </c>
      <c r="G81" s="10">
        <v>900</v>
      </c>
      <c r="H81" s="12">
        <v>1E-3</v>
      </c>
      <c r="I81" s="18">
        <v>10950</v>
      </c>
      <c r="J81" s="20">
        <v>11</v>
      </c>
      <c r="K81" s="19">
        <f t="shared" si="23"/>
        <v>2.9999999999999992E-3</v>
      </c>
      <c r="L81" s="2">
        <f t="shared" si="21"/>
        <v>1.3636363636363633E-3</v>
      </c>
      <c r="M81" s="2">
        <f t="shared" si="24"/>
        <v>2.7272727272727266E-3</v>
      </c>
      <c r="N81" s="2">
        <f t="shared" si="25"/>
        <v>4.0909090909090904E-3</v>
      </c>
      <c r="O81" s="2">
        <f t="shared" si="26"/>
        <v>5.4545454545454532E-3</v>
      </c>
      <c r="P81" s="2">
        <f t="shared" si="27"/>
        <v>6.818181818181817E-3</v>
      </c>
      <c r="Q81" s="2">
        <f t="shared" si="28"/>
        <v>8.1818181818181807E-3</v>
      </c>
      <c r="R81" s="2">
        <f t="shared" si="29"/>
        <v>2.9999999999999991</v>
      </c>
      <c r="S81" s="2">
        <f t="shared" si="16"/>
        <v>1.3636363636363633</v>
      </c>
      <c r="T81" s="2">
        <f t="shared" si="30"/>
        <v>2.7272727272727266</v>
      </c>
      <c r="U81" s="2">
        <f t="shared" si="17"/>
        <v>4.0909090909090899</v>
      </c>
      <c r="V81" s="2">
        <f t="shared" si="18"/>
        <v>5.4545454545454533</v>
      </c>
      <c r="W81" s="2">
        <f t="shared" si="19"/>
        <v>6.8181818181818166</v>
      </c>
      <c r="X81" s="2">
        <f t="shared" si="20"/>
        <v>8.1818181818181799</v>
      </c>
      <c r="Y81" s="5" t="str">
        <f t="shared" si="22"/>
        <v>1</v>
      </c>
      <c r="Z81" s="5" t="str">
        <f t="shared" si="22"/>
        <v>1</v>
      </c>
      <c r="AA81" s="5" t="str">
        <f t="shared" si="22"/>
        <v>1</v>
      </c>
      <c r="AB81" s="5" t="str">
        <f t="shared" si="22"/>
        <v>1</v>
      </c>
      <c r="AC81" s="5" t="str">
        <f t="shared" si="22"/>
        <v>1</v>
      </c>
      <c r="AD81" s="5" t="str">
        <f t="shared" si="22"/>
        <v>1</v>
      </c>
      <c r="AE81" s="5" t="str">
        <f t="shared" si="22"/>
        <v>1</v>
      </c>
    </row>
    <row r="82" spans="1:31" ht="14.4" x14ac:dyDescent="0.3">
      <c r="A82" s="14">
        <v>79</v>
      </c>
      <c r="B82" s="15" t="s">
        <v>179</v>
      </c>
      <c r="C82" s="10">
        <v>11</v>
      </c>
      <c r="D82" s="10">
        <v>32</v>
      </c>
      <c r="E82" s="17">
        <v>365</v>
      </c>
      <c r="F82" s="22">
        <v>2.9999999999999997E-4</v>
      </c>
      <c r="G82" s="10">
        <v>900</v>
      </c>
      <c r="H82" s="12">
        <v>1E-3</v>
      </c>
      <c r="I82" s="18">
        <v>10950</v>
      </c>
      <c r="J82" s="20">
        <v>11</v>
      </c>
      <c r="K82" s="19">
        <f t="shared" si="23"/>
        <v>3.0937499999999993E-3</v>
      </c>
      <c r="L82" s="2">
        <f t="shared" si="21"/>
        <v>1.4062499999999997E-3</v>
      </c>
      <c r="M82" s="2">
        <f t="shared" si="24"/>
        <v>2.8124999999999995E-3</v>
      </c>
      <c r="N82" s="2">
        <f t="shared" si="25"/>
        <v>4.2187499999999994E-3</v>
      </c>
      <c r="O82" s="2">
        <f t="shared" si="26"/>
        <v>5.6249999999999989E-3</v>
      </c>
      <c r="P82" s="2">
        <f t="shared" si="27"/>
        <v>7.0312499999999984E-3</v>
      </c>
      <c r="Q82" s="2">
        <f t="shared" si="28"/>
        <v>8.4374999999999988E-3</v>
      </c>
      <c r="R82" s="2">
        <f t="shared" si="29"/>
        <v>3.0937499999999991</v>
      </c>
      <c r="S82" s="2">
        <f t="shared" si="16"/>
        <v>1.4062499999999998</v>
      </c>
      <c r="T82" s="2">
        <f t="shared" si="30"/>
        <v>2.8124999999999996</v>
      </c>
      <c r="U82" s="2">
        <f t="shared" si="17"/>
        <v>4.2187499999999991</v>
      </c>
      <c r="V82" s="2">
        <f t="shared" si="18"/>
        <v>5.6249999999999991</v>
      </c>
      <c r="W82" s="2">
        <f t="shared" si="19"/>
        <v>7.0312499999999982</v>
      </c>
      <c r="X82" s="2">
        <f t="shared" si="20"/>
        <v>8.4374999999999982</v>
      </c>
      <c r="Y82" s="5" t="str">
        <f t="shared" si="22"/>
        <v>1</v>
      </c>
      <c r="Z82" s="5" t="str">
        <f t="shared" si="22"/>
        <v>1</v>
      </c>
      <c r="AA82" s="5" t="str">
        <f t="shared" si="22"/>
        <v>1</v>
      </c>
      <c r="AB82" s="5" t="str">
        <f t="shared" si="22"/>
        <v>1</v>
      </c>
      <c r="AC82" s="5" t="str">
        <f t="shared" si="22"/>
        <v>1</v>
      </c>
      <c r="AD82" s="5" t="str">
        <f t="shared" si="22"/>
        <v>1</v>
      </c>
      <c r="AE82" s="5" t="str">
        <f t="shared" si="22"/>
        <v>1</v>
      </c>
    </row>
    <row r="83" spans="1:31" ht="14.4" x14ac:dyDescent="0.3">
      <c r="A83" s="14">
        <v>80</v>
      </c>
      <c r="B83" s="15" t="s">
        <v>167</v>
      </c>
      <c r="C83" s="10">
        <v>11</v>
      </c>
      <c r="D83" s="10">
        <v>23</v>
      </c>
      <c r="E83" s="17">
        <v>365</v>
      </c>
      <c r="F83" s="22">
        <v>2.9999999999999997E-4</v>
      </c>
      <c r="G83" s="10">
        <v>900</v>
      </c>
      <c r="H83" s="12">
        <v>1E-3</v>
      </c>
      <c r="I83" s="18">
        <v>10950</v>
      </c>
      <c r="J83" s="20">
        <v>11</v>
      </c>
      <c r="K83" s="19">
        <f t="shared" si="23"/>
        <v>4.3043478260869558E-3</v>
      </c>
      <c r="L83" s="2">
        <f t="shared" si="21"/>
        <v>1.9565217391304345E-3</v>
      </c>
      <c r="M83" s="2">
        <f t="shared" si="24"/>
        <v>3.913043478260869E-3</v>
      </c>
      <c r="N83" s="2">
        <f t="shared" si="25"/>
        <v>5.8695652173913031E-3</v>
      </c>
      <c r="O83" s="2">
        <f t="shared" si="26"/>
        <v>7.826086956521738E-3</v>
      </c>
      <c r="P83" s="2">
        <f t="shared" si="27"/>
        <v>9.7826086956521729E-3</v>
      </c>
      <c r="Q83" s="2">
        <f t="shared" si="28"/>
        <v>1.1739130434782606E-2</v>
      </c>
      <c r="R83" s="2">
        <f t="shared" si="29"/>
        <v>4.3043478260869561</v>
      </c>
      <c r="S83" s="2">
        <f t="shared" si="16"/>
        <v>1.9565217391304344</v>
      </c>
      <c r="T83" s="2">
        <f t="shared" si="30"/>
        <v>3.9130434782608687</v>
      </c>
      <c r="U83" s="2">
        <f t="shared" si="17"/>
        <v>5.8695652173913029</v>
      </c>
      <c r="V83" s="2">
        <f t="shared" si="18"/>
        <v>7.8260869565217375</v>
      </c>
      <c r="W83" s="2">
        <f t="shared" si="19"/>
        <v>9.7826086956521721</v>
      </c>
      <c r="X83" s="2">
        <f t="shared" si="20"/>
        <v>11.739130434782606</v>
      </c>
      <c r="Y83" s="5" t="str">
        <f t="shared" si="22"/>
        <v>1</v>
      </c>
      <c r="Z83" s="5" t="str">
        <f t="shared" si="22"/>
        <v>1</v>
      </c>
      <c r="AA83" s="5" t="str">
        <f t="shared" si="22"/>
        <v>1</v>
      </c>
      <c r="AB83" s="5" t="str">
        <f t="shared" si="22"/>
        <v>1</v>
      </c>
      <c r="AC83" s="5" t="str">
        <f t="shared" si="22"/>
        <v>1</v>
      </c>
      <c r="AD83" s="5" t="str">
        <f t="shared" si="22"/>
        <v>1</v>
      </c>
      <c r="AE83" s="5" t="str">
        <f t="shared" si="22"/>
        <v>1</v>
      </c>
    </row>
    <row r="84" spans="1:31" ht="14.4" x14ac:dyDescent="0.3">
      <c r="A84" s="14">
        <v>81</v>
      </c>
      <c r="B84" s="15" t="s">
        <v>180</v>
      </c>
      <c r="C84" s="10">
        <v>11</v>
      </c>
      <c r="D84" s="10">
        <v>34</v>
      </c>
      <c r="E84" s="17">
        <v>365</v>
      </c>
      <c r="F84" s="22">
        <v>2.9999999999999997E-4</v>
      </c>
      <c r="G84" s="10">
        <v>1200</v>
      </c>
      <c r="H84" s="12">
        <v>1E-3</v>
      </c>
      <c r="I84" s="18">
        <v>10950</v>
      </c>
      <c r="J84" s="20">
        <v>11</v>
      </c>
      <c r="K84" s="19">
        <f t="shared" si="23"/>
        <v>3.8823529411764709E-3</v>
      </c>
      <c r="L84" s="2">
        <f t="shared" si="21"/>
        <v>1.7647058823529412E-3</v>
      </c>
      <c r="M84" s="2">
        <f t="shared" si="24"/>
        <v>3.5294117647058825E-3</v>
      </c>
      <c r="N84" s="2">
        <f t="shared" si="25"/>
        <v>5.2941176470588233E-3</v>
      </c>
      <c r="O84" s="2">
        <f t="shared" si="26"/>
        <v>7.058823529411765E-3</v>
      </c>
      <c r="P84" s="2">
        <f t="shared" si="27"/>
        <v>8.8235294117647058E-3</v>
      </c>
      <c r="Q84" s="2">
        <f t="shared" si="28"/>
        <v>1.0588235294117647E-2</v>
      </c>
      <c r="R84" s="2">
        <f t="shared" si="29"/>
        <v>3.882352941176471</v>
      </c>
      <c r="S84" s="2">
        <f t="shared" si="16"/>
        <v>1.7647058823529411</v>
      </c>
      <c r="T84" s="2">
        <f t="shared" si="30"/>
        <v>3.5294117647058822</v>
      </c>
      <c r="U84" s="2">
        <f t="shared" si="17"/>
        <v>5.2941176470588234</v>
      </c>
      <c r="V84" s="2">
        <f t="shared" si="18"/>
        <v>7.0588235294117645</v>
      </c>
      <c r="W84" s="2">
        <f t="shared" si="19"/>
        <v>8.8235294117647047</v>
      </c>
      <c r="X84" s="2">
        <f t="shared" si="20"/>
        <v>10.588235294117647</v>
      </c>
      <c r="Y84" s="5" t="str">
        <f t="shared" si="22"/>
        <v>1</v>
      </c>
      <c r="Z84" s="5" t="str">
        <f t="shared" si="22"/>
        <v>1</v>
      </c>
      <c r="AA84" s="5" t="str">
        <f t="shared" si="22"/>
        <v>1</v>
      </c>
      <c r="AB84" s="5" t="str">
        <f t="shared" si="22"/>
        <v>1</v>
      </c>
      <c r="AC84" s="5" t="str">
        <f t="shared" si="22"/>
        <v>1</v>
      </c>
      <c r="AD84" s="5" t="str">
        <f t="shared" si="22"/>
        <v>1</v>
      </c>
      <c r="AE84" s="5" t="str">
        <f t="shared" si="22"/>
        <v>1</v>
      </c>
    </row>
    <row r="85" spans="1:31" ht="14.4" x14ac:dyDescent="0.3">
      <c r="A85" s="14">
        <v>82</v>
      </c>
      <c r="B85" s="15" t="s">
        <v>181</v>
      </c>
      <c r="C85" s="10">
        <v>11</v>
      </c>
      <c r="D85" s="10">
        <v>32</v>
      </c>
      <c r="E85" s="17">
        <v>365</v>
      </c>
      <c r="F85" s="22">
        <v>2.9999999999999997E-4</v>
      </c>
      <c r="G85" s="10">
        <v>900</v>
      </c>
      <c r="H85" s="12">
        <v>1E-3</v>
      </c>
      <c r="I85" s="18">
        <v>10950</v>
      </c>
      <c r="J85" s="20">
        <v>11</v>
      </c>
      <c r="K85" s="19">
        <f t="shared" si="23"/>
        <v>3.0937499999999993E-3</v>
      </c>
      <c r="L85" s="2">
        <f t="shared" si="21"/>
        <v>1.4062499999999997E-3</v>
      </c>
      <c r="M85" s="2">
        <f t="shared" si="24"/>
        <v>2.8124999999999995E-3</v>
      </c>
      <c r="N85" s="2">
        <f t="shared" si="25"/>
        <v>4.2187499999999994E-3</v>
      </c>
      <c r="O85" s="2">
        <f t="shared" si="26"/>
        <v>5.6249999999999989E-3</v>
      </c>
      <c r="P85" s="2">
        <f t="shared" si="27"/>
        <v>7.0312499999999984E-3</v>
      </c>
      <c r="Q85" s="2">
        <f t="shared" si="28"/>
        <v>8.4374999999999988E-3</v>
      </c>
      <c r="R85" s="2">
        <f t="shared" si="29"/>
        <v>3.0937499999999991</v>
      </c>
      <c r="S85" s="2">
        <f t="shared" si="16"/>
        <v>1.4062499999999998</v>
      </c>
      <c r="T85" s="2">
        <f t="shared" si="30"/>
        <v>2.8124999999999996</v>
      </c>
      <c r="U85" s="2">
        <f t="shared" si="17"/>
        <v>4.2187499999999991</v>
      </c>
      <c r="V85" s="2">
        <f t="shared" si="18"/>
        <v>5.6249999999999991</v>
      </c>
      <c r="W85" s="2">
        <f t="shared" si="19"/>
        <v>7.0312499999999982</v>
      </c>
      <c r="X85" s="2">
        <f t="shared" si="20"/>
        <v>8.4374999999999982</v>
      </c>
      <c r="Y85" s="5" t="str">
        <f t="shared" si="22"/>
        <v>1</v>
      </c>
      <c r="Z85" s="5" t="str">
        <f t="shared" si="22"/>
        <v>1</v>
      </c>
      <c r="AA85" s="5" t="str">
        <f t="shared" si="22"/>
        <v>1</v>
      </c>
      <c r="AB85" s="5" t="str">
        <f t="shared" si="22"/>
        <v>1</v>
      </c>
      <c r="AC85" s="5" t="str">
        <f t="shared" si="22"/>
        <v>1</v>
      </c>
      <c r="AD85" s="5" t="str">
        <f t="shared" si="22"/>
        <v>1</v>
      </c>
      <c r="AE85" s="5" t="str">
        <f t="shared" si="22"/>
        <v>1</v>
      </c>
    </row>
    <row r="86" spans="1:31" ht="14.4" x14ac:dyDescent="0.3">
      <c r="A86" s="14">
        <v>83</v>
      </c>
      <c r="B86" s="15" t="s">
        <v>182</v>
      </c>
      <c r="C86" s="10">
        <v>11</v>
      </c>
      <c r="D86" s="10">
        <v>35</v>
      </c>
      <c r="E86" s="17">
        <v>365</v>
      </c>
      <c r="F86" s="22">
        <v>2.9999999999999997E-4</v>
      </c>
      <c r="G86" s="10">
        <v>900</v>
      </c>
      <c r="H86" s="12">
        <v>1E-3</v>
      </c>
      <c r="I86" s="18">
        <v>10950</v>
      </c>
      <c r="J86" s="20">
        <v>6</v>
      </c>
      <c r="K86" s="19">
        <f t="shared" si="23"/>
        <v>1.5428571428571427E-3</v>
      </c>
      <c r="L86" s="2">
        <f t="shared" si="21"/>
        <v>1.2857142857142854E-3</v>
      </c>
      <c r="M86" s="2">
        <f t="shared" si="24"/>
        <v>2.5714285714285709E-3</v>
      </c>
      <c r="N86" s="2">
        <f t="shared" si="25"/>
        <v>3.8571428571428567E-3</v>
      </c>
      <c r="O86" s="2">
        <f t="shared" si="26"/>
        <v>5.1428571428571417E-3</v>
      </c>
      <c r="P86" s="2">
        <f t="shared" si="27"/>
        <v>6.4285714285714276E-3</v>
      </c>
      <c r="Q86" s="2">
        <f t="shared" si="28"/>
        <v>7.7142857142857135E-3</v>
      </c>
      <c r="R86" s="2">
        <f t="shared" si="29"/>
        <v>1.5428571428571427</v>
      </c>
      <c r="S86" s="2">
        <f t="shared" si="16"/>
        <v>1.2857142857142854</v>
      </c>
      <c r="T86" s="2">
        <f t="shared" si="30"/>
        <v>2.5714285714285707</v>
      </c>
      <c r="U86" s="2">
        <f t="shared" si="17"/>
        <v>3.8571428571428568</v>
      </c>
      <c r="V86" s="2">
        <f t="shared" si="18"/>
        <v>5.1428571428571415</v>
      </c>
      <c r="W86" s="2">
        <f t="shared" si="19"/>
        <v>6.428571428571427</v>
      </c>
      <c r="X86" s="2">
        <f t="shared" si="20"/>
        <v>7.7142857142857135</v>
      </c>
      <c r="Y86" s="5" t="str">
        <f t="shared" si="22"/>
        <v>1</v>
      </c>
      <c r="Z86" s="5" t="str">
        <f t="shared" si="22"/>
        <v>1</v>
      </c>
      <c r="AA86" s="5" t="str">
        <f t="shared" si="22"/>
        <v>1</v>
      </c>
      <c r="AB86" s="5" t="str">
        <f t="shared" si="22"/>
        <v>1</v>
      </c>
      <c r="AC86" s="5" t="str">
        <f t="shared" si="22"/>
        <v>1</v>
      </c>
      <c r="AD86" s="5" t="str">
        <f t="shared" si="22"/>
        <v>1</v>
      </c>
      <c r="AE86" s="5" t="str">
        <f t="shared" si="22"/>
        <v>1</v>
      </c>
    </row>
    <row r="87" spans="1:31" ht="14.4" x14ac:dyDescent="0.3">
      <c r="A87" s="14">
        <v>84</v>
      </c>
      <c r="B87" s="15" t="s">
        <v>183</v>
      </c>
      <c r="C87" s="10">
        <v>12</v>
      </c>
      <c r="D87" s="10">
        <v>28</v>
      </c>
      <c r="E87" s="17">
        <v>365</v>
      </c>
      <c r="F87" s="22">
        <v>2.9999999999999997E-4</v>
      </c>
      <c r="G87" s="10">
        <v>900</v>
      </c>
      <c r="H87" s="12">
        <v>1E-3</v>
      </c>
      <c r="I87" s="18">
        <v>10950</v>
      </c>
      <c r="J87" s="20">
        <v>12</v>
      </c>
      <c r="K87" s="19">
        <f t="shared" si="23"/>
        <v>3.8571428571428567E-3</v>
      </c>
      <c r="L87" s="2">
        <f t="shared" si="21"/>
        <v>1.6071428571428567E-3</v>
      </c>
      <c r="M87" s="2">
        <f t="shared" si="24"/>
        <v>3.2142857142857134E-3</v>
      </c>
      <c r="N87" s="2">
        <f t="shared" si="25"/>
        <v>4.8214285714285703E-3</v>
      </c>
      <c r="O87" s="2">
        <f t="shared" si="26"/>
        <v>6.4285714285714267E-3</v>
      </c>
      <c r="P87" s="2">
        <f t="shared" si="27"/>
        <v>8.0357142857142849E-3</v>
      </c>
      <c r="Q87" s="2">
        <f t="shared" si="28"/>
        <v>9.6428571428571405E-3</v>
      </c>
      <c r="R87" s="2">
        <f t="shared" si="29"/>
        <v>3.8571428571428568</v>
      </c>
      <c r="S87" s="2">
        <f t="shared" si="16"/>
        <v>1.6071428571428565</v>
      </c>
      <c r="T87" s="2">
        <f t="shared" si="30"/>
        <v>3.2142857142857131</v>
      </c>
      <c r="U87" s="2">
        <f t="shared" si="17"/>
        <v>4.8214285714285703</v>
      </c>
      <c r="V87" s="2">
        <f t="shared" si="18"/>
        <v>6.4285714285714262</v>
      </c>
      <c r="W87" s="2">
        <f t="shared" si="19"/>
        <v>8.0357142857142847</v>
      </c>
      <c r="X87" s="2">
        <f t="shared" si="20"/>
        <v>9.6428571428571406</v>
      </c>
      <c r="Y87" s="5" t="str">
        <f t="shared" si="22"/>
        <v>1</v>
      </c>
      <c r="Z87" s="5" t="str">
        <f t="shared" si="22"/>
        <v>1</v>
      </c>
      <c r="AA87" s="5" t="str">
        <f t="shared" si="22"/>
        <v>1</v>
      </c>
      <c r="AB87" s="5" t="str">
        <f t="shared" si="22"/>
        <v>1</v>
      </c>
      <c r="AC87" s="5" t="str">
        <f t="shared" si="22"/>
        <v>1</v>
      </c>
      <c r="AD87" s="5" t="str">
        <f t="shared" si="22"/>
        <v>1</v>
      </c>
      <c r="AE87" s="5" t="str">
        <f t="shared" si="22"/>
        <v>1</v>
      </c>
    </row>
    <row r="88" spans="1:31" ht="14.4" x14ac:dyDescent="0.3">
      <c r="A88" s="14">
        <v>85</v>
      </c>
      <c r="B88" s="15" t="s">
        <v>184</v>
      </c>
      <c r="C88" s="10">
        <v>12</v>
      </c>
      <c r="D88" s="10">
        <v>28</v>
      </c>
      <c r="E88" s="17">
        <v>365</v>
      </c>
      <c r="F88" s="22">
        <v>2.9999999999999997E-4</v>
      </c>
      <c r="G88" s="10">
        <v>900</v>
      </c>
      <c r="H88" s="12">
        <v>1E-3</v>
      </c>
      <c r="I88" s="18">
        <v>10950</v>
      </c>
      <c r="J88" s="20">
        <v>12</v>
      </c>
      <c r="K88" s="19">
        <f t="shared" si="23"/>
        <v>3.8571428571428567E-3</v>
      </c>
      <c r="L88" s="2">
        <f t="shared" si="21"/>
        <v>1.6071428571428567E-3</v>
      </c>
      <c r="M88" s="2">
        <f t="shared" si="24"/>
        <v>3.2142857142857134E-3</v>
      </c>
      <c r="N88" s="2">
        <f t="shared" si="25"/>
        <v>4.8214285714285703E-3</v>
      </c>
      <c r="O88" s="2">
        <f t="shared" si="26"/>
        <v>6.4285714285714267E-3</v>
      </c>
      <c r="P88" s="2">
        <f t="shared" si="27"/>
        <v>8.0357142857142849E-3</v>
      </c>
      <c r="Q88" s="2">
        <f t="shared" si="28"/>
        <v>9.6428571428571405E-3</v>
      </c>
      <c r="R88" s="2">
        <f t="shared" si="29"/>
        <v>3.8571428571428568</v>
      </c>
      <c r="S88" s="2">
        <f t="shared" si="16"/>
        <v>1.6071428571428565</v>
      </c>
      <c r="T88" s="2">
        <f t="shared" si="30"/>
        <v>3.2142857142857131</v>
      </c>
      <c r="U88" s="2">
        <f t="shared" si="17"/>
        <v>4.8214285714285703</v>
      </c>
      <c r="V88" s="2">
        <f t="shared" si="18"/>
        <v>6.4285714285714262</v>
      </c>
      <c r="W88" s="2">
        <f t="shared" si="19"/>
        <v>8.0357142857142847</v>
      </c>
      <c r="X88" s="2">
        <f t="shared" si="20"/>
        <v>9.6428571428571406</v>
      </c>
      <c r="Y88" s="5" t="str">
        <f t="shared" si="22"/>
        <v>1</v>
      </c>
      <c r="Z88" s="5" t="str">
        <f t="shared" si="22"/>
        <v>1</v>
      </c>
      <c r="AA88" s="5" t="str">
        <f t="shared" si="22"/>
        <v>1</v>
      </c>
      <c r="AB88" s="5" t="str">
        <f t="shared" si="22"/>
        <v>1</v>
      </c>
      <c r="AC88" s="5" t="str">
        <f t="shared" si="22"/>
        <v>1</v>
      </c>
      <c r="AD88" s="5" t="str">
        <f t="shared" si="22"/>
        <v>1</v>
      </c>
      <c r="AE88" s="5" t="str">
        <f t="shared" si="22"/>
        <v>1</v>
      </c>
    </row>
    <row r="89" spans="1:31" ht="14.4" x14ac:dyDescent="0.3">
      <c r="A89" s="14">
        <v>86</v>
      </c>
      <c r="B89" s="15" t="s">
        <v>185</v>
      </c>
      <c r="C89" s="10">
        <v>12</v>
      </c>
      <c r="D89" s="10">
        <v>40</v>
      </c>
      <c r="E89" s="17">
        <v>365</v>
      </c>
      <c r="F89" s="22">
        <v>2.9999999999999997E-4</v>
      </c>
      <c r="G89" s="10">
        <v>1800</v>
      </c>
      <c r="H89" s="12">
        <v>1E-3</v>
      </c>
      <c r="I89" s="18">
        <v>10950</v>
      </c>
      <c r="J89" s="20">
        <v>5</v>
      </c>
      <c r="K89" s="19">
        <f t="shared" si="23"/>
        <v>2.2499999999999994E-3</v>
      </c>
      <c r="L89" s="2">
        <f t="shared" si="21"/>
        <v>2.2499999999999994E-3</v>
      </c>
      <c r="M89" s="2">
        <f t="shared" si="24"/>
        <v>4.4999999999999988E-3</v>
      </c>
      <c r="N89" s="2">
        <f t="shared" si="25"/>
        <v>6.7499999999999991E-3</v>
      </c>
      <c r="O89" s="2">
        <f t="shared" si="26"/>
        <v>8.9999999999999976E-3</v>
      </c>
      <c r="P89" s="2">
        <f t="shared" si="27"/>
        <v>1.1249999999999998E-2</v>
      </c>
      <c r="Q89" s="2">
        <f t="shared" si="28"/>
        <v>1.3499999999999998E-2</v>
      </c>
      <c r="R89" s="2">
        <f t="shared" si="29"/>
        <v>2.2499999999999996</v>
      </c>
      <c r="S89" s="2">
        <f t="shared" si="16"/>
        <v>2.2499999999999996</v>
      </c>
      <c r="T89" s="2">
        <f t="shared" si="30"/>
        <v>4.4999999999999991</v>
      </c>
      <c r="U89" s="2">
        <f t="shared" si="17"/>
        <v>6.7499999999999991</v>
      </c>
      <c r="V89" s="2">
        <f t="shared" si="18"/>
        <v>8.9999999999999982</v>
      </c>
      <c r="W89" s="2">
        <f t="shared" si="19"/>
        <v>11.249999999999998</v>
      </c>
      <c r="X89" s="2">
        <f t="shared" si="20"/>
        <v>13.499999999999998</v>
      </c>
      <c r="Y89" s="5" t="str">
        <f t="shared" si="22"/>
        <v>1</v>
      </c>
      <c r="Z89" s="5" t="str">
        <f t="shared" si="22"/>
        <v>1</v>
      </c>
      <c r="AA89" s="5" t="str">
        <f t="shared" si="22"/>
        <v>1</v>
      </c>
      <c r="AB89" s="5" t="str">
        <f t="shared" si="22"/>
        <v>1</v>
      </c>
      <c r="AC89" s="5" t="str">
        <f t="shared" si="22"/>
        <v>1</v>
      </c>
      <c r="AD89" s="5" t="str">
        <f t="shared" si="22"/>
        <v>1</v>
      </c>
      <c r="AE89" s="5" t="str">
        <f t="shared" si="22"/>
        <v>1</v>
      </c>
    </row>
    <row r="90" spans="1:31" ht="14.4" x14ac:dyDescent="0.3">
      <c r="A90" s="14">
        <v>87</v>
      </c>
      <c r="B90" s="15" t="s">
        <v>186</v>
      </c>
      <c r="C90" s="10">
        <v>12</v>
      </c>
      <c r="D90" s="10">
        <v>23</v>
      </c>
      <c r="E90" s="17">
        <v>365</v>
      </c>
      <c r="F90" s="22">
        <v>2.9999999999999997E-4</v>
      </c>
      <c r="G90" s="10">
        <v>900</v>
      </c>
      <c r="H90" s="12">
        <v>1E-3</v>
      </c>
      <c r="I90" s="18">
        <v>10950</v>
      </c>
      <c r="J90" s="20">
        <v>12</v>
      </c>
      <c r="K90" s="19">
        <f t="shared" si="23"/>
        <v>4.6956521739130435E-3</v>
      </c>
      <c r="L90" s="2">
        <f t="shared" si="21"/>
        <v>1.9565217391304345E-3</v>
      </c>
      <c r="M90" s="2">
        <f t="shared" si="24"/>
        <v>3.913043478260869E-3</v>
      </c>
      <c r="N90" s="2">
        <f t="shared" si="25"/>
        <v>5.8695652173913031E-3</v>
      </c>
      <c r="O90" s="2">
        <f t="shared" si="26"/>
        <v>7.826086956521738E-3</v>
      </c>
      <c r="P90" s="2">
        <f t="shared" si="27"/>
        <v>9.7826086956521729E-3</v>
      </c>
      <c r="Q90" s="2">
        <f t="shared" si="28"/>
        <v>1.1739130434782606E-2</v>
      </c>
      <c r="R90" s="2">
        <f t="shared" si="29"/>
        <v>4.695652173913043</v>
      </c>
      <c r="S90" s="2">
        <f t="shared" si="16"/>
        <v>1.9565217391304344</v>
      </c>
      <c r="T90" s="2">
        <f t="shared" si="30"/>
        <v>3.9130434782608687</v>
      </c>
      <c r="U90" s="2">
        <f t="shared" si="17"/>
        <v>5.8695652173913029</v>
      </c>
      <c r="V90" s="2">
        <f t="shared" si="18"/>
        <v>7.8260869565217375</v>
      </c>
      <c r="W90" s="2">
        <f t="shared" si="19"/>
        <v>9.7826086956521721</v>
      </c>
      <c r="X90" s="2">
        <f t="shared" si="20"/>
        <v>11.739130434782606</v>
      </c>
      <c r="Y90" s="5" t="str">
        <f t="shared" si="22"/>
        <v>1</v>
      </c>
      <c r="Z90" s="5" t="str">
        <f t="shared" si="22"/>
        <v>1</v>
      </c>
      <c r="AA90" s="5" t="str">
        <f t="shared" si="22"/>
        <v>1</v>
      </c>
      <c r="AB90" s="5" t="str">
        <f t="shared" ref="AB90:AB103" si="31">IF(U90&gt;1,"1","2")</f>
        <v>1</v>
      </c>
      <c r="AC90" s="5" t="str">
        <f t="shared" ref="AC90:AC103" si="32">IF(V90&gt;1,"1","2")</f>
        <v>1</v>
      </c>
      <c r="AD90" s="5" t="str">
        <f t="shared" ref="AD90:AD103" si="33">IF(W90&gt;1,"1","2")</f>
        <v>1</v>
      </c>
      <c r="AE90" s="5" t="str">
        <f t="shared" ref="AE90:AE103" si="34">IF(X90&gt;1,"1","2")</f>
        <v>1</v>
      </c>
    </row>
    <row r="91" spans="1:31" ht="14.4" x14ac:dyDescent="0.3">
      <c r="A91" s="14">
        <v>88</v>
      </c>
      <c r="B91" s="15" t="s">
        <v>186</v>
      </c>
      <c r="C91" s="10">
        <v>12</v>
      </c>
      <c r="D91" s="10">
        <v>23</v>
      </c>
      <c r="E91" s="17">
        <v>365</v>
      </c>
      <c r="F91" s="22">
        <v>2.9999999999999997E-4</v>
      </c>
      <c r="G91" s="10">
        <v>900</v>
      </c>
      <c r="H91" s="12">
        <v>1E-3</v>
      </c>
      <c r="I91" s="18">
        <v>10950</v>
      </c>
      <c r="J91" s="20">
        <v>12</v>
      </c>
      <c r="K91" s="19">
        <f t="shared" si="23"/>
        <v>4.6956521739130435E-3</v>
      </c>
      <c r="L91" s="2">
        <f t="shared" si="21"/>
        <v>1.9565217391304345E-3</v>
      </c>
      <c r="M91" s="2">
        <f t="shared" si="24"/>
        <v>3.913043478260869E-3</v>
      </c>
      <c r="N91" s="2">
        <f t="shared" si="25"/>
        <v>5.8695652173913031E-3</v>
      </c>
      <c r="O91" s="2">
        <f t="shared" si="26"/>
        <v>7.826086956521738E-3</v>
      </c>
      <c r="P91" s="2">
        <f t="shared" si="27"/>
        <v>9.7826086956521729E-3</v>
      </c>
      <c r="Q91" s="2">
        <f t="shared" si="28"/>
        <v>1.1739130434782606E-2</v>
      </c>
      <c r="R91" s="2">
        <f t="shared" si="29"/>
        <v>4.695652173913043</v>
      </c>
      <c r="S91" s="2">
        <f t="shared" si="16"/>
        <v>1.9565217391304344</v>
      </c>
      <c r="T91" s="2">
        <f t="shared" si="30"/>
        <v>3.9130434782608687</v>
      </c>
      <c r="U91" s="2">
        <f t="shared" si="17"/>
        <v>5.8695652173913029</v>
      </c>
      <c r="V91" s="2">
        <f t="shared" si="18"/>
        <v>7.8260869565217375</v>
      </c>
      <c r="W91" s="2">
        <f t="shared" si="19"/>
        <v>9.7826086956521721</v>
      </c>
      <c r="X91" s="2">
        <f t="shared" si="20"/>
        <v>11.739130434782606</v>
      </c>
      <c r="Y91" s="5" t="str">
        <f t="shared" ref="Y91:Y103" si="35">IF(R91&gt;1,"1","2")</f>
        <v>1</v>
      </c>
      <c r="Z91" s="5" t="str">
        <f t="shared" ref="Z91:Z103" si="36">IF(S91&gt;1,"1","2")</f>
        <v>1</v>
      </c>
      <c r="AA91" s="5" t="str">
        <f t="shared" ref="AA91:AA103" si="37">IF(T91&gt;1,"1","2")</f>
        <v>1</v>
      </c>
      <c r="AB91" s="5" t="str">
        <f t="shared" si="31"/>
        <v>1</v>
      </c>
      <c r="AC91" s="5" t="str">
        <f t="shared" si="32"/>
        <v>1</v>
      </c>
      <c r="AD91" s="5" t="str">
        <f t="shared" si="33"/>
        <v>1</v>
      </c>
      <c r="AE91" s="5" t="str">
        <f t="shared" si="34"/>
        <v>1</v>
      </c>
    </row>
    <row r="92" spans="1:31" ht="14.4" x14ac:dyDescent="0.3">
      <c r="A92" s="14">
        <v>89</v>
      </c>
      <c r="B92" s="15" t="s">
        <v>187</v>
      </c>
      <c r="C92" s="10">
        <v>12</v>
      </c>
      <c r="D92" s="10">
        <v>25</v>
      </c>
      <c r="E92" s="17">
        <v>365</v>
      </c>
      <c r="F92" s="22">
        <v>2.9999999999999997E-4</v>
      </c>
      <c r="G92" s="10">
        <v>1200</v>
      </c>
      <c r="H92" s="12">
        <v>1E-3</v>
      </c>
      <c r="I92" s="18">
        <v>10950</v>
      </c>
      <c r="J92" s="20">
        <v>12</v>
      </c>
      <c r="K92" s="19">
        <f t="shared" si="23"/>
        <v>5.7600000000000004E-3</v>
      </c>
      <c r="L92" s="2">
        <f t="shared" si="21"/>
        <v>2.3999999999999998E-3</v>
      </c>
      <c r="M92" s="2">
        <f t="shared" si="24"/>
        <v>4.7999999999999996E-3</v>
      </c>
      <c r="N92" s="2">
        <f t="shared" si="25"/>
        <v>7.1999999999999998E-3</v>
      </c>
      <c r="O92" s="2">
        <f t="shared" si="26"/>
        <v>9.5999999999999992E-3</v>
      </c>
      <c r="P92" s="2">
        <f t="shared" si="27"/>
        <v>1.2E-2</v>
      </c>
      <c r="Q92" s="2">
        <f t="shared" si="28"/>
        <v>1.44E-2</v>
      </c>
      <c r="R92" s="2">
        <f t="shared" si="29"/>
        <v>5.7600000000000007</v>
      </c>
      <c r="S92" s="2">
        <f t="shared" si="16"/>
        <v>2.4</v>
      </c>
      <c r="T92" s="2">
        <f t="shared" si="30"/>
        <v>4.8</v>
      </c>
      <c r="U92" s="2">
        <f t="shared" si="17"/>
        <v>7.1999999999999993</v>
      </c>
      <c r="V92" s="2">
        <f t="shared" si="18"/>
        <v>9.6</v>
      </c>
      <c r="W92" s="2">
        <f t="shared" si="19"/>
        <v>12</v>
      </c>
      <c r="X92" s="2">
        <f t="shared" si="20"/>
        <v>14.399999999999999</v>
      </c>
      <c r="Y92" s="5" t="str">
        <f t="shared" si="35"/>
        <v>1</v>
      </c>
      <c r="Z92" s="5" t="str">
        <f t="shared" si="36"/>
        <v>1</v>
      </c>
      <c r="AA92" s="5" t="str">
        <f t="shared" si="37"/>
        <v>1</v>
      </c>
      <c r="AB92" s="5" t="str">
        <f t="shared" si="31"/>
        <v>1</v>
      </c>
      <c r="AC92" s="5" t="str">
        <f t="shared" si="32"/>
        <v>1</v>
      </c>
      <c r="AD92" s="5" t="str">
        <f t="shared" si="33"/>
        <v>1</v>
      </c>
      <c r="AE92" s="5" t="str">
        <f t="shared" si="34"/>
        <v>1</v>
      </c>
    </row>
    <row r="93" spans="1:31" ht="14.4" x14ac:dyDescent="0.3">
      <c r="A93" s="14">
        <v>90</v>
      </c>
      <c r="B93" s="15" t="s">
        <v>188</v>
      </c>
      <c r="C93" s="10">
        <v>12</v>
      </c>
      <c r="D93" s="10">
        <v>28</v>
      </c>
      <c r="E93" s="17">
        <v>365</v>
      </c>
      <c r="F93" s="22">
        <v>2.9999999999999997E-4</v>
      </c>
      <c r="G93" s="10">
        <v>1800</v>
      </c>
      <c r="H93" s="12">
        <v>1E-3</v>
      </c>
      <c r="I93" s="18">
        <v>10950</v>
      </c>
      <c r="J93" s="20">
        <v>12</v>
      </c>
      <c r="K93" s="19">
        <f t="shared" si="23"/>
        <v>7.7142857142857135E-3</v>
      </c>
      <c r="L93" s="2">
        <f t="shared" si="21"/>
        <v>3.2142857142857134E-3</v>
      </c>
      <c r="M93" s="2">
        <f t="shared" si="24"/>
        <v>6.4285714285714267E-3</v>
      </c>
      <c r="N93" s="2">
        <f t="shared" si="25"/>
        <v>9.6428571428571405E-3</v>
      </c>
      <c r="O93" s="2">
        <f t="shared" si="26"/>
        <v>1.2857142857142853E-2</v>
      </c>
      <c r="P93" s="2">
        <f t="shared" si="27"/>
        <v>1.607142857142857E-2</v>
      </c>
      <c r="Q93" s="2">
        <f t="shared" si="28"/>
        <v>1.9285714285714281E-2</v>
      </c>
      <c r="R93" s="2">
        <f t="shared" si="29"/>
        <v>7.7142857142857135</v>
      </c>
      <c r="S93" s="2">
        <f t="shared" si="16"/>
        <v>3.2142857142857131</v>
      </c>
      <c r="T93" s="2">
        <f t="shared" si="30"/>
        <v>6.4285714285714262</v>
      </c>
      <c r="U93" s="2">
        <f t="shared" si="17"/>
        <v>9.6428571428571406</v>
      </c>
      <c r="V93" s="2">
        <f t="shared" si="18"/>
        <v>12.857142857142852</v>
      </c>
      <c r="W93" s="2">
        <f t="shared" si="19"/>
        <v>16.071428571428569</v>
      </c>
      <c r="X93" s="2">
        <f t="shared" si="20"/>
        <v>19.285714285714281</v>
      </c>
      <c r="Y93" s="5" t="str">
        <f t="shared" si="35"/>
        <v>1</v>
      </c>
      <c r="Z93" s="5" t="str">
        <f t="shared" si="36"/>
        <v>1</v>
      </c>
      <c r="AA93" s="5" t="str">
        <f t="shared" si="37"/>
        <v>1</v>
      </c>
      <c r="AB93" s="5" t="str">
        <f t="shared" si="31"/>
        <v>1</v>
      </c>
      <c r="AC93" s="5" t="str">
        <f t="shared" si="32"/>
        <v>1</v>
      </c>
      <c r="AD93" s="5" t="str">
        <f t="shared" si="33"/>
        <v>1</v>
      </c>
      <c r="AE93" s="5" t="str">
        <f t="shared" si="34"/>
        <v>1</v>
      </c>
    </row>
    <row r="94" spans="1:31" ht="14.4" x14ac:dyDescent="0.3">
      <c r="A94" s="14">
        <v>91</v>
      </c>
      <c r="B94" s="15" t="s">
        <v>147</v>
      </c>
      <c r="C94" s="10">
        <v>12</v>
      </c>
      <c r="D94" s="10">
        <v>28</v>
      </c>
      <c r="E94" s="17">
        <v>365</v>
      </c>
      <c r="F94" s="22">
        <v>2.9999999999999997E-4</v>
      </c>
      <c r="G94" s="10">
        <v>900</v>
      </c>
      <c r="H94" s="12">
        <v>1E-3</v>
      </c>
      <c r="I94" s="18">
        <v>10950</v>
      </c>
      <c r="J94" s="20">
        <v>12</v>
      </c>
      <c r="K94" s="19">
        <f t="shared" si="23"/>
        <v>3.8571428571428567E-3</v>
      </c>
      <c r="L94" s="2">
        <f t="shared" si="21"/>
        <v>1.6071428571428567E-3</v>
      </c>
      <c r="M94" s="2">
        <f t="shared" si="24"/>
        <v>3.2142857142857134E-3</v>
      </c>
      <c r="N94" s="2">
        <f t="shared" si="25"/>
        <v>4.8214285714285703E-3</v>
      </c>
      <c r="O94" s="2">
        <f t="shared" si="26"/>
        <v>6.4285714285714267E-3</v>
      </c>
      <c r="P94" s="2">
        <f t="shared" si="27"/>
        <v>8.0357142857142849E-3</v>
      </c>
      <c r="Q94" s="2">
        <f t="shared" si="28"/>
        <v>9.6428571428571405E-3</v>
      </c>
      <c r="R94" s="2">
        <f t="shared" si="29"/>
        <v>3.8571428571428568</v>
      </c>
      <c r="S94" s="2">
        <f t="shared" si="16"/>
        <v>1.6071428571428565</v>
      </c>
      <c r="T94" s="2">
        <f t="shared" si="30"/>
        <v>3.2142857142857131</v>
      </c>
      <c r="U94" s="2">
        <f t="shared" si="17"/>
        <v>4.8214285714285703</v>
      </c>
      <c r="V94" s="2">
        <f t="shared" si="18"/>
        <v>6.4285714285714262</v>
      </c>
      <c r="W94" s="2">
        <f t="shared" si="19"/>
        <v>8.0357142857142847</v>
      </c>
      <c r="X94" s="2">
        <f t="shared" si="20"/>
        <v>9.6428571428571406</v>
      </c>
      <c r="Y94" s="5" t="str">
        <f t="shared" si="35"/>
        <v>1</v>
      </c>
      <c r="Z94" s="5" t="str">
        <f t="shared" si="36"/>
        <v>1</v>
      </c>
      <c r="AA94" s="5" t="str">
        <f t="shared" si="37"/>
        <v>1</v>
      </c>
      <c r="AB94" s="5" t="str">
        <f t="shared" si="31"/>
        <v>1</v>
      </c>
      <c r="AC94" s="5" t="str">
        <f t="shared" si="32"/>
        <v>1</v>
      </c>
      <c r="AD94" s="5" t="str">
        <f t="shared" si="33"/>
        <v>1</v>
      </c>
      <c r="AE94" s="5" t="str">
        <f t="shared" si="34"/>
        <v>1</v>
      </c>
    </row>
    <row r="95" spans="1:31" ht="14.4" x14ac:dyDescent="0.3">
      <c r="A95" s="14">
        <v>92</v>
      </c>
      <c r="B95" s="15" t="s">
        <v>189</v>
      </c>
      <c r="C95" s="10">
        <v>12</v>
      </c>
      <c r="D95" s="10">
        <v>40</v>
      </c>
      <c r="E95" s="17">
        <v>365</v>
      </c>
      <c r="F95" s="22">
        <v>2.9999999999999997E-4</v>
      </c>
      <c r="G95" s="10">
        <v>1800</v>
      </c>
      <c r="H95" s="12">
        <v>1E-3</v>
      </c>
      <c r="I95" s="18">
        <v>10950</v>
      </c>
      <c r="J95" s="20">
        <v>5</v>
      </c>
      <c r="K95" s="19">
        <f t="shared" si="23"/>
        <v>2.2499999999999994E-3</v>
      </c>
      <c r="L95" s="2">
        <f t="shared" si="21"/>
        <v>2.2499999999999994E-3</v>
      </c>
      <c r="M95" s="2">
        <f t="shared" si="24"/>
        <v>4.4999999999999988E-3</v>
      </c>
      <c r="N95" s="2">
        <f t="shared" si="25"/>
        <v>6.7499999999999991E-3</v>
      </c>
      <c r="O95" s="2">
        <f t="shared" si="26"/>
        <v>8.9999999999999976E-3</v>
      </c>
      <c r="P95" s="2">
        <f t="shared" si="27"/>
        <v>1.1249999999999998E-2</v>
      </c>
      <c r="Q95" s="2">
        <f t="shared" si="28"/>
        <v>1.3499999999999998E-2</v>
      </c>
      <c r="R95" s="2">
        <f t="shared" si="29"/>
        <v>2.2499999999999996</v>
      </c>
      <c r="S95" s="2">
        <f t="shared" si="16"/>
        <v>2.2499999999999996</v>
      </c>
      <c r="T95" s="2">
        <f t="shared" si="30"/>
        <v>4.4999999999999991</v>
      </c>
      <c r="U95" s="2">
        <f t="shared" si="17"/>
        <v>6.7499999999999991</v>
      </c>
      <c r="V95" s="2">
        <f t="shared" si="18"/>
        <v>8.9999999999999982</v>
      </c>
      <c r="W95" s="2">
        <f t="shared" si="19"/>
        <v>11.249999999999998</v>
      </c>
      <c r="X95" s="2">
        <f t="shared" si="20"/>
        <v>13.499999999999998</v>
      </c>
      <c r="Y95" s="5" t="str">
        <f t="shared" si="35"/>
        <v>1</v>
      </c>
      <c r="Z95" s="5" t="str">
        <f t="shared" si="36"/>
        <v>1</v>
      </c>
      <c r="AA95" s="5" t="str">
        <f t="shared" si="37"/>
        <v>1</v>
      </c>
      <c r="AB95" s="5" t="str">
        <f t="shared" si="31"/>
        <v>1</v>
      </c>
      <c r="AC95" s="5" t="str">
        <f t="shared" si="32"/>
        <v>1</v>
      </c>
      <c r="AD95" s="5" t="str">
        <f t="shared" si="33"/>
        <v>1</v>
      </c>
      <c r="AE95" s="5" t="str">
        <f t="shared" si="34"/>
        <v>1</v>
      </c>
    </row>
    <row r="96" spans="1:31" ht="14.4" x14ac:dyDescent="0.3">
      <c r="A96" s="14">
        <v>93</v>
      </c>
      <c r="B96" s="15" t="s">
        <v>190</v>
      </c>
      <c r="C96" s="10">
        <v>12</v>
      </c>
      <c r="D96" s="10">
        <v>23</v>
      </c>
      <c r="E96" s="17">
        <v>365</v>
      </c>
      <c r="F96" s="22">
        <v>2.9999999999999997E-4</v>
      </c>
      <c r="G96" s="10">
        <v>900</v>
      </c>
      <c r="H96" s="12">
        <v>1E-3</v>
      </c>
      <c r="I96" s="18">
        <v>10950</v>
      </c>
      <c r="J96" s="20">
        <v>12</v>
      </c>
      <c r="K96" s="19">
        <f t="shared" si="23"/>
        <v>4.6956521739130435E-3</v>
      </c>
      <c r="L96" s="2">
        <f t="shared" si="21"/>
        <v>1.9565217391304345E-3</v>
      </c>
      <c r="M96" s="2">
        <f t="shared" si="24"/>
        <v>3.913043478260869E-3</v>
      </c>
      <c r="N96" s="2">
        <f t="shared" si="25"/>
        <v>5.8695652173913031E-3</v>
      </c>
      <c r="O96" s="2">
        <f t="shared" si="26"/>
        <v>7.826086956521738E-3</v>
      </c>
      <c r="P96" s="2">
        <f t="shared" si="27"/>
        <v>9.7826086956521729E-3</v>
      </c>
      <c r="Q96" s="2">
        <f t="shared" si="28"/>
        <v>1.1739130434782606E-2</v>
      </c>
      <c r="R96" s="2">
        <f t="shared" si="29"/>
        <v>4.695652173913043</v>
      </c>
      <c r="S96" s="2">
        <f t="shared" si="16"/>
        <v>1.9565217391304344</v>
      </c>
      <c r="T96" s="2">
        <f t="shared" si="30"/>
        <v>3.9130434782608687</v>
      </c>
      <c r="U96" s="2">
        <f t="shared" si="17"/>
        <v>5.8695652173913029</v>
      </c>
      <c r="V96" s="2">
        <f t="shared" si="18"/>
        <v>7.8260869565217375</v>
      </c>
      <c r="W96" s="2">
        <f t="shared" si="19"/>
        <v>9.7826086956521721</v>
      </c>
      <c r="X96" s="2">
        <f t="shared" si="20"/>
        <v>11.739130434782606</v>
      </c>
      <c r="Y96" s="5" t="str">
        <f t="shared" si="35"/>
        <v>1</v>
      </c>
      <c r="Z96" s="5" t="str">
        <f t="shared" si="36"/>
        <v>1</v>
      </c>
      <c r="AA96" s="5" t="str">
        <f t="shared" si="37"/>
        <v>1</v>
      </c>
      <c r="AB96" s="5" t="str">
        <f t="shared" si="31"/>
        <v>1</v>
      </c>
      <c r="AC96" s="5" t="str">
        <f t="shared" si="32"/>
        <v>1</v>
      </c>
      <c r="AD96" s="5" t="str">
        <f t="shared" si="33"/>
        <v>1</v>
      </c>
      <c r="AE96" s="5" t="str">
        <f t="shared" si="34"/>
        <v>1</v>
      </c>
    </row>
    <row r="97" spans="1:31" ht="14.4" x14ac:dyDescent="0.3">
      <c r="A97" s="14">
        <v>94</v>
      </c>
      <c r="B97" s="15" t="s">
        <v>191</v>
      </c>
      <c r="C97" s="10">
        <v>12</v>
      </c>
      <c r="D97" s="10">
        <v>25</v>
      </c>
      <c r="E97" s="17">
        <v>365</v>
      </c>
      <c r="F97" s="22">
        <v>2.9999999999999997E-4</v>
      </c>
      <c r="G97" s="10">
        <v>900</v>
      </c>
      <c r="H97" s="12">
        <v>1E-3</v>
      </c>
      <c r="I97" s="18">
        <v>10950</v>
      </c>
      <c r="J97" s="20">
        <v>12</v>
      </c>
      <c r="K97" s="19">
        <f t="shared" si="23"/>
        <v>4.3200000000000001E-3</v>
      </c>
      <c r="L97" s="2">
        <f t="shared" si="21"/>
        <v>1.7999999999999995E-3</v>
      </c>
      <c r="M97" s="2">
        <f t="shared" si="24"/>
        <v>3.599999999999999E-3</v>
      </c>
      <c r="N97" s="2">
        <f t="shared" si="25"/>
        <v>5.3999999999999994E-3</v>
      </c>
      <c r="O97" s="2">
        <f t="shared" si="26"/>
        <v>7.1999999999999981E-3</v>
      </c>
      <c r="P97" s="2">
        <f t="shared" si="27"/>
        <v>8.9999999999999976E-3</v>
      </c>
      <c r="Q97" s="2">
        <f t="shared" si="28"/>
        <v>1.0799999999999999E-2</v>
      </c>
      <c r="R97" s="2">
        <f t="shared" si="29"/>
        <v>4.32</v>
      </c>
      <c r="S97" s="2">
        <f t="shared" si="16"/>
        <v>1.7999999999999994</v>
      </c>
      <c r="T97" s="2">
        <f t="shared" si="30"/>
        <v>3.5999999999999988</v>
      </c>
      <c r="U97" s="2">
        <f t="shared" si="17"/>
        <v>5.3999999999999995</v>
      </c>
      <c r="V97" s="2">
        <f t="shared" si="18"/>
        <v>7.1999999999999975</v>
      </c>
      <c r="W97" s="2">
        <f t="shared" si="19"/>
        <v>8.9999999999999982</v>
      </c>
      <c r="X97" s="2">
        <f t="shared" si="20"/>
        <v>10.799999999999999</v>
      </c>
      <c r="Y97" s="5" t="str">
        <f t="shared" si="35"/>
        <v>1</v>
      </c>
      <c r="Z97" s="5" t="str">
        <f t="shared" si="36"/>
        <v>1</v>
      </c>
      <c r="AA97" s="5" t="str">
        <f t="shared" si="37"/>
        <v>1</v>
      </c>
      <c r="AB97" s="5" t="str">
        <f t="shared" si="31"/>
        <v>1</v>
      </c>
      <c r="AC97" s="5" t="str">
        <f t="shared" si="32"/>
        <v>1</v>
      </c>
      <c r="AD97" s="5" t="str">
        <f t="shared" si="33"/>
        <v>1</v>
      </c>
      <c r="AE97" s="5" t="str">
        <f t="shared" si="34"/>
        <v>1</v>
      </c>
    </row>
    <row r="98" spans="1:31" ht="14.4" x14ac:dyDescent="0.3">
      <c r="A98" s="14">
        <v>95</v>
      </c>
      <c r="B98" s="15" t="s">
        <v>192</v>
      </c>
      <c r="C98" s="10">
        <v>12</v>
      </c>
      <c r="D98" s="10">
        <v>28</v>
      </c>
      <c r="E98" s="17">
        <v>365</v>
      </c>
      <c r="F98" s="22">
        <v>2.9999999999999997E-4</v>
      </c>
      <c r="G98" s="10">
        <v>900</v>
      </c>
      <c r="H98" s="12">
        <v>1E-3</v>
      </c>
      <c r="I98" s="18">
        <v>10950</v>
      </c>
      <c r="J98" s="20">
        <v>12</v>
      </c>
      <c r="K98" s="19">
        <f t="shared" si="23"/>
        <v>3.8571428571428567E-3</v>
      </c>
      <c r="L98" s="2">
        <f t="shared" si="21"/>
        <v>1.6071428571428567E-3</v>
      </c>
      <c r="M98" s="2">
        <f t="shared" si="24"/>
        <v>3.2142857142857134E-3</v>
      </c>
      <c r="N98" s="2">
        <f t="shared" si="25"/>
        <v>4.8214285714285703E-3</v>
      </c>
      <c r="O98" s="2">
        <f t="shared" si="26"/>
        <v>6.4285714285714267E-3</v>
      </c>
      <c r="P98" s="2">
        <f t="shared" si="27"/>
        <v>8.0357142857142849E-3</v>
      </c>
      <c r="Q98" s="2">
        <f t="shared" si="28"/>
        <v>9.6428571428571405E-3</v>
      </c>
      <c r="R98" s="2">
        <f t="shared" si="29"/>
        <v>3.8571428571428568</v>
      </c>
      <c r="S98" s="2">
        <f t="shared" si="16"/>
        <v>1.6071428571428565</v>
      </c>
      <c r="T98" s="2">
        <f t="shared" si="30"/>
        <v>3.2142857142857131</v>
      </c>
      <c r="U98" s="2">
        <f t="shared" si="17"/>
        <v>4.8214285714285703</v>
      </c>
      <c r="V98" s="2">
        <f t="shared" si="18"/>
        <v>6.4285714285714262</v>
      </c>
      <c r="W98" s="2">
        <f t="shared" si="19"/>
        <v>8.0357142857142847</v>
      </c>
      <c r="X98" s="2">
        <f t="shared" si="20"/>
        <v>9.6428571428571406</v>
      </c>
      <c r="Y98" s="5" t="str">
        <f t="shared" si="35"/>
        <v>1</v>
      </c>
      <c r="Z98" s="5" t="str">
        <f t="shared" si="36"/>
        <v>1</v>
      </c>
      <c r="AA98" s="5" t="str">
        <f t="shared" si="37"/>
        <v>1</v>
      </c>
      <c r="AB98" s="5" t="str">
        <f t="shared" si="31"/>
        <v>1</v>
      </c>
      <c r="AC98" s="5" t="str">
        <f t="shared" si="32"/>
        <v>1</v>
      </c>
      <c r="AD98" s="5" t="str">
        <f t="shared" si="33"/>
        <v>1</v>
      </c>
      <c r="AE98" s="5" t="str">
        <f t="shared" si="34"/>
        <v>1</v>
      </c>
    </row>
    <row r="99" spans="1:31" ht="14.4" x14ac:dyDescent="0.3">
      <c r="A99" s="14">
        <v>96</v>
      </c>
      <c r="B99" s="15" t="s">
        <v>193</v>
      </c>
      <c r="C99" s="10">
        <v>12</v>
      </c>
      <c r="D99" s="10">
        <v>40</v>
      </c>
      <c r="E99" s="17">
        <v>365</v>
      </c>
      <c r="F99" s="22">
        <v>2.9999999999999997E-4</v>
      </c>
      <c r="G99" s="10">
        <v>1800</v>
      </c>
      <c r="H99" s="12">
        <v>1E-3</v>
      </c>
      <c r="I99" s="18">
        <v>10950</v>
      </c>
      <c r="J99" s="20">
        <v>5</v>
      </c>
      <c r="K99" s="19">
        <f t="shared" si="23"/>
        <v>2.2499999999999994E-3</v>
      </c>
      <c r="L99" s="2">
        <f t="shared" si="21"/>
        <v>2.2499999999999994E-3</v>
      </c>
      <c r="M99" s="2">
        <f t="shared" si="24"/>
        <v>4.4999999999999988E-3</v>
      </c>
      <c r="N99" s="2">
        <f t="shared" si="25"/>
        <v>6.7499999999999991E-3</v>
      </c>
      <c r="O99" s="2">
        <f t="shared" si="26"/>
        <v>8.9999999999999976E-3</v>
      </c>
      <c r="P99" s="2">
        <f t="shared" si="27"/>
        <v>1.1249999999999998E-2</v>
      </c>
      <c r="Q99" s="2">
        <f t="shared" si="28"/>
        <v>1.3499999999999998E-2</v>
      </c>
      <c r="R99" s="2">
        <f t="shared" si="29"/>
        <v>2.2499999999999996</v>
      </c>
      <c r="S99" s="2">
        <f t="shared" si="16"/>
        <v>2.2499999999999996</v>
      </c>
      <c r="T99" s="2">
        <f t="shared" si="30"/>
        <v>4.4999999999999991</v>
      </c>
      <c r="U99" s="2">
        <f t="shared" si="17"/>
        <v>6.7499999999999991</v>
      </c>
      <c r="V99" s="2">
        <f t="shared" si="18"/>
        <v>8.9999999999999982</v>
      </c>
      <c r="W99" s="2">
        <f t="shared" si="19"/>
        <v>11.249999999999998</v>
      </c>
      <c r="X99" s="2">
        <f t="shared" si="20"/>
        <v>13.499999999999998</v>
      </c>
      <c r="Y99" s="5" t="str">
        <f t="shared" si="35"/>
        <v>1</v>
      </c>
      <c r="Z99" s="5" t="str">
        <f t="shared" si="36"/>
        <v>1</v>
      </c>
      <c r="AA99" s="5" t="str">
        <f t="shared" si="37"/>
        <v>1</v>
      </c>
      <c r="AB99" s="5" t="str">
        <f t="shared" si="31"/>
        <v>1</v>
      </c>
      <c r="AC99" s="5" t="str">
        <f t="shared" si="32"/>
        <v>1</v>
      </c>
      <c r="AD99" s="5" t="str">
        <f t="shared" si="33"/>
        <v>1</v>
      </c>
      <c r="AE99" s="5" t="str">
        <f t="shared" si="34"/>
        <v>1</v>
      </c>
    </row>
    <row r="100" spans="1:31" ht="14.4" x14ac:dyDescent="0.3">
      <c r="A100" s="14">
        <v>97</v>
      </c>
      <c r="B100" s="15" t="s">
        <v>194</v>
      </c>
      <c r="C100" s="10">
        <v>12</v>
      </c>
      <c r="D100" s="10">
        <v>28</v>
      </c>
      <c r="E100" s="17">
        <v>365</v>
      </c>
      <c r="F100" s="22">
        <v>2.9999999999999997E-4</v>
      </c>
      <c r="G100" s="10">
        <v>900</v>
      </c>
      <c r="H100" s="12">
        <v>1E-3</v>
      </c>
      <c r="I100" s="18">
        <v>10950</v>
      </c>
      <c r="J100" s="20">
        <v>12</v>
      </c>
      <c r="K100" s="19">
        <f t="shared" si="23"/>
        <v>3.8571428571428567E-3</v>
      </c>
      <c r="L100" s="2">
        <f t="shared" si="21"/>
        <v>1.6071428571428567E-3</v>
      </c>
      <c r="M100" s="2">
        <f t="shared" si="24"/>
        <v>3.2142857142857134E-3</v>
      </c>
      <c r="N100" s="2">
        <f t="shared" si="25"/>
        <v>4.8214285714285703E-3</v>
      </c>
      <c r="O100" s="2">
        <f t="shared" si="26"/>
        <v>6.4285714285714267E-3</v>
      </c>
      <c r="P100" s="2">
        <f t="shared" si="27"/>
        <v>8.0357142857142849E-3</v>
      </c>
      <c r="Q100" s="2">
        <f t="shared" si="28"/>
        <v>9.6428571428571405E-3</v>
      </c>
      <c r="R100" s="2">
        <f t="shared" si="29"/>
        <v>3.8571428571428568</v>
      </c>
      <c r="S100" s="2">
        <f t="shared" si="16"/>
        <v>1.6071428571428565</v>
      </c>
      <c r="T100" s="2">
        <f t="shared" si="30"/>
        <v>3.2142857142857131</v>
      </c>
      <c r="U100" s="2">
        <f t="shared" si="17"/>
        <v>4.8214285714285703</v>
      </c>
      <c r="V100" s="2">
        <f t="shared" si="18"/>
        <v>6.4285714285714262</v>
      </c>
      <c r="W100" s="2">
        <f t="shared" si="19"/>
        <v>8.0357142857142847</v>
      </c>
      <c r="X100" s="2">
        <f t="shared" si="20"/>
        <v>9.6428571428571406</v>
      </c>
      <c r="Y100" s="5" t="str">
        <f t="shared" si="35"/>
        <v>1</v>
      </c>
      <c r="Z100" s="5" t="str">
        <f t="shared" si="36"/>
        <v>1</v>
      </c>
      <c r="AA100" s="5" t="str">
        <f t="shared" si="37"/>
        <v>1</v>
      </c>
      <c r="AB100" s="5" t="str">
        <f t="shared" si="31"/>
        <v>1</v>
      </c>
      <c r="AC100" s="5" t="str">
        <f t="shared" si="32"/>
        <v>1</v>
      </c>
      <c r="AD100" s="5" t="str">
        <f t="shared" si="33"/>
        <v>1</v>
      </c>
      <c r="AE100" s="5" t="str">
        <f t="shared" si="34"/>
        <v>1</v>
      </c>
    </row>
    <row r="101" spans="1:31" ht="14.4" x14ac:dyDescent="0.3">
      <c r="A101" s="14">
        <v>98</v>
      </c>
      <c r="B101" s="15" t="s">
        <v>193</v>
      </c>
      <c r="C101" s="10">
        <v>12</v>
      </c>
      <c r="D101" s="10">
        <v>40</v>
      </c>
      <c r="E101" s="17">
        <v>365</v>
      </c>
      <c r="F101" s="22">
        <v>2.9999999999999997E-4</v>
      </c>
      <c r="G101" s="10">
        <v>1800</v>
      </c>
      <c r="H101" s="12">
        <v>1E-3</v>
      </c>
      <c r="I101" s="18">
        <v>10950</v>
      </c>
      <c r="J101" s="20">
        <v>5</v>
      </c>
      <c r="K101" s="19">
        <f t="shared" si="23"/>
        <v>2.2499999999999994E-3</v>
      </c>
      <c r="L101" s="2">
        <f t="shared" si="21"/>
        <v>2.2499999999999994E-3</v>
      </c>
      <c r="M101" s="2">
        <f t="shared" si="24"/>
        <v>4.4999999999999988E-3</v>
      </c>
      <c r="N101" s="2">
        <f t="shared" si="25"/>
        <v>6.7499999999999991E-3</v>
      </c>
      <c r="O101" s="2">
        <f t="shared" si="26"/>
        <v>8.9999999999999976E-3</v>
      </c>
      <c r="P101" s="2">
        <f t="shared" si="27"/>
        <v>1.1249999999999998E-2</v>
      </c>
      <c r="Q101" s="2">
        <f t="shared" si="28"/>
        <v>1.3499999999999998E-2</v>
      </c>
      <c r="R101" s="2">
        <f t="shared" si="29"/>
        <v>2.2499999999999996</v>
      </c>
      <c r="S101" s="2">
        <f t="shared" si="16"/>
        <v>2.2499999999999996</v>
      </c>
      <c r="T101" s="2">
        <f t="shared" si="30"/>
        <v>4.4999999999999991</v>
      </c>
      <c r="U101" s="2">
        <f t="shared" si="17"/>
        <v>6.7499999999999991</v>
      </c>
      <c r="V101" s="2">
        <f t="shared" si="18"/>
        <v>8.9999999999999982</v>
      </c>
      <c r="W101" s="2">
        <f t="shared" si="19"/>
        <v>11.249999999999998</v>
      </c>
      <c r="X101" s="2">
        <f t="shared" si="20"/>
        <v>13.499999999999998</v>
      </c>
      <c r="Y101" s="5" t="str">
        <f t="shared" si="35"/>
        <v>1</v>
      </c>
      <c r="Z101" s="5" t="str">
        <f t="shared" si="36"/>
        <v>1</v>
      </c>
      <c r="AA101" s="5" t="str">
        <f t="shared" si="37"/>
        <v>1</v>
      </c>
      <c r="AB101" s="5" t="str">
        <f t="shared" si="31"/>
        <v>1</v>
      </c>
      <c r="AC101" s="5" t="str">
        <f t="shared" si="32"/>
        <v>1</v>
      </c>
      <c r="AD101" s="5" t="str">
        <f t="shared" si="33"/>
        <v>1</v>
      </c>
      <c r="AE101" s="5" t="str">
        <f t="shared" si="34"/>
        <v>1</v>
      </c>
    </row>
    <row r="102" spans="1:31" ht="14.4" x14ac:dyDescent="0.3">
      <c r="A102" s="14">
        <v>99</v>
      </c>
      <c r="B102" s="15" t="s">
        <v>195</v>
      </c>
      <c r="C102" s="10">
        <v>12</v>
      </c>
      <c r="D102" s="10">
        <v>28</v>
      </c>
      <c r="E102" s="17">
        <v>365</v>
      </c>
      <c r="F102" s="22">
        <v>2.9999999999999997E-4</v>
      </c>
      <c r="G102" s="10">
        <v>1800</v>
      </c>
      <c r="H102" s="12">
        <v>1E-3</v>
      </c>
      <c r="I102" s="18">
        <v>10950</v>
      </c>
      <c r="J102" s="20">
        <v>12</v>
      </c>
      <c r="K102" s="19">
        <f t="shared" si="23"/>
        <v>7.7142857142857135E-3</v>
      </c>
      <c r="L102" s="2">
        <f t="shared" si="21"/>
        <v>3.2142857142857134E-3</v>
      </c>
      <c r="M102" s="2">
        <f t="shared" si="24"/>
        <v>6.4285714285714267E-3</v>
      </c>
      <c r="N102" s="2">
        <f t="shared" si="25"/>
        <v>9.6428571428571405E-3</v>
      </c>
      <c r="O102" s="2">
        <f t="shared" si="26"/>
        <v>1.2857142857142853E-2</v>
      </c>
      <c r="P102" s="2">
        <f t="shared" si="27"/>
        <v>1.607142857142857E-2</v>
      </c>
      <c r="Q102" s="2">
        <f t="shared" si="28"/>
        <v>1.9285714285714281E-2</v>
      </c>
      <c r="R102" s="2">
        <f t="shared" si="29"/>
        <v>7.7142857142857135</v>
      </c>
      <c r="S102" s="2">
        <f t="shared" si="16"/>
        <v>3.2142857142857131</v>
      </c>
      <c r="T102" s="2">
        <f t="shared" si="30"/>
        <v>6.4285714285714262</v>
      </c>
      <c r="U102" s="2">
        <f t="shared" si="17"/>
        <v>9.6428571428571406</v>
      </c>
      <c r="V102" s="2">
        <f t="shared" si="18"/>
        <v>12.857142857142852</v>
      </c>
      <c r="W102" s="2">
        <f t="shared" si="19"/>
        <v>16.071428571428569</v>
      </c>
      <c r="X102" s="2">
        <f t="shared" si="20"/>
        <v>19.285714285714281</v>
      </c>
      <c r="Y102" s="5" t="str">
        <f t="shared" si="35"/>
        <v>1</v>
      </c>
      <c r="Z102" s="5" t="str">
        <f t="shared" si="36"/>
        <v>1</v>
      </c>
      <c r="AA102" s="5" t="str">
        <f t="shared" si="37"/>
        <v>1</v>
      </c>
      <c r="AB102" s="5" t="str">
        <f t="shared" si="31"/>
        <v>1</v>
      </c>
      <c r="AC102" s="5" t="str">
        <f t="shared" si="32"/>
        <v>1</v>
      </c>
      <c r="AD102" s="5" t="str">
        <f t="shared" si="33"/>
        <v>1</v>
      </c>
      <c r="AE102" s="5" t="str">
        <f t="shared" si="34"/>
        <v>1</v>
      </c>
    </row>
    <row r="103" spans="1:31" ht="14.4" x14ac:dyDescent="0.3">
      <c r="A103" s="14">
        <v>100</v>
      </c>
      <c r="B103" s="15" t="s">
        <v>196</v>
      </c>
      <c r="C103" s="10">
        <v>12</v>
      </c>
      <c r="D103" s="10">
        <v>28</v>
      </c>
      <c r="E103" s="17">
        <v>365</v>
      </c>
      <c r="F103" s="22">
        <v>2.9999999999999997E-4</v>
      </c>
      <c r="G103" s="10">
        <v>900</v>
      </c>
      <c r="H103" s="12">
        <v>1E-3</v>
      </c>
      <c r="I103" s="18">
        <v>10950</v>
      </c>
      <c r="J103" s="20">
        <v>12</v>
      </c>
      <c r="K103" s="19">
        <f t="shared" si="23"/>
        <v>3.8571428571428567E-3</v>
      </c>
      <c r="L103" s="2">
        <f t="shared" si="21"/>
        <v>1.6071428571428567E-3</v>
      </c>
      <c r="M103" s="2">
        <f t="shared" si="24"/>
        <v>3.2142857142857134E-3</v>
      </c>
      <c r="N103" s="2">
        <f t="shared" si="25"/>
        <v>4.8214285714285703E-3</v>
      </c>
      <c r="O103" s="2">
        <f t="shared" si="26"/>
        <v>6.4285714285714267E-3</v>
      </c>
      <c r="P103" s="2">
        <f t="shared" si="27"/>
        <v>8.0357142857142849E-3</v>
      </c>
      <c r="Q103" s="2">
        <f t="shared" si="28"/>
        <v>9.6428571428571405E-3</v>
      </c>
      <c r="R103" s="2">
        <f t="shared" si="29"/>
        <v>3.8571428571428568</v>
      </c>
      <c r="S103" s="2">
        <f t="shared" si="16"/>
        <v>1.6071428571428565</v>
      </c>
      <c r="T103" s="2">
        <f t="shared" si="30"/>
        <v>3.2142857142857131</v>
      </c>
      <c r="U103" s="2">
        <f t="shared" si="17"/>
        <v>4.8214285714285703</v>
      </c>
      <c r="V103" s="2">
        <f t="shared" si="18"/>
        <v>6.4285714285714262</v>
      </c>
      <c r="W103" s="2">
        <f t="shared" si="19"/>
        <v>8.0357142857142847</v>
      </c>
      <c r="X103" s="2">
        <f t="shared" si="20"/>
        <v>9.6428571428571406</v>
      </c>
      <c r="Y103" s="5" t="str">
        <f t="shared" si="35"/>
        <v>1</v>
      </c>
      <c r="Z103" s="5" t="str">
        <f t="shared" si="36"/>
        <v>1</v>
      </c>
      <c r="AA103" s="5" t="str">
        <f t="shared" si="37"/>
        <v>1</v>
      </c>
      <c r="AB103" s="5" t="str">
        <f t="shared" si="31"/>
        <v>1</v>
      </c>
      <c r="AC103" s="5" t="str">
        <f t="shared" si="32"/>
        <v>1</v>
      </c>
      <c r="AD103" s="5" t="str">
        <f t="shared" si="33"/>
        <v>1</v>
      </c>
      <c r="AE103" s="5" t="str">
        <f t="shared" si="34"/>
        <v>1</v>
      </c>
    </row>
    <row r="105" spans="1:31" x14ac:dyDescent="0.25">
      <c r="A105" s="3" t="s">
        <v>76</v>
      </c>
    </row>
    <row r="106" spans="1:31" x14ac:dyDescent="0.25">
      <c r="A106" s="3" t="s">
        <v>6</v>
      </c>
    </row>
    <row r="107" spans="1:31" x14ac:dyDescent="0.25">
      <c r="A107" s="3" t="s">
        <v>7</v>
      </c>
    </row>
  </sheetData>
  <mergeCells count="31">
    <mergeCell ref="G1:G2"/>
    <mergeCell ref="C1:C2"/>
    <mergeCell ref="A1:A2"/>
    <mergeCell ref="B1:B2"/>
    <mergeCell ref="D1:D2"/>
    <mergeCell ref="E1:E2"/>
    <mergeCell ref="F1:F2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AE1:AE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>
      <selection activeCell="F16" sqref="F16"/>
    </sheetView>
  </sheetViews>
  <sheetFormatPr defaultRowHeight="14.4" x14ac:dyDescent="0.3"/>
  <sheetData>
    <row r="1" spans="1:7" x14ac:dyDescent="0.3">
      <c r="A1" t="s">
        <v>56</v>
      </c>
    </row>
    <row r="3" spans="1:7" x14ac:dyDescent="0.3">
      <c r="A3" s="3" t="s">
        <v>102</v>
      </c>
      <c r="B3" s="3"/>
      <c r="C3" s="3"/>
      <c r="D3" s="3"/>
      <c r="E3" s="3"/>
      <c r="F3" s="3"/>
      <c r="G3" s="3"/>
    </row>
    <row r="4" spans="1:7" x14ac:dyDescent="0.3">
      <c r="A4" s="3" t="s">
        <v>57</v>
      </c>
      <c r="B4" s="3"/>
      <c r="C4" s="3"/>
      <c r="D4" s="3"/>
      <c r="E4" s="3"/>
      <c r="F4" s="3"/>
      <c r="G4" s="3"/>
    </row>
    <row r="5" spans="1:7" x14ac:dyDescent="0.3">
      <c r="A5" s="3" t="s">
        <v>58</v>
      </c>
      <c r="B5" s="3"/>
      <c r="C5" s="3"/>
      <c r="D5" s="3"/>
      <c r="E5" s="3"/>
      <c r="F5" s="3"/>
      <c r="G5" s="3"/>
    </row>
    <row r="6" spans="1:7" x14ac:dyDescent="0.3">
      <c r="A6" s="3" t="s">
        <v>103</v>
      </c>
      <c r="B6" s="3"/>
      <c r="C6" s="3"/>
      <c r="D6" s="3"/>
      <c r="E6" s="3"/>
      <c r="F6" s="3"/>
      <c r="G6" s="3"/>
    </row>
    <row r="7" spans="1:7" x14ac:dyDescent="0.3">
      <c r="A7" s="4" t="s">
        <v>101</v>
      </c>
      <c r="B7" s="4"/>
      <c r="C7" s="4"/>
      <c r="D7" s="4"/>
      <c r="E7" s="4"/>
      <c r="F7" s="4"/>
      <c r="G7" s="4"/>
    </row>
    <row r="8" spans="1:7" x14ac:dyDescent="0.3">
      <c r="A8" s="4" t="s">
        <v>100</v>
      </c>
      <c r="B8" s="4"/>
      <c r="C8" s="4"/>
      <c r="D8" s="4"/>
      <c r="E8" s="4"/>
      <c r="F8" s="4"/>
      <c r="G8" s="4"/>
    </row>
    <row r="9" spans="1:7" x14ac:dyDescent="0.3">
      <c r="A9" s="4" t="s">
        <v>99</v>
      </c>
      <c r="B9" s="4"/>
      <c r="C9" s="4"/>
      <c r="D9" s="4"/>
      <c r="E9" s="4"/>
      <c r="F9" s="4"/>
      <c r="G9" s="4"/>
    </row>
    <row r="10" spans="1:7" x14ac:dyDescent="0.3">
      <c r="A10" s="4" t="s">
        <v>5</v>
      </c>
      <c r="B10" s="4"/>
      <c r="C10" s="4"/>
      <c r="D10" s="4"/>
      <c r="E10" s="4"/>
      <c r="F10" s="4"/>
      <c r="G10" s="4"/>
    </row>
    <row r="11" spans="1:7" x14ac:dyDescent="0.3">
      <c r="A11" s="4" t="s">
        <v>55</v>
      </c>
      <c r="B11" s="4"/>
      <c r="C11" s="4"/>
      <c r="D11" s="4"/>
      <c r="E11" s="4"/>
      <c r="F11" s="4"/>
      <c r="G11" s="4"/>
    </row>
    <row r="12" spans="1:7" x14ac:dyDescent="0.3">
      <c r="A12" t="s">
        <v>76</v>
      </c>
    </row>
    <row r="13" spans="1:7" x14ac:dyDescent="0.3">
      <c r="A13" t="s">
        <v>6</v>
      </c>
    </row>
    <row r="14" spans="1:7" x14ac:dyDescent="0.3">
      <c r="A14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workbookViewId="0">
      <selection activeCell="M7" sqref="M7"/>
    </sheetView>
  </sheetViews>
  <sheetFormatPr defaultRowHeight="14.4" x14ac:dyDescent="0.3"/>
  <cols>
    <col min="1" max="1" width="15.109375" customWidth="1"/>
  </cols>
  <sheetData>
    <row r="1" spans="1:9" ht="15" customHeight="1" x14ac:dyDescent="0.3">
      <c r="A1" s="1" t="s">
        <v>50</v>
      </c>
      <c r="B1" s="1" t="s">
        <v>15</v>
      </c>
      <c r="C1" s="1" t="s">
        <v>28</v>
      </c>
      <c r="D1" s="1" t="s">
        <v>35</v>
      </c>
      <c r="E1" s="1" t="s">
        <v>36</v>
      </c>
      <c r="F1" s="1" t="s">
        <v>43</v>
      </c>
      <c r="H1" s="26" t="s">
        <v>0</v>
      </c>
      <c r="I1" s="26"/>
    </row>
    <row r="2" spans="1:9" x14ac:dyDescent="0.3">
      <c r="A2" s="1" t="s">
        <v>8</v>
      </c>
      <c r="B2" s="1" t="s">
        <v>16</v>
      </c>
      <c r="C2" s="1" t="s">
        <v>22</v>
      </c>
      <c r="D2" s="1" t="s">
        <v>29</v>
      </c>
      <c r="E2" s="1" t="s">
        <v>37</v>
      </c>
      <c r="F2" s="1" t="s">
        <v>44</v>
      </c>
      <c r="H2" s="26" t="s">
        <v>3</v>
      </c>
      <c r="I2" s="26"/>
    </row>
    <row r="3" spans="1:9" x14ac:dyDescent="0.3">
      <c r="A3" s="1" t="s">
        <v>9</v>
      </c>
      <c r="B3" s="1" t="s">
        <v>17</v>
      </c>
      <c r="C3" s="1" t="s">
        <v>23</v>
      </c>
      <c r="D3" s="1" t="s">
        <v>30</v>
      </c>
      <c r="E3" s="1" t="s">
        <v>38</v>
      </c>
      <c r="F3" s="1" t="s">
        <v>45</v>
      </c>
      <c r="H3" s="23" t="s">
        <v>52</v>
      </c>
      <c r="I3" s="23"/>
    </row>
    <row r="4" spans="1:9" x14ac:dyDescent="0.3">
      <c r="A4" s="1" t="s">
        <v>10</v>
      </c>
      <c r="B4" s="1" t="s">
        <v>18</v>
      </c>
      <c r="C4" s="1" t="s">
        <v>24</v>
      </c>
      <c r="D4" s="1" t="s">
        <v>31</v>
      </c>
      <c r="E4" s="1" t="s">
        <v>39</v>
      </c>
      <c r="F4" s="1" t="s">
        <v>46</v>
      </c>
      <c r="H4" s="23" t="s">
        <v>1</v>
      </c>
      <c r="I4" s="23"/>
    </row>
    <row r="5" spans="1:9" x14ac:dyDescent="0.3">
      <c r="A5" s="1" t="s">
        <v>11</v>
      </c>
      <c r="B5" s="1" t="s">
        <v>11</v>
      </c>
      <c r="C5" s="1" t="s">
        <v>11</v>
      </c>
      <c r="D5" s="1" t="s">
        <v>51</v>
      </c>
      <c r="E5" s="1" t="s">
        <v>11</v>
      </c>
      <c r="F5" s="1" t="s">
        <v>11</v>
      </c>
      <c r="H5" s="23" t="s">
        <v>53</v>
      </c>
      <c r="I5" s="23"/>
    </row>
    <row r="6" spans="1:9" x14ac:dyDescent="0.3">
      <c r="A6" s="1" t="s">
        <v>12</v>
      </c>
      <c r="B6" s="1" t="s">
        <v>19</v>
      </c>
      <c r="C6" s="1" t="s">
        <v>25</v>
      </c>
      <c r="D6" s="1" t="s">
        <v>32</v>
      </c>
      <c r="E6" s="1" t="s">
        <v>40</v>
      </c>
      <c r="F6" s="1" t="s">
        <v>47</v>
      </c>
      <c r="H6" s="26" t="s">
        <v>2</v>
      </c>
      <c r="I6" s="26"/>
    </row>
    <row r="7" spans="1:9" x14ac:dyDescent="0.3">
      <c r="A7" s="1" t="s">
        <v>13</v>
      </c>
      <c r="B7" s="1" t="s">
        <v>20</v>
      </c>
      <c r="C7" s="1" t="s">
        <v>26</v>
      </c>
      <c r="D7" s="1" t="s">
        <v>33</v>
      </c>
      <c r="E7" s="1" t="s">
        <v>41</v>
      </c>
      <c r="F7" s="1" t="s">
        <v>48</v>
      </c>
      <c r="H7" s="23" t="s">
        <v>78</v>
      </c>
      <c r="I7" s="23"/>
    </row>
    <row r="8" spans="1:9" x14ac:dyDescent="0.3">
      <c r="A8" s="1" t="s">
        <v>14</v>
      </c>
      <c r="B8" s="1" t="s">
        <v>21</v>
      </c>
      <c r="C8" s="1" t="s">
        <v>27</v>
      </c>
      <c r="D8" s="1" t="s">
        <v>34</v>
      </c>
      <c r="E8" s="1" t="s">
        <v>42</v>
      </c>
      <c r="F8" s="1" t="s">
        <v>49</v>
      </c>
      <c r="H8" s="23" t="s">
        <v>79</v>
      </c>
      <c r="I8" s="23"/>
    </row>
    <row r="9" spans="1:9" x14ac:dyDescent="0.3">
      <c r="A9" s="1" t="s">
        <v>11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H9" s="23" t="s">
        <v>80</v>
      </c>
      <c r="I9" s="23"/>
    </row>
    <row r="10" spans="1:9" x14ac:dyDescent="0.3">
      <c r="A10" s="1" t="s">
        <v>12</v>
      </c>
      <c r="B10" s="1" t="s">
        <v>19</v>
      </c>
      <c r="C10" s="1" t="s">
        <v>25</v>
      </c>
      <c r="D10" s="1" t="s">
        <v>32</v>
      </c>
      <c r="E10" s="1" t="s">
        <v>40</v>
      </c>
      <c r="F10" s="1" t="s">
        <v>47</v>
      </c>
      <c r="H10" s="23" t="s">
        <v>81</v>
      </c>
      <c r="I10" s="23"/>
    </row>
    <row r="11" spans="1:9" x14ac:dyDescent="0.3">
      <c r="A11" s="1" t="s">
        <v>13</v>
      </c>
      <c r="B11" s="1" t="s">
        <v>20</v>
      </c>
      <c r="C11" s="1" t="s">
        <v>26</v>
      </c>
      <c r="D11" s="1" t="s">
        <v>33</v>
      </c>
      <c r="E11" s="1" t="s">
        <v>41</v>
      </c>
      <c r="F11" s="1" t="s">
        <v>48</v>
      </c>
      <c r="H11" s="23" t="s">
        <v>82</v>
      </c>
      <c r="I11" s="23"/>
    </row>
    <row r="12" spans="1:9" x14ac:dyDescent="0.3">
      <c r="A12" s="1" t="s">
        <v>14</v>
      </c>
      <c r="B12" s="1" t="s">
        <v>21</v>
      </c>
      <c r="C12" s="1" t="s">
        <v>27</v>
      </c>
      <c r="D12" s="1" t="s">
        <v>34</v>
      </c>
      <c r="E12" s="1" t="s">
        <v>42</v>
      </c>
      <c r="F12" s="1" t="s">
        <v>49</v>
      </c>
      <c r="H12" s="23" t="s">
        <v>83</v>
      </c>
      <c r="I12" s="23"/>
    </row>
    <row r="13" spans="1:9" x14ac:dyDescent="0.3">
      <c r="H13" s="23" t="s">
        <v>84</v>
      </c>
      <c r="I13" s="23"/>
    </row>
    <row r="14" spans="1:9" x14ac:dyDescent="0.3">
      <c r="H14" s="23" t="s">
        <v>85</v>
      </c>
      <c r="I14" s="23"/>
    </row>
    <row r="15" spans="1:9" x14ac:dyDescent="0.3">
      <c r="H15" s="23" t="s">
        <v>86</v>
      </c>
      <c r="I15" s="23"/>
    </row>
    <row r="16" spans="1:9" x14ac:dyDescent="0.3">
      <c r="H16" s="23" t="s">
        <v>87</v>
      </c>
      <c r="I16" s="23"/>
    </row>
    <row r="17" spans="8:9" x14ac:dyDescent="0.3">
      <c r="H17" s="23" t="s">
        <v>88</v>
      </c>
      <c r="I17" s="23"/>
    </row>
    <row r="18" spans="8:9" x14ac:dyDescent="0.3">
      <c r="H18" s="23" t="s">
        <v>89</v>
      </c>
      <c r="I18" s="23"/>
    </row>
    <row r="19" spans="8:9" x14ac:dyDescent="0.3">
      <c r="H19" s="23" t="s">
        <v>77</v>
      </c>
      <c r="I19" s="23"/>
    </row>
    <row r="20" spans="8:9" x14ac:dyDescent="0.3">
      <c r="H20" s="23" t="s">
        <v>90</v>
      </c>
      <c r="I20" s="23"/>
    </row>
    <row r="21" spans="8:9" x14ac:dyDescent="0.3">
      <c r="H21" s="23" t="s">
        <v>91</v>
      </c>
      <c r="I21" s="23"/>
    </row>
    <row r="22" spans="8:9" x14ac:dyDescent="0.3">
      <c r="H22" s="23" t="s">
        <v>92</v>
      </c>
      <c r="I22" s="23"/>
    </row>
    <row r="23" spans="8:9" x14ac:dyDescent="0.3">
      <c r="H23" s="23" t="s">
        <v>93</v>
      </c>
      <c r="I23" s="23"/>
    </row>
    <row r="24" spans="8:9" x14ac:dyDescent="0.3">
      <c r="H24" s="23" t="s">
        <v>94</v>
      </c>
      <c r="I24" s="23"/>
    </row>
  </sheetData>
  <mergeCells count="24">
    <mergeCell ref="H21:I21"/>
    <mergeCell ref="H22:I22"/>
    <mergeCell ref="H23:I23"/>
    <mergeCell ref="H24:I24"/>
    <mergeCell ref="H15:I15"/>
    <mergeCell ref="H16:I16"/>
    <mergeCell ref="H17:I17"/>
    <mergeCell ref="H18:I18"/>
    <mergeCell ref="H19:I19"/>
    <mergeCell ref="H20:I20"/>
    <mergeCell ref="H1:I1"/>
    <mergeCell ref="H2:I2"/>
    <mergeCell ref="H14:I14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</mergeCells>
  <pageMargins left="0.7" right="0.7" top="0.75" bottom="0.75" header="0.3" footer="0.3"/>
  <pageSetup orientation="portrait" horizontalDpi="4294967292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7C03DF-A346-4171-9BED-E87EB6D734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RQ Chromium</vt:lpstr>
      <vt:lpstr>RQ Timbal</vt:lpstr>
      <vt:lpstr> RQ Nikel</vt:lpstr>
      <vt:lpstr>RQ Arsen</vt:lpstr>
      <vt:lpstr> RQ Cadmium</vt:lpstr>
      <vt:lpstr>keterangan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hadi nata</cp:lastModifiedBy>
  <dcterms:created xsi:type="dcterms:W3CDTF">2022-03-15T08:59:07Z</dcterms:created>
  <dcterms:modified xsi:type="dcterms:W3CDTF">2026-06-29T09:39:04Z</dcterms:modified>
</cp:coreProperties>
</file>