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Nata\Project\HERA-test\hera-monitoring\Referensi\"/>
    </mc:Choice>
  </mc:AlternateContent>
  <xr:revisionPtr revIDLastSave="0" documentId="8_{949973D0-1683-47E4-98AC-24ED947F7E67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RQ Chromium" sheetId="24" r:id="rId1"/>
    <sheet name="RQ Timbal" sheetId="23" r:id="rId2"/>
    <sheet name=" RQ Nikel" sheetId="22" r:id="rId3"/>
    <sheet name="RQ Arsen" sheetId="9" r:id="rId4"/>
    <sheet name=" RQ Cadmium" sheetId="21" r:id="rId5"/>
    <sheet name="keterangan" sheetId="11" r:id="rId6"/>
    <sheet name="Sheet1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103" i="24" l="1"/>
  <c r="X103" i="24" s="1"/>
  <c r="AE103" i="24" s="1"/>
  <c r="P103" i="24"/>
  <c r="W103" i="24" s="1"/>
  <c r="AD103" i="24" s="1"/>
  <c r="O103" i="24"/>
  <c r="V103" i="24" s="1"/>
  <c r="AC103" i="24" s="1"/>
  <c r="N103" i="24"/>
  <c r="U103" i="24" s="1"/>
  <c r="AB103" i="24" s="1"/>
  <c r="M103" i="24"/>
  <c r="T103" i="24" s="1"/>
  <c r="AA103" i="24" s="1"/>
  <c r="L103" i="24"/>
  <c r="S103" i="24" s="1"/>
  <c r="Z103" i="24" s="1"/>
  <c r="K103" i="24"/>
  <c r="R103" i="24" s="1"/>
  <c r="Y103" i="24" s="1"/>
  <c r="Q102" i="24"/>
  <c r="X102" i="24" s="1"/>
  <c r="AE102" i="24" s="1"/>
  <c r="P102" i="24"/>
  <c r="W102" i="24" s="1"/>
  <c r="AD102" i="24" s="1"/>
  <c r="O102" i="24"/>
  <c r="V102" i="24" s="1"/>
  <c r="AC102" i="24" s="1"/>
  <c r="N102" i="24"/>
  <c r="U102" i="24" s="1"/>
  <c r="AB102" i="24" s="1"/>
  <c r="M102" i="24"/>
  <c r="T102" i="24" s="1"/>
  <c r="AA102" i="24" s="1"/>
  <c r="L102" i="24"/>
  <c r="S102" i="24" s="1"/>
  <c r="Z102" i="24" s="1"/>
  <c r="K102" i="24"/>
  <c r="R102" i="24" s="1"/>
  <c r="Y102" i="24" s="1"/>
  <c r="Q101" i="24"/>
  <c r="X101" i="24" s="1"/>
  <c r="AE101" i="24" s="1"/>
  <c r="P101" i="24"/>
  <c r="W101" i="24" s="1"/>
  <c r="AD101" i="24" s="1"/>
  <c r="O101" i="24"/>
  <c r="V101" i="24" s="1"/>
  <c r="AC101" i="24" s="1"/>
  <c r="N101" i="24"/>
  <c r="U101" i="24" s="1"/>
  <c r="AB101" i="24" s="1"/>
  <c r="M101" i="24"/>
  <c r="T101" i="24" s="1"/>
  <c r="AA101" i="24" s="1"/>
  <c r="L101" i="24"/>
  <c r="S101" i="24" s="1"/>
  <c r="Z101" i="24" s="1"/>
  <c r="K101" i="24"/>
  <c r="R101" i="24" s="1"/>
  <c r="Y101" i="24" s="1"/>
  <c r="Q100" i="24"/>
  <c r="X100" i="24" s="1"/>
  <c r="AE100" i="24" s="1"/>
  <c r="P100" i="24"/>
  <c r="W100" i="24" s="1"/>
  <c r="AD100" i="24" s="1"/>
  <c r="O100" i="24"/>
  <c r="V100" i="24" s="1"/>
  <c r="AC100" i="24" s="1"/>
  <c r="N100" i="24"/>
  <c r="U100" i="24" s="1"/>
  <c r="AB100" i="24" s="1"/>
  <c r="M100" i="24"/>
  <c r="T100" i="24" s="1"/>
  <c r="AA100" i="24" s="1"/>
  <c r="L100" i="24"/>
  <c r="S100" i="24" s="1"/>
  <c r="Z100" i="24" s="1"/>
  <c r="K100" i="24"/>
  <c r="R100" i="24" s="1"/>
  <c r="Y100" i="24" s="1"/>
  <c r="Q99" i="24"/>
  <c r="X99" i="24" s="1"/>
  <c r="AE99" i="24" s="1"/>
  <c r="P99" i="24"/>
  <c r="W99" i="24" s="1"/>
  <c r="AD99" i="24" s="1"/>
  <c r="O99" i="24"/>
  <c r="V99" i="24" s="1"/>
  <c r="AC99" i="24" s="1"/>
  <c r="N99" i="24"/>
  <c r="U99" i="24" s="1"/>
  <c r="AB99" i="24" s="1"/>
  <c r="M99" i="24"/>
  <c r="T99" i="24" s="1"/>
  <c r="AA99" i="24" s="1"/>
  <c r="L99" i="24"/>
  <c r="S99" i="24" s="1"/>
  <c r="Z99" i="24" s="1"/>
  <c r="K99" i="24"/>
  <c r="R99" i="24" s="1"/>
  <c r="Y99" i="24" s="1"/>
  <c r="Q98" i="24"/>
  <c r="X98" i="24" s="1"/>
  <c r="AE98" i="24" s="1"/>
  <c r="P98" i="24"/>
  <c r="W98" i="24" s="1"/>
  <c r="AD98" i="24" s="1"/>
  <c r="O98" i="24"/>
  <c r="V98" i="24" s="1"/>
  <c r="AC98" i="24" s="1"/>
  <c r="N98" i="24"/>
  <c r="U98" i="24" s="1"/>
  <c r="AB98" i="24" s="1"/>
  <c r="M98" i="24"/>
  <c r="T98" i="24" s="1"/>
  <c r="AA98" i="24" s="1"/>
  <c r="L98" i="24"/>
  <c r="S98" i="24" s="1"/>
  <c r="Z98" i="24" s="1"/>
  <c r="K98" i="24"/>
  <c r="R98" i="24" s="1"/>
  <c r="Y98" i="24" s="1"/>
  <c r="Q97" i="24"/>
  <c r="X97" i="24" s="1"/>
  <c r="AE97" i="24" s="1"/>
  <c r="P97" i="24"/>
  <c r="W97" i="24" s="1"/>
  <c r="AD97" i="24" s="1"/>
  <c r="O97" i="24"/>
  <c r="V97" i="24" s="1"/>
  <c r="AC97" i="24" s="1"/>
  <c r="N97" i="24"/>
  <c r="U97" i="24" s="1"/>
  <c r="AB97" i="24" s="1"/>
  <c r="M97" i="24"/>
  <c r="T97" i="24" s="1"/>
  <c r="AA97" i="24" s="1"/>
  <c r="L97" i="24"/>
  <c r="S97" i="24" s="1"/>
  <c r="Z97" i="24" s="1"/>
  <c r="K97" i="24"/>
  <c r="R97" i="24" s="1"/>
  <c r="Y97" i="24" s="1"/>
  <c r="Q96" i="24"/>
  <c r="X96" i="24" s="1"/>
  <c r="AE96" i="24" s="1"/>
  <c r="P96" i="24"/>
  <c r="W96" i="24" s="1"/>
  <c r="AD96" i="24" s="1"/>
  <c r="O96" i="24"/>
  <c r="V96" i="24" s="1"/>
  <c r="AC96" i="24" s="1"/>
  <c r="N96" i="24"/>
  <c r="U96" i="24" s="1"/>
  <c r="AB96" i="24" s="1"/>
  <c r="M96" i="24"/>
  <c r="T96" i="24" s="1"/>
  <c r="AA96" i="24" s="1"/>
  <c r="L96" i="24"/>
  <c r="S96" i="24" s="1"/>
  <c r="Z96" i="24" s="1"/>
  <c r="K96" i="24"/>
  <c r="R96" i="24" s="1"/>
  <c r="Y96" i="24" s="1"/>
  <c r="Q95" i="24"/>
  <c r="P95" i="24"/>
  <c r="W95" i="24" s="1"/>
  <c r="AD95" i="24" s="1"/>
  <c r="O95" i="24"/>
  <c r="V95" i="24" s="1"/>
  <c r="AC95" i="24" s="1"/>
  <c r="N95" i="24"/>
  <c r="U95" i="24" s="1"/>
  <c r="AB95" i="24" s="1"/>
  <c r="M95" i="24"/>
  <c r="T95" i="24" s="1"/>
  <c r="AA95" i="24" s="1"/>
  <c r="L95" i="24"/>
  <c r="S95" i="24" s="1"/>
  <c r="Z95" i="24" s="1"/>
  <c r="K95" i="24"/>
  <c r="R95" i="24" s="1"/>
  <c r="Y95" i="24" s="1"/>
  <c r="Q94" i="24"/>
  <c r="X94" i="24" s="1"/>
  <c r="AE94" i="24" s="1"/>
  <c r="P94" i="24"/>
  <c r="W94" i="24" s="1"/>
  <c r="AD94" i="24" s="1"/>
  <c r="O94" i="24"/>
  <c r="V94" i="24" s="1"/>
  <c r="AC94" i="24" s="1"/>
  <c r="N94" i="24"/>
  <c r="U94" i="24" s="1"/>
  <c r="AB94" i="24" s="1"/>
  <c r="M94" i="24"/>
  <c r="T94" i="24" s="1"/>
  <c r="AA94" i="24" s="1"/>
  <c r="L94" i="24"/>
  <c r="S94" i="24" s="1"/>
  <c r="Z94" i="24" s="1"/>
  <c r="K94" i="24"/>
  <c r="R94" i="24" s="1"/>
  <c r="Y94" i="24" s="1"/>
  <c r="Q93" i="24"/>
  <c r="X93" i="24" s="1"/>
  <c r="AE93" i="24" s="1"/>
  <c r="P93" i="24"/>
  <c r="W93" i="24" s="1"/>
  <c r="AD93" i="24" s="1"/>
  <c r="O93" i="24"/>
  <c r="V93" i="24" s="1"/>
  <c r="AC93" i="24" s="1"/>
  <c r="N93" i="24"/>
  <c r="U93" i="24" s="1"/>
  <c r="AB93" i="24" s="1"/>
  <c r="M93" i="24"/>
  <c r="T93" i="24" s="1"/>
  <c r="AA93" i="24" s="1"/>
  <c r="L93" i="24"/>
  <c r="S93" i="24" s="1"/>
  <c r="Z93" i="24" s="1"/>
  <c r="K93" i="24"/>
  <c r="R93" i="24" s="1"/>
  <c r="Y93" i="24" s="1"/>
  <c r="Q92" i="24"/>
  <c r="X92" i="24" s="1"/>
  <c r="AE92" i="24" s="1"/>
  <c r="P92" i="24"/>
  <c r="W92" i="24" s="1"/>
  <c r="AD92" i="24" s="1"/>
  <c r="O92" i="24"/>
  <c r="V92" i="24" s="1"/>
  <c r="AC92" i="24" s="1"/>
  <c r="N92" i="24"/>
  <c r="U92" i="24" s="1"/>
  <c r="AB92" i="24" s="1"/>
  <c r="M92" i="24"/>
  <c r="T92" i="24" s="1"/>
  <c r="AA92" i="24" s="1"/>
  <c r="L92" i="24"/>
  <c r="S92" i="24" s="1"/>
  <c r="Z92" i="24" s="1"/>
  <c r="K92" i="24"/>
  <c r="R92" i="24" s="1"/>
  <c r="Y92" i="24" s="1"/>
  <c r="Q91" i="24"/>
  <c r="X91" i="24" s="1"/>
  <c r="AE91" i="24" s="1"/>
  <c r="P91" i="24"/>
  <c r="W91" i="24" s="1"/>
  <c r="AD91" i="24" s="1"/>
  <c r="O91" i="24"/>
  <c r="V91" i="24" s="1"/>
  <c r="AC91" i="24" s="1"/>
  <c r="N91" i="24"/>
  <c r="U91" i="24" s="1"/>
  <c r="AB91" i="24" s="1"/>
  <c r="M91" i="24"/>
  <c r="T91" i="24" s="1"/>
  <c r="AA91" i="24" s="1"/>
  <c r="L91" i="24"/>
  <c r="S91" i="24" s="1"/>
  <c r="Z91" i="24" s="1"/>
  <c r="K91" i="24"/>
  <c r="R91" i="24" s="1"/>
  <c r="Y91" i="24" s="1"/>
  <c r="Q90" i="24"/>
  <c r="X90" i="24" s="1"/>
  <c r="AE90" i="24" s="1"/>
  <c r="P90" i="24"/>
  <c r="W90" i="24" s="1"/>
  <c r="AD90" i="24" s="1"/>
  <c r="O90" i="24"/>
  <c r="V90" i="24" s="1"/>
  <c r="AC90" i="24" s="1"/>
  <c r="N90" i="24"/>
  <c r="U90" i="24" s="1"/>
  <c r="AB90" i="24" s="1"/>
  <c r="M90" i="24"/>
  <c r="T90" i="24" s="1"/>
  <c r="AA90" i="24" s="1"/>
  <c r="L90" i="24"/>
  <c r="S90" i="24" s="1"/>
  <c r="Z90" i="24" s="1"/>
  <c r="K90" i="24"/>
  <c r="R90" i="24" s="1"/>
  <c r="Y90" i="24" s="1"/>
  <c r="Q89" i="24"/>
  <c r="X89" i="24" s="1"/>
  <c r="AE89" i="24" s="1"/>
  <c r="P89" i="24"/>
  <c r="W89" i="24" s="1"/>
  <c r="AD89" i="24" s="1"/>
  <c r="O89" i="24"/>
  <c r="V89" i="24" s="1"/>
  <c r="AC89" i="24" s="1"/>
  <c r="N89" i="24"/>
  <c r="U89" i="24" s="1"/>
  <c r="AB89" i="24" s="1"/>
  <c r="M89" i="24"/>
  <c r="T89" i="24" s="1"/>
  <c r="AA89" i="24" s="1"/>
  <c r="L89" i="24"/>
  <c r="S89" i="24" s="1"/>
  <c r="Z89" i="24" s="1"/>
  <c r="K89" i="24"/>
  <c r="R89" i="24" s="1"/>
  <c r="Y89" i="24" s="1"/>
  <c r="Q88" i="24"/>
  <c r="X88" i="24" s="1"/>
  <c r="AE88" i="24" s="1"/>
  <c r="P88" i="24"/>
  <c r="W88" i="24" s="1"/>
  <c r="AD88" i="24" s="1"/>
  <c r="O88" i="24"/>
  <c r="V88" i="24" s="1"/>
  <c r="AC88" i="24" s="1"/>
  <c r="N88" i="24"/>
  <c r="U88" i="24" s="1"/>
  <c r="AB88" i="24" s="1"/>
  <c r="M88" i="24"/>
  <c r="T88" i="24" s="1"/>
  <c r="AA88" i="24" s="1"/>
  <c r="L88" i="24"/>
  <c r="S88" i="24" s="1"/>
  <c r="Z88" i="24" s="1"/>
  <c r="K88" i="24"/>
  <c r="R88" i="24" s="1"/>
  <c r="Y88" i="24" s="1"/>
  <c r="Q87" i="24"/>
  <c r="X87" i="24" s="1"/>
  <c r="AE87" i="24" s="1"/>
  <c r="P87" i="24"/>
  <c r="W87" i="24" s="1"/>
  <c r="AD87" i="24" s="1"/>
  <c r="O87" i="24"/>
  <c r="V87" i="24" s="1"/>
  <c r="AC87" i="24" s="1"/>
  <c r="N87" i="24"/>
  <c r="U87" i="24" s="1"/>
  <c r="AB87" i="24" s="1"/>
  <c r="M87" i="24"/>
  <c r="T87" i="24" s="1"/>
  <c r="AA87" i="24" s="1"/>
  <c r="L87" i="24"/>
  <c r="S87" i="24" s="1"/>
  <c r="Z87" i="24" s="1"/>
  <c r="K87" i="24"/>
  <c r="R87" i="24" s="1"/>
  <c r="Y87" i="24" s="1"/>
  <c r="Q86" i="24"/>
  <c r="X86" i="24" s="1"/>
  <c r="AE86" i="24" s="1"/>
  <c r="P86" i="24"/>
  <c r="W86" i="24" s="1"/>
  <c r="AD86" i="24" s="1"/>
  <c r="O86" i="24"/>
  <c r="V86" i="24" s="1"/>
  <c r="AC86" i="24" s="1"/>
  <c r="N86" i="24"/>
  <c r="U86" i="24" s="1"/>
  <c r="AB86" i="24" s="1"/>
  <c r="M86" i="24"/>
  <c r="T86" i="24" s="1"/>
  <c r="AA86" i="24" s="1"/>
  <c r="L86" i="24"/>
  <c r="S86" i="24" s="1"/>
  <c r="Z86" i="24" s="1"/>
  <c r="K86" i="24"/>
  <c r="R86" i="24" s="1"/>
  <c r="Y86" i="24" s="1"/>
  <c r="Q85" i="24"/>
  <c r="X85" i="24" s="1"/>
  <c r="AE85" i="24" s="1"/>
  <c r="P85" i="24"/>
  <c r="W85" i="24" s="1"/>
  <c r="AD85" i="24" s="1"/>
  <c r="O85" i="24"/>
  <c r="V85" i="24" s="1"/>
  <c r="AC85" i="24" s="1"/>
  <c r="N85" i="24"/>
  <c r="U85" i="24" s="1"/>
  <c r="AB85" i="24" s="1"/>
  <c r="M85" i="24"/>
  <c r="T85" i="24" s="1"/>
  <c r="AA85" i="24" s="1"/>
  <c r="L85" i="24"/>
  <c r="S85" i="24" s="1"/>
  <c r="Z85" i="24" s="1"/>
  <c r="K85" i="24"/>
  <c r="R85" i="24" s="1"/>
  <c r="Y85" i="24" s="1"/>
  <c r="Q84" i="24"/>
  <c r="X84" i="24" s="1"/>
  <c r="AE84" i="24" s="1"/>
  <c r="P84" i="24"/>
  <c r="W84" i="24" s="1"/>
  <c r="AD84" i="24" s="1"/>
  <c r="O84" i="24"/>
  <c r="V84" i="24" s="1"/>
  <c r="AC84" i="24" s="1"/>
  <c r="N84" i="24"/>
  <c r="U84" i="24" s="1"/>
  <c r="AB84" i="24" s="1"/>
  <c r="M84" i="24"/>
  <c r="T84" i="24" s="1"/>
  <c r="AA84" i="24" s="1"/>
  <c r="L84" i="24"/>
  <c r="S84" i="24" s="1"/>
  <c r="Z84" i="24" s="1"/>
  <c r="K84" i="24"/>
  <c r="R84" i="24" s="1"/>
  <c r="Y84" i="24" s="1"/>
  <c r="Q83" i="24"/>
  <c r="X83" i="24" s="1"/>
  <c r="AE83" i="24" s="1"/>
  <c r="P83" i="24"/>
  <c r="W83" i="24" s="1"/>
  <c r="AD83" i="24" s="1"/>
  <c r="O83" i="24"/>
  <c r="V83" i="24" s="1"/>
  <c r="AC83" i="24" s="1"/>
  <c r="N83" i="24"/>
  <c r="U83" i="24" s="1"/>
  <c r="AB83" i="24" s="1"/>
  <c r="M83" i="24"/>
  <c r="T83" i="24" s="1"/>
  <c r="AA83" i="24" s="1"/>
  <c r="L83" i="24"/>
  <c r="S83" i="24" s="1"/>
  <c r="Z83" i="24" s="1"/>
  <c r="K83" i="24"/>
  <c r="R83" i="24" s="1"/>
  <c r="Y83" i="24" s="1"/>
  <c r="Q82" i="24"/>
  <c r="X82" i="24" s="1"/>
  <c r="AE82" i="24" s="1"/>
  <c r="P82" i="24"/>
  <c r="W82" i="24" s="1"/>
  <c r="AD82" i="24" s="1"/>
  <c r="O82" i="24"/>
  <c r="V82" i="24" s="1"/>
  <c r="AC82" i="24" s="1"/>
  <c r="N82" i="24"/>
  <c r="U82" i="24" s="1"/>
  <c r="AB82" i="24" s="1"/>
  <c r="M82" i="24"/>
  <c r="T82" i="24" s="1"/>
  <c r="AA82" i="24" s="1"/>
  <c r="L82" i="24"/>
  <c r="S82" i="24" s="1"/>
  <c r="Z82" i="24" s="1"/>
  <c r="K82" i="24"/>
  <c r="R82" i="24" s="1"/>
  <c r="Y82" i="24" s="1"/>
  <c r="Q81" i="24"/>
  <c r="X81" i="24" s="1"/>
  <c r="AE81" i="24" s="1"/>
  <c r="P81" i="24"/>
  <c r="W81" i="24" s="1"/>
  <c r="AD81" i="24" s="1"/>
  <c r="O81" i="24"/>
  <c r="V81" i="24" s="1"/>
  <c r="AC81" i="24" s="1"/>
  <c r="N81" i="24"/>
  <c r="U81" i="24" s="1"/>
  <c r="AB81" i="24" s="1"/>
  <c r="M81" i="24"/>
  <c r="T81" i="24" s="1"/>
  <c r="AA81" i="24" s="1"/>
  <c r="L81" i="24"/>
  <c r="S81" i="24" s="1"/>
  <c r="Z81" i="24" s="1"/>
  <c r="K81" i="24"/>
  <c r="R81" i="24" s="1"/>
  <c r="Y81" i="24" s="1"/>
  <c r="Q80" i="24"/>
  <c r="X80" i="24" s="1"/>
  <c r="AE80" i="24" s="1"/>
  <c r="P80" i="24"/>
  <c r="W80" i="24" s="1"/>
  <c r="AD80" i="24" s="1"/>
  <c r="O80" i="24"/>
  <c r="V80" i="24" s="1"/>
  <c r="AC80" i="24" s="1"/>
  <c r="N80" i="24"/>
  <c r="U80" i="24" s="1"/>
  <c r="AB80" i="24" s="1"/>
  <c r="M80" i="24"/>
  <c r="T80" i="24" s="1"/>
  <c r="AA80" i="24" s="1"/>
  <c r="L80" i="24"/>
  <c r="S80" i="24" s="1"/>
  <c r="Z80" i="24" s="1"/>
  <c r="K80" i="24"/>
  <c r="R80" i="24" s="1"/>
  <c r="Y80" i="24" s="1"/>
  <c r="Q79" i="24"/>
  <c r="X79" i="24" s="1"/>
  <c r="AE79" i="24" s="1"/>
  <c r="P79" i="24"/>
  <c r="W79" i="24" s="1"/>
  <c r="AD79" i="24" s="1"/>
  <c r="O79" i="24"/>
  <c r="V79" i="24" s="1"/>
  <c r="AC79" i="24" s="1"/>
  <c r="N79" i="24"/>
  <c r="U79" i="24" s="1"/>
  <c r="AB79" i="24" s="1"/>
  <c r="M79" i="24"/>
  <c r="T79" i="24" s="1"/>
  <c r="AA79" i="24" s="1"/>
  <c r="L79" i="24"/>
  <c r="S79" i="24" s="1"/>
  <c r="Z79" i="24" s="1"/>
  <c r="K79" i="24"/>
  <c r="R79" i="24" s="1"/>
  <c r="Y79" i="24" s="1"/>
  <c r="Q78" i="24"/>
  <c r="X78" i="24" s="1"/>
  <c r="AE78" i="24" s="1"/>
  <c r="P78" i="24"/>
  <c r="W78" i="24" s="1"/>
  <c r="AD78" i="24" s="1"/>
  <c r="O78" i="24"/>
  <c r="V78" i="24" s="1"/>
  <c r="AC78" i="24" s="1"/>
  <c r="N78" i="24"/>
  <c r="U78" i="24" s="1"/>
  <c r="AB78" i="24" s="1"/>
  <c r="M78" i="24"/>
  <c r="T78" i="24" s="1"/>
  <c r="AA78" i="24" s="1"/>
  <c r="L78" i="24"/>
  <c r="S78" i="24" s="1"/>
  <c r="Z78" i="24" s="1"/>
  <c r="K78" i="24"/>
  <c r="R78" i="24" s="1"/>
  <c r="Y78" i="24" s="1"/>
  <c r="Q77" i="24"/>
  <c r="X77" i="24" s="1"/>
  <c r="AE77" i="24" s="1"/>
  <c r="P77" i="24"/>
  <c r="W77" i="24" s="1"/>
  <c r="AD77" i="24" s="1"/>
  <c r="O77" i="24"/>
  <c r="V77" i="24" s="1"/>
  <c r="AC77" i="24" s="1"/>
  <c r="N77" i="24"/>
  <c r="U77" i="24" s="1"/>
  <c r="AB77" i="24" s="1"/>
  <c r="M77" i="24"/>
  <c r="T77" i="24" s="1"/>
  <c r="AA77" i="24" s="1"/>
  <c r="L77" i="24"/>
  <c r="S77" i="24" s="1"/>
  <c r="Z77" i="24" s="1"/>
  <c r="K77" i="24"/>
  <c r="R77" i="24" s="1"/>
  <c r="Y77" i="24" s="1"/>
  <c r="Q76" i="24"/>
  <c r="X76" i="24" s="1"/>
  <c r="AE76" i="24" s="1"/>
  <c r="P76" i="24"/>
  <c r="W76" i="24" s="1"/>
  <c r="AD76" i="24" s="1"/>
  <c r="O76" i="24"/>
  <c r="V76" i="24" s="1"/>
  <c r="AC76" i="24" s="1"/>
  <c r="N76" i="24"/>
  <c r="U76" i="24" s="1"/>
  <c r="AB76" i="24" s="1"/>
  <c r="M76" i="24"/>
  <c r="T76" i="24" s="1"/>
  <c r="AA76" i="24" s="1"/>
  <c r="L76" i="24"/>
  <c r="S76" i="24" s="1"/>
  <c r="Z76" i="24" s="1"/>
  <c r="K76" i="24"/>
  <c r="R76" i="24" s="1"/>
  <c r="Y76" i="24" s="1"/>
  <c r="Q75" i="24"/>
  <c r="X75" i="24" s="1"/>
  <c r="AE75" i="24" s="1"/>
  <c r="P75" i="24"/>
  <c r="W75" i="24" s="1"/>
  <c r="AD75" i="24" s="1"/>
  <c r="O75" i="24"/>
  <c r="V75" i="24" s="1"/>
  <c r="AC75" i="24" s="1"/>
  <c r="N75" i="24"/>
  <c r="U75" i="24" s="1"/>
  <c r="AB75" i="24" s="1"/>
  <c r="M75" i="24"/>
  <c r="L75" i="24"/>
  <c r="S75" i="24" s="1"/>
  <c r="Z75" i="24" s="1"/>
  <c r="K75" i="24"/>
  <c r="R75" i="24" s="1"/>
  <c r="Y75" i="24" s="1"/>
  <c r="Q74" i="24"/>
  <c r="X74" i="24" s="1"/>
  <c r="AE74" i="24" s="1"/>
  <c r="P74" i="24"/>
  <c r="W74" i="24" s="1"/>
  <c r="AD74" i="24" s="1"/>
  <c r="O74" i="24"/>
  <c r="V74" i="24" s="1"/>
  <c r="AC74" i="24" s="1"/>
  <c r="N74" i="24"/>
  <c r="U74" i="24" s="1"/>
  <c r="AB74" i="24" s="1"/>
  <c r="M74" i="24"/>
  <c r="T74" i="24" s="1"/>
  <c r="AA74" i="24" s="1"/>
  <c r="L74" i="24"/>
  <c r="S74" i="24" s="1"/>
  <c r="Z74" i="24" s="1"/>
  <c r="K74" i="24"/>
  <c r="R74" i="24" s="1"/>
  <c r="Y74" i="24" s="1"/>
  <c r="Q73" i="24"/>
  <c r="X73" i="24" s="1"/>
  <c r="AE73" i="24" s="1"/>
  <c r="P73" i="24"/>
  <c r="O73" i="24"/>
  <c r="V73" i="24" s="1"/>
  <c r="AC73" i="24" s="1"/>
  <c r="N73" i="24"/>
  <c r="U73" i="24" s="1"/>
  <c r="AB73" i="24" s="1"/>
  <c r="M73" i="24"/>
  <c r="T73" i="24" s="1"/>
  <c r="AA73" i="24" s="1"/>
  <c r="L73" i="24"/>
  <c r="S73" i="24" s="1"/>
  <c r="Z73" i="24" s="1"/>
  <c r="K73" i="24"/>
  <c r="R73" i="24" s="1"/>
  <c r="Y73" i="24" s="1"/>
  <c r="Q72" i="24"/>
  <c r="X72" i="24" s="1"/>
  <c r="AE72" i="24" s="1"/>
  <c r="P72" i="24"/>
  <c r="W72" i="24" s="1"/>
  <c r="AD72" i="24" s="1"/>
  <c r="O72" i="24"/>
  <c r="V72" i="24" s="1"/>
  <c r="AC72" i="24" s="1"/>
  <c r="N72" i="24"/>
  <c r="U72" i="24" s="1"/>
  <c r="AB72" i="24" s="1"/>
  <c r="M72" i="24"/>
  <c r="T72" i="24" s="1"/>
  <c r="AA72" i="24" s="1"/>
  <c r="L72" i="24"/>
  <c r="S72" i="24" s="1"/>
  <c r="Z72" i="24" s="1"/>
  <c r="K72" i="24"/>
  <c r="R72" i="24" s="1"/>
  <c r="Y72" i="24" s="1"/>
  <c r="Q71" i="24"/>
  <c r="X71" i="24" s="1"/>
  <c r="AE71" i="24" s="1"/>
  <c r="P71" i="24"/>
  <c r="W71" i="24" s="1"/>
  <c r="AD71" i="24" s="1"/>
  <c r="O71" i="24"/>
  <c r="V71" i="24" s="1"/>
  <c r="AC71" i="24" s="1"/>
  <c r="N71" i="24"/>
  <c r="U71" i="24" s="1"/>
  <c r="AB71" i="24" s="1"/>
  <c r="M71" i="24"/>
  <c r="T71" i="24" s="1"/>
  <c r="AA71" i="24" s="1"/>
  <c r="L71" i="24"/>
  <c r="S71" i="24" s="1"/>
  <c r="Z71" i="24" s="1"/>
  <c r="K71" i="24"/>
  <c r="R71" i="24" s="1"/>
  <c r="Y71" i="24" s="1"/>
  <c r="Q70" i="24"/>
  <c r="X70" i="24" s="1"/>
  <c r="AE70" i="24" s="1"/>
  <c r="P70" i="24"/>
  <c r="W70" i="24" s="1"/>
  <c r="AD70" i="24" s="1"/>
  <c r="O70" i="24"/>
  <c r="V70" i="24" s="1"/>
  <c r="AC70" i="24" s="1"/>
  <c r="N70" i="24"/>
  <c r="U70" i="24" s="1"/>
  <c r="AB70" i="24" s="1"/>
  <c r="M70" i="24"/>
  <c r="T70" i="24" s="1"/>
  <c r="AA70" i="24" s="1"/>
  <c r="L70" i="24"/>
  <c r="S70" i="24" s="1"/>
  <c r="Z70" i="24" s="1"/>
  <c r="K70" i="24"/>
  <c r="R70" i="24" s="1"/>
  <c r="Y70" i="24" s="1"/>
  <c r="Q69" i="24"/>
  <c r="X69" i="24" s="1"/>
  <c r="AE69" i="24" s="1"/>
  <c r="P69" i="24"/>
  <c r="W69" i="24" s="1"/>
  <c r="AD69" i="24" s="1"/>
  <c r="O69" i="24"/>
  <c r="V69" i="24" s="1"/>
  <c r="AC69" i="24" s="1"/>
  <c r="N69" i="24"/>
  <c r="U69" i="24" s="1"/>
  <c r="AB69" i="24" s="1"/>
  <c r="M69" i="24"/>
  <c r="T69" i="24" s="1"/>
  <c r="AA69" i="24" s="1"/>
  <c r="L69" i="24"/>
  <c r="S69" i="24" s="1"/>
  <c r="Z69" i="24" s="1"/>
  <c r="K69" i="24"/>
  <c r="R69" i="24" s="1"/>
  <c r="Y69" i="24" s="1"/>
  <c r="Q68" i="24"/>
  <c r="X68" i="24" s="1"/>
  <c r="AE68" i="24" s="1"/>
  <c r="P68" i="24"/>
  <c r="W68" i="24" s="1"/>
  <c r="AD68" i="24" s="1"/>
  <c r="O68" i="24"/>
  <c r="V68" i="24" s="1"/>
  <c r="AC68" i="24" s="1"/>
  <c r="N68" i="24"/>
  <c r="U68" i="24" s="1"/>
  <c r="AB68" i="24" s="1"/>
  <c r="M68" i="24"/>
  <c r="T68" i="24" s="1"/>
  <c r="AA68" i="24" s="1"/>
  <c r="L68" i="24"/>
  <c r="S68" i="24" s="1"/>
  <c r="Z68" i="24" s="1"/>
  <c r="K68" i="24"/>
  <c r="R68" i="24" s="1"/>
  <c r="Y68" i="24" s="1"/>
  <c r="Q67" i="24"/>
  <c r="X67" i="24" s="1"/>
  <c r="AE67" i="24" s="1"/>
  <c r="P67" i="24"/>
  <c r="W67" i="24" s="1"/>
  <c r="AD67" i="24" s="1"/>
  <c r="O67" i="24"/>
  <c r="N67" i="24"/>
  <c r="U67" i="24" s="1"/>
  <c r="AB67" i="24" s="1"/>
  <c r="M67" i="24"/>
  <c r="T67" i="24" s="1"/>
  <c r="AA67" i="24" s="1"/>
  <c r="L67" i="24"/>
  <c r="S67" i="24" s="1"/>
  <c r="Z67" i="24" s="1"/>
  <c r="K67" i="24"/>
  <c r="R67" i="24" s="1"/>
  <c r="Y67" i="24" s="1"/>
  <c r="Q66" i="24"/>
  <c r="X66" i="24" s="1"/>
  <c r="AE66" i="24" s="1"/>
  <c r="P66" i="24"/>
  <c r="O66" i="24"/>
  <c r="V66" i="24" s="1"/>
  <c r="AC66" i="24" s="1"/>
  <c r="N66" i="24"/>
  <c r="U66" i="24" s="1"/>
  <c r="AB66" i="24" s="1"/>
  <c r="M66" i="24"/>
  <c r="T66" i="24" s="1"/>
  <c r="AA66" i="24" s="1"/>
  <c r="L66" i="24"/>
  <c r="S66" i="24" s="1"/>
  <c r="Z66" i="24" s="1"/>
  <c r="K66" i="24"/>
  <c r="R66" i="24" s="1"/>
  <c r="Y66" i="24" s="1"/>
  <c r="Q65" i="24"/>
  <c r="P65" i="24"/>
  <c r="W65" i="24" s="1"/>
  <c r="AD65" i="24" s="1"/>
  <c r="O65" i="24"/>
  <c r="V65" i="24" s="1"/>
  <c r="AC65" i="24" s="1"/>
  <c r="N65" i="24"/>
  <c r="U65" i="24" s="1"/>
  <c r="AB65" i="24" s="1"/>
  <c r="M65" i="24"/>
  <c r="L65" i="24"/>
  <c r="S65" i="24" s="1"/>
  <c r="Z65" i="24" s="1"/>
  <c r="K65" i="24"/>
  <c r="R65" i="24" s="1"/>
  <c r="Y65" i="24" s="1"/>
  <c r="Q64" i="24"/>
  <c r="X64" i="24" s="1"/>
  <c r="P64" i="24"/>
  <c r="W64" i="24" s="1"/>
  <c r="AD64" i="24" s="1"/>
  <c r="O64" i="24"/>
  <c r="V64" i="24" s="1"/>
  <c r="AC64" i="24" s="1"/>
  <c r="N64" i="24"/>
  <c r="U64" i="24" s="1"/>
  <c r="AB64" i="24" s="1"/>
  <c r="M64" i="24"/>
  <c r="T64" i="24" s="1"/>
  <c r="AA64" i="24" s="1"/>
  <c r="L64" i="24"/>
  <c r="S64" i="24" s="1"/>
  <c r="Z64" i="24" s="1"/>
  <c r="K64" i="24"/>
  <c r="R64" i="24" s="1"/>
  <c r="Y64" i="24" s="1"/>
  <c r="Q63" i="24"/>
  <c r="X63" i="24" s="1"/>
  <c r="AE63" i="24" s="1"/>
  <c r="P63" i="24"/>
  <c r="W63" i="24" s="1"/>
  <c r="AD63" i="24" s="1"/>
  <c r="O63" i="24"/>
  <c r="V63" i="24" s="1"/>
  <c r="AC63" i="24" s="1"/>
  <c r="N63" i="24"/>
  <c r="U63" i="24" s="1"/>
  <c r="AB63" i="24" s="1"/>
  <c r="M63" i="24"/>
  <c r="T63" i="24" s="1"/>
  <c r="AA63" i="24" s="1"/>
  <c r="L63" i="24"/>
  <c r="S63" i="24" s="1"/>
  <c r="Z63" i="24" s="1"/>
  <c r="K63" i="24"/>
  <c r="R63" i="24" s="1"/>
  <c r="Y63" i="24" s="1"/>
  <c r="Q62" i="24"/>
  <c r="X62" i="24" s="1"/>
  <c r="AE62" i="24" s="1"/>
  <c r="P62" i="24"/>
  <c r="W62" i="24" s="1"/>
  <c r="AD62" i="24" s="1"/>
  <c r="O62" i="24"/>
  <c r="V62" i="24" s="1"/>
  <c r="AC62" i="24" s="1"/>
  <c r="N62" i="24"/>
  <c r="U62" i="24" s="1"/>
  <c r="AB62" i="24" s="1"/>
  <c r="M62" i="24"/>
  <c r="T62" i="24" s="1"/>
  <c r="AA62" i="24" s="1"/>
  <c r="L62" i="24"/>
  <c r="S62" i="24" s="1"/>
  <c r="Z62" i="24" s="1"/>
  <c r="K62" i="24"/>
  <c r="R62" i="24" s="1"/>
  <c r="Y62" i="24" s="1"/>
  <c r="Q61" i="24"/>
  <c r="X61" i="24" s="1"/>
  <c r="AE61" i="24" s="1"/>
  <c r="P61" i="24"/>
  <c r="W61" i="24" s="1"/>
  <c r="AD61" i="24" s="1"/>
  <c r="O61" i="24"/>
  <c r="V61" i="24" s="1"/>
  <c r="AC61" i="24" s="1"/>
  <c r="N61" i="24"/>
  <c r="U61" i="24" s="1"/>
  <c r="AB61" i="24" s="1"/>
  <c r="M61" i="24"/>
  <c r="T61" i="24" s="1"/>
  <c r="AA61" i="24" s="1"/>
  <c r="L61" i="24"/>
  <c r="S61" i="24" s="1"/>
  <c r="Z61" i="24" s="1"/>
  <c r="K61" i="24"/>
  <c r="R61" i="24" s="1"/>
  <c r="Y61" i="24" s="1"/>
  <c r="Q60" i="24"/>
  <c r="X60" i="24" s="1"/>
  <c r="AE60" i="24" s="1"/>
  <c r="P60" i="24"/>
  <c r="W60" i="24" s="1"/>
  <c r="AD60" i="24" s="1"/>
  <c r="O60" i="24"/>
  <c r="V60" i="24" s="1"/>
  <c r="AC60" i="24" s="1"/>
  <c r="N60" i="24"/>
  <c r="U60" i="24" s="1"/>
  <c r="AB60" i="24" s="1"/>
  <c r="M60" i="24"/>
  <c r="T60" i="24" s="1"/>
  <c r="AA60" i="24" s="1"/>
  <c r="L60" i="24"/>
  <c r="S60" i="24" s="1"/>
  <c r="Z60" i="24" s="1"/>
  <c r="K60" i="24"/>
  <c r="R60" i="24" s="1"/>
  <c r="Y60" i="24" s="1"/>
  <c r="Q59" i="24"/>
  <c r="X59" i="24" s="1"/>
  <c r="AE59" i="24" s="1"/>
  <c r="P59" i="24"/>
  <c r="W59" i="24" s="1"/>
  <c r="AD59" i="24" s="1"/>
  <c r="O59" i="24"/>
  <c r="V59" i="24" s="1"/>
  <c r="AC59" i="24" s="1"/>
  <c r="N59" i="24"/>
  <c r="U59" i="24" s="1"/>
  <c r="AB59" i="24" s="1"/>
  <c r="M59" i="24"/>
  <c r="T59" i="24" s="1"/>
  <c r="AA59" i="24" s="1"/>
  <c r="L59" i="24"/>
  <c r="S59" i="24" s="1"/>
  <c r="Z59" i="24" s="1"/>
  <c r="K59" i="24"/>
  <c r="R59" i="24" s="1"/>
  <c r="Y59" i="24" s="1"/>
  <c r="Q58" i="24"/>
  <c r="X58" i="24" s="1"/>
  <c r="AE58" i="24" s="1"/>
  <c r="P58" i="24"/>
  <c r="W58" i="24" s="1"/>
  <c r="AD58" i="24" s="1"/>
  <c r="O58" i="24"/>
  <c r="V58" i="24" s="1"/>
  <c r="AC58" i="24" s="1"/>
  <c r="N58" i="24"/>
  <c r="U58" i="24" s="1"/>
  <c r="AB58" i="24" s="1"/>
  <c r="M58" i="24"/>
  <c r="L58" i="24"/>
  <c r="S58" i="24" s="1"/>
  <c r="Z58" i="24" s="1"/>
  <c r="K58" i="24"/>
  <c r="R58" i="24" s="1"/>
  <c r="Y58" i="24" s="1"/>
  <c r="Q57" i="24"/>
  <c r="X57" i="24" s="1"/>
  <c r="AE57" i="24" s="1"/>
  <c r="P57" i="24"/>
  <c r="W57" i="24" s="1"/>
  <c r="AD57" i="24" s="1"/>
  <c r="O57" i="24"/>
  <c r="V57" i="24" s="1"/>
  <c r="AC57" i="24" s="1"/>
  <c r="N57" i="24"/>
  <c r="U57" i="24" s="1"/>
  <c r="AB57" i="24" s="1"/>
  <c r="M57" i="24"/>
  <c r="T57" i="24" s="1"/>
  <c r="AA57" i="24" s="1"/>
  <c r="L57" i="24"/>
  <c r="S57" i="24" s="1"/>
  <c r="Z57" i="24" s="1"/>
  <c r="K57" i="24"/>
  <c r="R57" i="24" s="1"/>
  <c r="Y57" i="24" s="1"/>
  <c r="Q56" i="24"/>
  <c r="X56" i="24" s="1"/>
  <c r="AE56" i="24" s="1"/>
  <c r="P56" i="24"/>
  <c r="W56" i="24" s="1"/>
  <c r="AD56" i="24" s="1"/>
  <c r="O56" i="24"/>
  <c r="V56" i="24" s="1"/>
  <c r="AC56" i="24" s="1"/>
  <c r="N56" i="24"/>
  <c r="U56" i="24" s="1"/>
  <c r="AB56" i="24" s="1"/>
  <c r="M56" i="24"/>
  <c r="T56" i="24" s="1"/>
  <c r="AA56" i="24" s="1"/>
  <c r="L56" i="24"/>
  <c r="S56" i="24" s="1"/>
  <c r="Z56" i="24" s="1"/>
  <c r="K56" i="24"/>
  <c r="R56" i="24" s="1"/>
  <c r="Y56" i="24" s="1"/>
  <c r="Q55" i="24"/>
  <c r="X55" i="24" s="1"/>
  <c r="AE55" i="24" s="1"/>
  <c r="P55" i="24"/>
  <c r="W55" i="24" s="1"/>
  <c r="AD55" i="24" s="1"/>
  <c r="O55" i="24"/>
  <c r="V55" i="24" s="1"/>
  <c r="AC55" i="24" s="1"/>
  <c r="N55" i="24"/>
  <c r="U55" i="24" s="1"/>
  <c r="AB55" i="24" s="1"/>
  <c r="M55" i="24"/>
  <c r="T55" i="24" s="1"/>
  <c r="AA55" i="24" s="1"/>
  <c r="L55" i="24"/>
  <c r="S55" i="24" s="1"/>
  <c r="Z55" i="24" s="1"/>
  <c r="K55" i="24"/>
  <c r="R55" i="24" s="1"/>
  <c r="Y55" i="24" s="1"/>
  <c r="Q54" i="24"/>
  <c r="X54" i="24" s="1"/>
  <c r="AE54" i="24" s="1"/>
  <c r="P54" i="24"/>
  <c r="W54" i="24" s="1"/>
  <c r="AD54" i="24" s="1"/>
  <c r="O54" i="24"/>
  <c r="V54" i="24" s="1"/>
  <c r="AC54" i="24" s="1"/>
  <c r="N54" i="24"/>
  <c r="U54" i="24" s="1"/>
  <c r="AB54" i="24" s="1"/>
  <c r="M54" i="24"/>
  <c r="T54" i="24" s="1"/>
  <c r="AA54" i="24" s="1"/>
  <c r="L54" i="24"/>
  <c r="S54" i="24" s="1"/>
  <c r="Z54" i="24" s="1"/>
  <c r="K54" i="24"/>
  <c r="R54" i="24" s="1"/>
  <c r="Y54" i="24" s="1"/>
  <c r="Q53" i="24"/>
  <c r="X53" i="24" s="1"/>
  <c r="AE53" i="24" s="1"/>
  <c r="P53" i="24"/>
  <c r="W53" i="24" s="1"/>
  <c r="AD53" i="24" s="1"/>
  <c r="O53" i="24"/>
  <c r="V53" i="24" s="1"/>
  <c r="AC53" i="24" s="1"/>
  <c r="N53" i="24"/>
  <c r="U53" i="24" s="1"/>
  <c r="AB53" i="24" s="1"/>
  <c r="M53" i="24"/>
  <c r="T53" i="24" s="1"/>
  <c r="AA53" i="24" s="1"/>
  <c r="L53" i="24"/>
  <c r="S53" i="24" s="1"/>
  <c r="Z53" i="24" s="1"/>
  <c r="K53" i="24"/>
  <c r="R53" i="24" s="1"/>
  <c r="Y53" i="24" s="1"/>
  <c r="Q52" i="24"/>
  <c r="X52" i="24" s="1"/>
  <c r="AE52" i="24" s="1"/>
  <c r="P52" i="24"/>
  <c r="W52" i="24" s="1"/>
  <c r="AD52" i="24" s="1"/>
  <c r="O52" i="24"/>
  <c r="V52" i="24" s="1"/>
  <c r="AC52" i="24" s="1"/>
  <c r="N52" i="24"/>
  <c r="U52" i="24" s="1"/>
  <c r="AB52" i="24" s="1"/>
  <c r="M52" i="24"/>
  <c r="T52" i="24" s="1"/>
  <c r="AA52" i="24" s="1"/>
  <c r="L52" i="24"/>
  <c r="S52" i="24" s="1"/>
  <c r="Z52" i="24" s="1"/>
  <c r="K52" i="24"/>
  <c r="R52" i="24" s="1"/>
  <c r="Y52" i="24" s="1"/>
  <c r="Q51" i="24"/>
  <c r="X51" i="24" s="1"/>
  <c r="AE51" i="24" s="1"/>
  <c r="P51" i="24"/>
  <c r="W51" i="24" s="1"/>
  <c r="AD51" i="24" s="1"/>
  <c r="O51" i="24"/>
  <c r="V51" i="24" s="1"/>
  <c r="AC51" i="24" s="1"/>
  <c r="N51" i="24"/>
  <c r="U51" i="24" s="1"/>
  <c r="AB51" i="24" s="1"/>
  <c r="M51" i="24"/>
  <c r="T51" i="24" s="1"/>
  <c r="AA51" i="24" s="1"/>
  <c r="L51" i="24"/>
  <c r="S51" i="24" s="1"/>
  <c r="Z51" i="24" s="1"/>
  <c r="K51" i="24"/>
  <c r="R51" i="24" s="1"/>
  <c r="Y51" i="24" s="1"/>
  <c r="Q50" i="24"/>
  <c r="X50" i="24" s="1"/>
  <c r="AE50" i="24" s="1"/>
  <c r="P50" i="24"/>
  <c r="W50" i="24" s="1"/>
  <c r="AD50" i="24" s="1"/>
  <c r="O50" i="24"/>
  <c r="V50" i="24" s="1"/>
  <c r="AC50" i="24" s="1"/>
  <c r="N50" i="24"/>
  <c r="U50" i="24" s="1"/>
  <c r="AB50" i="24" s="1"/>
  <c r="M50" i="24"/>
  <c r="T50" i="24" s="1"/>
  <c r="AA50" i="24" s="1"/>
  <c r="L50" i="24"/>
  <c r="S50" i="24" s="1"/>
  <c r="Z50" i="24" s="1"/>
  <c r="K50" i="24"/>
  <c r="R50" i="24" s="1"/>
  <c r="Y50" i="24" s="1"/>
  <c r="Q49" i="24"/>
  <c r="X49" i="24" s="1"/>
  <c r="AE49" i="24" s="1"/>
  <c r="P49" i="24"/>
  <c r="W49" i="24" s="1"/>
  <c r="AD49" i="24" s="1"/>
  <c r="O49" i="24"/>
  <c r="V49" i="24" s="1"/>
  <c r="AC49" i="24" s="1"/>
  <c r="N49" i="24"/>
  <c r="U49" i="24" s="1"/>
  <c r="AB49" i="24" s="1"/>
  <c r="M49" i="24"/>
  <c r="T49" i="24" s="1"/>
  <c r="AA49" i="24" s="1"/>
  <c r="L49" i="24"/>
  <c r="S49" i="24" s="1"/>
  <c r="Z49" i="24" s="1"/>
  <c r="K49" i="24"/>
  <c r="R49" i="24" s="1"/>
  <c r="Y49" i="24" s="1"/>
  <c r="Q48" i="24"/>
  <c r="X48" i="24" s="1"/>
  <c r="AE48" i="24" s="1"/>
  <c r="P48" i="24"/>
  <c r="W48" i="24" s="1"/>
  <c r="AD48" i="24" s="1"/>
  <c r="O48" i="24"/>
  <c r="V48" i="24" s="1"/>
  <c r="AC48" i="24" s="1"/>
  <c r="N48" i="24"/>
  <c r="U48" i="24" s="1"/>
  <c r="AB48" i="24" s="1"/>
  <c r="M48" i="24"/>
  <c r="T48" i="24" s="1"/>
  <c r="AA48" i="24" s="1"/>
  <c r="L48" i="24"/>
  <c r="S48" i="24" s="1"/>
  <c r="Z48" i="24" s="1"/>
  <c r="K48" i="24"/>
  <c r="R48" i="24" s="1"/>
  <c r="Y48" i="24" s="1"/>
  <c r="Q47" i="24"/>
  <c r="X47" i="24" s="1"/>
  <c r="AE47" i="24" s="1"/>
  <c r="P47" i="24"/>
  <c r="W47" i="24" s="1"/>
  <c r="AD47" i="24" s="1"/>
  <c r="O47" i="24"/>
  <c r="V47" i="24" s="1"/>
  <c r="AC47" i="24" s="1"/>
  <c r="N47" i="24"/>
  <c r="U47" i="24" s="1"/>
  <c r="AB47" i="24" s="1"/>
  <c r="M47" i="24"/>
  <c r="T47" i="24" s="1"/>
  <c r="AA47" i="24" s="1"/>
  <c r="L47" i="24"/>
  <c r="S47" i="24" s="1"/>
  <c r="Z47" i="24" s="1"/>
  <c r="K47" i="24"/>
  <c r="R47" i="24" s="1"/>
  <c r="Y47" i="24" s="1"/>
  <c r="Q46" i="24"/>
  <c r="X46" i="24" s="1"/>
  <c r="AE46" i="24" s="1"/>
  <c r="P46" i="24"/>
  <c r="W46" i="24" s="1"/>
  <c r="AD46" i="24" s="1"/>
  <c r="O46" i="24"/>
  <c r="V46" i="24" s="1"/>
  <c r="AC46" i="24" s="1"/>
  <c r="N46" i="24"/>
  <c r="U46" i="24" s="1"/>
  <c r="AB46" i="24" s="1"/>
  <c r="M46" i="24"/>
  <c r="T46" i="24" s="1"/>
  <c r="AA46" i="24" s="1"/>
  <c r="L46" i="24"/>
  <c r="S46" i="24" s="1"/>
  <c r="Z46" i="24" s="1"/>
  <c r="K46" i="24"/>
  <c r="R46" i="24" s="1"/>
  <c r="Y46" i="24" s="1"/>
  <c r="Q45" i="24"/>
  <c r="X45" i="24" s="1"/>
  <c r="AE45" i="24" s="1"/>
  <c r="P45" i="24"/>
  <c r="W45" i="24" s="1"/>
  <c r="AD45" i="24" s="1"/>
  <c r="O45" i="24"/>
  <c r="V45" i="24" s="1"/>
  <c r="AC45" i="24" s="1"/>
  <c r="N45" i="24"/>
  <c r="U45" i="24" s="1"/>
  <c r="AB45" i="24" s="1"/>
  <c r="M45" i="24"/>
  <c r="T45" i="24" s="1"/>
  <c r="AA45" i="24" s="1"/>
  <c r="L45" i="24"/>
  <c r="S45" i="24" s="1"/>
  <c r="Z45" i="24" s="1"/>
  <c r="K45" i="24"/>
  <c r="R45" i="24" s="1"/>
  <c r="Y45" i="24" s="1"/>
  <c r="Q44" i="24"/>
  <c r="X44" i="24" s="1"/>
  <c r="AE44" i="24" s="1"/>
  <c r="P44" i="24"/>
  <c r="W44" i="24" s="1"/>
  <c r="AD44" i="24" s="1"/>
  <c r="O44" i="24"/>
  <c r="V44" i="24" s="1"/>
  <c r="AC44" i="24" s="1"/>
  <c r="N44" i="24"/>
  <c r="U44" i="24" s="1"/>
  <c r="AB44" i="24" s="1"/>
  <c r="M44" i="24"/>
  <c r="T44" i="24" s="1"/>
  <c r="AA44" i="24" s="1"/>
  <c r="L44" i="24"/>
  <c r="S44" i="24" s="1"/>
  <c r="Z44" i="24" s="1"/>
  <c r="K44" i="24"/>
  <c r="R44" i="24" s="1"/>
  <c r="Y44" i="24" s="1"/>
  <c r="Q43" i="24"/>
  <c r="X43" i="24" s="1"/>
  <c r="AE43" i="24" s="1"/>
  <c r="P43" i="24"/>
  <c r="W43" i="24" s="1"/>
  <c r="AD43" i="24" s="1"/>
  <c r="O43" i="24"/>
  <c r="V43" i="24" s="1"/>
  <c r="AC43" i="24" s="1"/>
  <c r="N43" i="24"/>
  <c r="U43" i="24" s="1"/>
  <c r="AB43" i="24" s="1"/>
  <c r="M43" i="24"/>
  <c r="T43" i="24" s="1"/>
  <c r="AA43" i="24" s="1"/>
  <c r="L43" i="24"/>
  <c r="S43" i="24" s="1"/>
  <c r="Z43" i="24" s="1"/>
  <c r="K43" i="24"/>
  <c r="R43" i="24" s="1"/>
  <c r="Y43" i="24" s="1"/>
  <c r="Q42" i="24"/>
  <c r="P42" i="24"/>
  <c r="W42" i="24" s="1"/>
  <c r="AD42" i="24" s="1"/>
  <c r="O42" i="24"/>
  <c r="V42" i="24" s="1"/>
  <c r="AC42" i="24" s="1"/>
  <c r="N42" i="24"/>
  <c r="U42" i="24" s="1"/>
  <c r="AB42" i="24" s="1"/>
  <c r="M42" i="24"/>
  <c r="T42" i="24" s="1"/>
  <c r="AA42" i="24" s="1"/>
  <c r="L42" i="24"/>
  <c r="S42" i="24" s="1"/>
  <c r="Z42" i="24" s="1"/>
  <c r="K42" i="24"/>
  <c r="R42" i="24" s="1"/>
  <c r="Y42" i="24" s="1"/>
  <c r="Q41" i="24"/>
  <c r="X41" i="24" s="1"/>
  <c r="AE41" i="24" s="1"/>
  <c r="P41" i="24"/>
  <c r="W41" i="24" s="1"/>
  <c r="AD41" i="24" s="1"/>
  <c r="O41" i="24"/>
  <c r="V41" i="24" s="1"/>
  <c r="AC41" i="24" s="1"/>
  <c r="N41" i="24"/>
  <c r="U41" i="24" s="1"/>
  <c r="AB41" i="24" s="1"/>
  <c r="M41" i="24"/>
  <c r="T41" i="24" s="1"/>
  <c r="AA41" i="24" s="1"/>
  <c r="L41" i="24"/>
  <c r="S41" i="24" s="1"/>
  <c r="Z41" i="24" s="1"/>
  <c r="K41" i="24"/>
  <c r="R41" i="24" s="1"/>
  <c r="Y41" i="24" s="1"/>
  <c r="Q40" i="24"/>
  <c r="X40" i="24" s="1"/>
  <c r="AE40" i="24" s="1"/>
  <c r="P40" i="24"/>
  <c r="W40" i="24" s="1"/>
  <c r="AD40" i="24" s="1"/>
  <c r="O40" i="24"/>
  <c r="V40" i="24" s="1"/>
  <c r="AC40" i="24" s="1"/>
  <c r="N40" i="24"/>
  <c r="U40" i="24" s="1"/>
  <c r="AB40" i="24" s="1"/>
  <c r="M40" i="24"/>
  <c r="T40" i="24" s="1"/>
  <c r="AA40" i="24" s="1"/>
  <c r="L40" i="24"/>
  <c r="S40" i="24" s="1"/>
  <c r="Z40" i="24" s="1"/>
  <c r="K40" i="24"/>
  <c r="R40" i="24" s="1"/>
  <c r="Y40" i="24" s="1"/>
  <c r="Q39" i="24"/>
  <c r="X39" i="24" s="1"/>
  <c r="AE39" i="24" s="1"/>
  <c r="P39" i="24"/>
  <c r="W39" i="24" s="1"/>
  <c r="AD39" i="24" s="1"/>
  <c r="O39" i="24"/>
  <c r="V39" i="24" s="1"/>
  <c r="AC39" i="24" s="1"/>
  <c r="N39" i="24"/>
  <c r="U39" i="24" s="1"/>
  <c r="AB39" i="24" s="1"/>
  <c r="M39" i="24"/>
  <c r="T39" i="24" s="1"/>
  <c r="AA39" i="24" s="1"/>
  <c r="L39" i="24"/>
  <c r="S39" i="24" s="1"/>
  <c r="Z39" i="24" s="1"/>
  <c r="K39" i="24"/>
  <c r="R39" i="24" s="1"/>
  <c r="Y39" i="24" s="1"/>
  <c r="Q38" i="24"/>
  <c r="X38" i="24" s="1"/>
  <c r="AE38" i="24" s="1"/>
  <c r="P38" i="24"/>
  <c r="W38" i="24" s="1"/>
  <c r="AD38" i="24" s="1"/>
  <c r="O38" i="24"/>
  <c r="V38" i="24" s="1"/>
  <c r="AC38" i="24" s="1"/>
  <c r="N38" i="24"/>
  <c r="U38" i="24" s="1"/>
  <c r="AB38" i="24" s="1"/>
  <c r="M38" i="24"/>
  <c r="T38" i="24" s="1"/>
  <c r="AA38" i="24" s="1"/>
  <c r="L38" i="24"/>
  <c r="S38" i="24" s="1"/>
  <c r="Z38" i="24" s="1"/>
  <c r="K38" i="24"/>
  <c r="R38" i="24" s="1"/>
  <c r="Y38" i="24" s="1"/>
  <c r="Q37" i="24"/>
  <c r="X37" i="24" s="1"/>
  <c r="AE37" i="24" s="1"/>
  <c r="P37" i="24"/>
  <c r="W37" i="24" s="1"/>
  <c r="AD37" i="24" s="1"/>
  <c r="O37" i="24"/>
  <c r="V37" i="24" s="1"/>
  <c r="AC37" i="24" s="1"/>
  <c r="N37" i="24"/>
  <c r="U37" i="24" s="1"/>
  <c r="AB37" i="24" s="1"/>
  <c r="M37" i="24"/>
  <c r="T37" i="24" s="1"/>
  <c r="AA37" i="24" s="1"/>
  <c r="L37" i="24"/>
  <c r="S37" i="24" s="1"/>
  <c r="Z37" i="24" s="1"/>
  <c r="K37" i="24"/>
  <c r="R37" i="24" s="1"/>
  <c r="Y37" i="24" s="1"/>
  <c r="Q36" i="24"/>
  <c r="X36" i="24" s="1"/>
  <c r="AE36" i="24" s="1"/>
  <c r="P36" i="24"/>
  <c r="W36" i="24" s="1"/>
  <c r="AD36" i="24" s="1"/>
  <c r="O36" i="24"/>
  <c r="V36" i="24" s="1"/>
  <c r="AC36" i="24" s="1"/>
  <c r="N36" i="24"/>
  <c r="U36" i="24" s="1"/>
  <c r="AB36" i="24" s="1"/>
  <c r="M36" i="24"/>
  <c r="T36" i="24" s="1"/>
  <c r="AA36" i="24" s="1"/>
  <c r="L36" i="24"/>
  <c r="S36" i="24" s="1"/>
  <c r="Z36" i="24" s="1"/>
  <c r="K36" i="24"/>
  <c r="R36" i="24" s="1"/>
  <c r="Y36" i="24" s="1"/>
  <c r="Q35" i="24"/>
  <c r="X35" i="24" s="1"/>
  <c r="AE35" i="24" s="1"/>
  <c r="P35" i="24"/>
  <c r="W35" i="24" s="1"/>
  <c r="AD35" i="24" s="1"/>
  <c r="O35" i="24"/>
  <c r="V35" i="24" s="1"/>
  <c r="AC35" i="24" s="1"/>
  <c r="N35" i="24"/>
  <c r="U35" i="24" s="1"/>
  <c r="AB35" i="24" s="1"/>
  <c r="M35" i="24"/>
  <c r="T35" i="24" s="1"/>
  <c r="AA35" i="24" s="1"/>
  <c r="L35" i="24"/>
  <c r="S35" i="24" s="1"/>
  <c r="Z35" i="24" s="1"/>
  <c r="K35" i="24"/>
  <c r="R35" i="24" s="1"/>
  <c r="Y35" i="24" s="1"/>
  <c r="Q34" i="24"/>
  <c r="X34" i="24" s="1"/>
  <c r="AE34" i="24" s="1"/>
  <c r="P34" i="24"/>
  <c r="W34" i="24" s="1"/>
  <c r="AD34" i="24" s="1"/>
  <c r="O34" i="24"/>
  <c r="V34" i="24" s="1"/>
  <c r="AC34" i="24" s="1"/>
  <c r="N34" i="24"/>
  <c r="U34" i="24" s="1"/>
  <c r="AB34" i="24" s="1"/>
  <c r="M34" i="24"/>
  <c r="T34" i="24" s="1"/>
  <c r="AA34" i="24" s="1"/>
  <c r="L34" i="24"/>
  <c r="S34" i="24" s="1"/>
  <c r="Z34" i="24" s="1"/>
  <c r="K34" i="24"/>
  <c r="R34" i="24" s="1"/>
  <c r="Y34" i="24" s="1"/>
  <c r="Q33" i="24"/>
  <c r="X33" i="24" s="1"/>
  <c r="AE33" i="24" s="1"/>
  <c r="P33" i="24"/>
  <c r="W33" i="24" s="1"/>
  <c r="AD33" i="24" s="1"/>
  <c r="O33" i="24"/>
  <c r="V33" i="24" s="1"/>
  <c r="AC33" i="24" s="1"/>
  <c r="N33" i="24"/>
  <c r="U33" i="24" s="1"/>
  <c r="AB33" i="24" s="1"/>
  <c r="M33" i="24"/>
  <c r="T33" i="24" s="1"/>
  <c r="AA33" i="24" s="1"/>
  <c r="L33" i="24"/>
  <c r="S33" i="24" s="1"/>
  <c r="Z33" i="24" s="1"/>
  <c r="K33" i="24"/>
  <c r="R33" i="24" s="1"/>
  <c r="Y33" i="24" s="1"/>
  <c r="Q32" i="24"/>
  <c r="P32" i="24"/>
  <c r="W32" i="24" s="1"/>
  <c r="AD32" i="24" s="1"/>
  <c r="O32" i="24"/>
  <c r="V32" i="24" s="1"/>
  <c r="AC32" i="24" s="1"/>
  <c r="N32" i="24"/>
  <c r="U32" i="24" s="1"/>
  <c r="AB32" i="24" s="1"/>
  <c r="M32" i="24"/>
  <c r="T32" i="24" s="1"/>
  <c r="AA32" i="24" s="1"/>
  <c r="L32" i="24"/>
  <c r="S32" i="24" s="1"/>
  <c r="Z32" i="24" s="1"/>
  <c r="K32" i="24"/>
  <c r="R32" i="24" s="1"/>
  <c r="Y32" i="24" s="1"/>
  <c r="Q31" i="24"/>
  <c r="X31" i="24" s="1"/>
  <c r="AE31" i="24" s="1"/>
  <c r="P31" i="24"/>
  <c r="W31" i="24" s="1"/>
  <c r="AD31" i="24" s="1"/>
  <c r="O31" i="24"/>
  <c r="V31" i="24" s="1"/>
  <c r="AC31" i="24" s="1"/>
  <c r="N31" i="24"/>
  <c r="U31" i="24" s="1"/>
  <c r="AB31" i="24" s="1"/>
  <c r="M31" i="24"/>
  <c r="T31" i="24" s="1"/>
  <c r="AA31" i="24" s="1"/>
  <c r="L31" i="24"/>
  <c r="S31" i="24" s="1"/>
  <c r="Z31" i="24" s="1"/>
  <c r="K31" i="24"/>
  <c r="R31" i="24" s="1"/>
  <c r="Y31" i="24" s="1"/>
  <c r="Q30" i="24"/>
  <c r="X30" i="24" s="1"/>
  <c r="AE30" i="24" s="1"/>
  <c r="P30" i="24"/>
  <c r="W30" i="24" s="1"/>
  <c r="AD30" i="24" s="1"/>
  <c r="O30" i="24"/>
  <c r="V30" i="24" s="1"/>
  <c r="AC30" i="24" s="1"/>
  <c r="N30" i="24"/>
  <c r="U30" i="24" s="1"/>
  <c r="AB30" i="24" s="1"/>
  <c r="M30" i="24"/>
  <c r="T30" i="24" s="1"/>
  <c r="AA30" i="24" s="1"/>
  <c r="L30" i="24"/>
  <c r="S30" i="24" s="1"/>
  <c r="Z30" i="24" s="1"/>
  <c r="K30" i="24"/>
  <c r="R30" i="24" s="1"/>
  <c r="Y30" i="24" s="1"/>
  <c r="Q29" i="24"/>
  <c r="X29" i="24" s="1"/>
  <c r="AE29" i="24" s="1"/>
  <c r="P29" i="24"/>
  <c r="W29" i="24" s="1"/>
  <c r="AD29" i="24" s="1"/>
  <c r="O29" i="24"/>
  <c r="V29" i="24" s="1"/>
  <c r="AC29" i="24" s="1"/>
  <c r="N29" i="24"/>
  <c r="U29" i="24" s="1"/>
  <c r="AB29" i="24" s="1"/>
  <c r="M29" i="24"/>
  <c r="T29" i="24" s="1"/>
  <c r="AA29" i="24" s="1"/>
  <c r="L29" i="24"/>
  <c r="S29" i="24" s="1"/>
  <c r="Z29" i="24" s="1"/>
  <c r="K29" i="24"/>
  <c r="R29" i="24" s="1"/>
  <c r="Y29" i="24" s="1"/>
  <c r="Q28" i="24"/>
  <c r="X28" i="24" s="1"/>
  <c r="AE28" i="24" s="1"/>
  <c r="P28" i="24"/>
  <c r="W28" i="24" s="1"/>
  <c r="AD28" i="24" s="1"/>
  <c r="O28" i="24"/>
  <c r="V28" i="24" s="1"/>
  <c r="AC28" i="24" s="1"/>
  <c r="N28" i="24"/>
  <c r="U28" i="24" s="1"/>
  <c r="AB28" i="24" s="1"/>
  <c r="M28" i="24"/>
  <c r="T28" i="24" s="1"/>
  <c r="AA28" i="24" s="1"/>
  <c r="L28" i="24"/>
  <c r="S28" i="24" s="1"/>
  <c r="Z28" i="24" s="1"/>
  <c r="K28" i="24"/>
  <c r="R28" i="24" s="1"/>
  <c r="Y28" i="24" s="1"/>
  <c r="Q27" i="24"/>
  <c r="X27" i="24" s="1"/>
  <c r="AE27" i="24" s="1"/>
  <c r="P27" i="24"/>
  <c r="W27" i="24" s="1"/>
  <c r="AD27" i="24" s="1"/>
  <c r="O27" i="24"/>
  <c r="V27" i="24" s="1"/>
  <c r="AC27" i="24" s="1"/>
  <c r="N27" i="24"/>
  <c r="U27" i="24" s="1"/>
  <c r="AB27" i="24" s="1"/>
  <c r="M27" i="24"/>
  <c r="T27" i="24" s="1"/>
  <c r="AA27" i="24" s="1"/>
  <c r="L27" i="24"/>
  <c r="S27" i="24" s="1"/>
  <c r="Z27" i="24" s="1"/>
  <c r="K27" i="24"/>
  <c r="R27" i="24" s="1"/>
  <c r="Y27" i="24" s="1"/>
  <c r="Q26" i="24"/>
  <c r="P26" i="24"/>
  <c r="W26" i="24" s="1"/>
  <c r="AD26" i="24" s="1"/>
  <c r="O26" i="24"/>
  <c r="V26" i="24" s="1"/>
  <c r="AC26" i="24" s="1"/>
  <c r="N26" i="24"/>
  <c r="U26" i="24" s="1"/>
  <c r="AB26" i="24" s="1"/>
  <c r="M26" i="24"/>
  <c r="L26" i="24"/>
  <c r="K26" i="24"/>
  <c r="R26" i="24" s="1"/>
  <c r="Y26" i="24" s="1"/>
  <c r="Q25" i="24"/>
  <c r="X25" i="24" s="1"/>
  <c r="AE25" i="24" s="1"/>
  <c r="P25" i="24"/>
  <c r="W25" i="24" s="1"/>
  <c r="AD25" i="24" s="1"/>
  <c r="O25" i="24"/>
  <c r="V25" i="24" s="1"/>
  <c r="AC25" i="24" s="1"/>
  <c r="N25" i="24"/>
  <c r="U25" i="24" s="1"/>
  <c r="AB25" i="24" s="1"/>
  <c r="M25" i="24"/>
  <c r="T25" i="24" s="1"/>
  <c r="AA25" i="24" s="1"/>
  <c r="L25" i="24"/>
  <c r="S25" i="24" s="1"/>
  <c r="Z25" i="24" s="1"/>
  <c r="K25" i="24"/>
  <c r="Q24" i="24"/>
  <c r="X24" i="24" s="1"/>
  <c r="AE24" i="24" s="1"/>
  <c r="P24" i="24"/>
  <c r="W24" i="24" s="1"/>
  <c r="AD24" i="24" s="1"/>
  <c r="O24" i="24"/>
  <c r="V24" i="24" s="1"/>
  <c r="AC24" i="24" s="1"/>
  <c r="N24" i="24"/>
  <c r="U24" i="24" s="1"/>
  <c r="AB24" i="24" s="1"/>
  <c r="M24" i="24"/>
  <c r="T24" i="24" s="1"/>
  <c r="AA24" i="24" s="1"/>
  <c r="L24" i="24"/>
  <c r="K24" i="24"/>
  <c r="R24" i="24" s="1"/>
  <c r="Y24" i="24" s="1"/>
  <c r="Q23" i="24"/>
  <c r="X23" i="24" s="1"/>
  <c r="AE23" i="24" s="1"/>
  <c r="P23" i="24"/>
  <c r="W23" i="24" s="1"/>
  <c r="AD23" i="24" s="1"/>
  <c r="O23" i="24"/>
  <c r="V23" i="24" s="1"/>
  <c r="AC23" i="24" s="1"/>
  <c r="N23" i="24"/>
  <c r="U23" i="24" s="1"/>
  <c r="AB23" i="24" s="1"/>
  <c r="M23" i="24"/>
  <c r="T23" i="24" s="1"/>
  <c r="AA23" i="24" s="1"/>
  <c r="L23" i="24"/>
  <c r="S23" i="24" s="1"/>
  <c r="Z23" i="24" s="1"/>
  <c r="K23" i="24"/>
  <c r="Q22" i="24"/>
  <c r="X22" i="24" s="1"/>
  <c r="AE22" i="24" s="1"/>
  <c r="P22" i="24"/>
  <c r="W22" i="24" s="1"/>
  <c r="AD22" i="24" s="1"/>
  <c r="O22" i="24"/>
  <c r="V22" i="24" s="1"/>
  <c r="AC22" i="24" s="1"/>
  <c r="N22" i="24"/>
  <c r="U22" i="24" s="1"/>
  <c r="AB22" i="24" s="1"/>
  <c r="M22" i="24"/>
  <c r="T22" i="24" s="1"/>
  <c r="AA22" i="24" s="1"/>
  <c r="L22" i="24"/>
  <c r="S22" i="24" s="1"/>
  <c r="Z22" i="24" s="1"/>
  <c r="K22" i="24"/>
  <c r="R22" i="24" s="1"/>
  <c r="Y22" i="24" s="1"/>
  <c r="Q21" i="24"/>
  <c r="X21" i="24" s="1"/>
  <c r="AE21" i="24" s="1"/>
  <c r="P21" i="24"/>
  <c r="W21" i="24" s="1"/>
  <c r="AD21" i="24" s="1"/>
  <c r="O21" i="24"/>
  <c r="V21" i="24" s="1"/>
  <c r="AC21" i="24" s="1"/>
  <c r="N21" i="24"/>
  <c r="U21" i="24" s="1"/>
  <c r="AB21" i="24" s="1"/>
  <c r="M21" i="24"/>
  <c r="T21" i="24" s="1"/>
  <c r="AA21" i="24" s="1"/>
  <c r="L21" i="24"/>
  <c r="S21" i="24" s="1"/>
  <c r="Z21" i="24" s="1"/>
  <c r="K21" i="24"/>
  <c r="R21" i="24" s="1"/>
  <c r="Y21" i="24" s="1"/>
  <c r="Q20" i="24"/>
  <c r="X20" i="24" s="1"/>
  <c r="AE20" i="24" s="1"/>
  <c r="P20" i="24"/>
  <c r="W20" i="24" s="1"/>
  <c r="AD20" i="24" s="1"/>
  <c r="O20" i="24"/>
  <c r="V20" i="24" s="1"/>
  <c r="AC20" i="24" s="1"/>
  <c r="N20" i="24"/>
  <c r="U20" i="24" s="1"/>
  <c r="AB20" i="24" s="1"/>
  <c r="M20" i="24"/>
  <c r="T20" i="24" s="1"/>
  <c r="AA20" i="24" s="1"/>
  <c r="L20" i="24"/>
  <c r="K20" i="24"/>
  <c r="R20" i="24" s="1"/>
  <c r="Y20" i="24" s="1"/>
  <c r="Q19" i="24"/>
  <c r="X19" i="24" s="1"/>
  <c r="AE19" i="24" s="1"/>
  <c r="P19" i="24"/>
  <c r="W19" i="24" s="1"/>
  <c r="AD19" i="24" s="1"/>
  <c r="O19" i="24"/>
  <c r="V19" i="24" s="1"/>
  <c r="AC19" i="24" s="1"/>
  <c r="N19" i="24"/>
  <c r="U19" i="24" s="1"/>
  <c r="AB19" i="24" s="1"/>
  <c r="M19" i="24"/>
  <c r="T19" i="24" s="1"/>
  <c r="AA19" i="24" s="1"/>
  <c r="L19" i="24"/>
  <c r="K19" i="24"/>
  <c r="R19" i="24" s="1"/>
  <c r="Y19" i="24" s="1"/>
  <c r="Q18" i="24"/>
  <c r="X18" i="24" s="1"/>
  <c r="AE18" i="24" s="1"/>
  <c r="P18" i="24"/>
  <c r="W18" i="24" s="1"/>
  <c r="AD18" i="24" s="1"/>
  <c r="O18" i="24"/>
  <c r="V18" i="24" s="1"/>
  <c r="AC18" i="24" s="1"/>
  <c r="N18" i="24"/>
  <c r="U18" i="24" s="1"/>
  <c r="AB18" i="24" s="1"/>
  <c r="M18" i="24"/>
  <c r="T18" i="24" s="1"/>
  <c r="AA18" i="24" s="1"/>
  <c r="L18" i="24"/>
  <c r="S18" i="24" s="1"/>
  <c r="Z18" i="24" s="1"/>
  <c r="K18" i="24"/>
  <c r="R18" i="24" s="1"/>
  <c r="Y18" i="24" s="1"/>
  <c r="Q17" i="24"/>
  <c r="X17" i="24" s="1"/>
  <c r="AE17" i="24" s="1"/>
  <c r="P17" i="24"/>
  <c r="W17" i="24" s="1"/>
  <c r="AD17" i="24" s="1"/>
  <c r="O17" i="24"/>
  <c r="V17" i="24" s="1"/>
  <c r="AC17" i="24" s="1"/>
  <c r="N17" i="24"/>
  <c r="U17" i="24" s="1"/>
  <c r="AB17" i="24" s="1"/>
  <c r="M17" i="24"/>
  <c r="T17" i="24" s="1"/>
  <c r="AA17" i="24" s="1"/>
  <c r="L17" i="24"/>
  <c r="S17" i="24" s="1"/>
  <c r="Z17" i="24" s="1"/>
  <c r="K17" i="24"/>
  <c r="R17" i="24" s="1"/>
  <c r="Y17" i="24" s="1"/>
  <c r="Q16" i="24"/>
  <c r="X16" i="24" s="1"/>
  <c r="AE16" i="24" s="1"/>
  <c r="P16" i="24"/>
  <c r="W16" i="24" s="1"/>
  <c r="AD16" i="24" s="1"/>
  <c r="O16" i="24"/>
  <c r="V16" i="24" s="1"/>
  <c r="AC16" i="24" s="1"/>
  <c r="N16" i="24"/>
  <c r="U16" i="24" s="1"/>
  <c r="AB16" i="24" s="1"/>
  <c r="M16" i="24"/>
  <c r="T16" i="24" s="1"/>
  <c r="AA16" i="24" s="1"/>
  <c r="L16" i="24"/>
  <c r="S16" i="24" s="1"/>
  <c r="Z16" i="24" s="1"/>
  <c r="K16" i="24"/>
  <c r="R16" i="24" s="1"/>
  <c r="Y16" i="24" s="1"/>
  <c r="Q15" i="24"/>
  <c r="P15" i="24"/>
  <c r="W15" i="24" s="1"/>
  <c r="AD15" i="24" s="1"/>
  <c r="O15" i="24"/>
  <c r="V15" i="24" s="1"/>
  <c r="AC15" i="24" s="1"/>
  <c r="N15" i="24"/>
  <c r="U15" i="24" s="1"/>
  <c r="AB15" i="24" s="1"/>
  <c r="M15" i="24"/>
  <c r="L15" i="24"/>
  <c r="K15" i="24"/>
  <c r="R15" i="24" s="1"/>
  <c r="Y15" i="24" s="1"/>
  <c r="Q14" i="24"/>
  <c r="X14" i="24" s="1"/>
  <c r="AE14" i="24" s="1"/>
  <c r="P14" i="24"/>
  <c r="W14" i="24" s="1"/>
  <c r="AD14" i="24" s="1"/>
  <c r="O14" i="24"/>
  <c r="V14" i="24" s="1"/>
  <c r="AC14" i="24" s="1"/>
  <c r="N14" i="24"/>
  <c r="U14" i="24" s="1"/>
  <c r="AB14" i="24" s="1"/>
  <c r="M14" i="24"/>
  <c r="T14" i="24" s="1"/>
  <c r="AA14" i="24" s="1"/>
  <c r="L14" i="24"/>
  <c r="S14" i="24" s="1"/>
  <c r="Z14" i="24" s="1"/>
  <c r="K14" i="24"/>
  <c r="R14" i="24" s="1"/>
  <c r="Y14" i="24" s="1"/>
  <c r="Q13" i="24"/>
  <c r="X13" i="24" s="1"/>
  <c r="AE13" i="24" s="1"/>
  <c r="P13" i="24"/>
  <c r="W13" i="24" s="1"/>
  <c r="AD13" i="24" s="1"/>
  <c r="O13" i="24"/>
  <c r="V13" i="24" s="1"/>
  <c r="AC13" i="24" s="1"/>
  <c r="N13" i="24"/>
  <c r="U13" i="24" s="1"/>
  <c r="AB13" i="24" s="1"/>
  <c r="M13" i="24"/>
  <c r="T13" i="24" s="1"/>
  <c r="AA13" i="24" s="1"/>
  <c r="L13" i="24"/>
  <c r="S13" i="24" s="1"/>
  <c r="Z13" i="24" s="1"/>
  <c r="K13" i="24"/>
  <c r="R13" i="24" s="1"/>
  <c r="Y13" i="24" s="1"/>
  <c r="Q12" i="24"/>
  <c r="X12" i="24" s="1"/>
  <c r="AE12" i="24" s="1"/>
  <c r="P12" i="24"/>
  <c r="W12" i="24" s="1"/>
  <c r="AD12" i="24" s="1"/>
  <c r="O12" i="24"/>
  <c r="V12" i="24" s="1"/>
  <c r="AC12" i="24" s="1"/>
  <c r="N12" i="24"/>
  <c r="U12" i="24" s="1"/>
  <c r="AB12" i="24" s="1"/>
  <c r="M12" i="24"/>
  <c r="T12" i="24" s="1"/>
  <c r="AA12" i="24" s="1"/>
  <c r="L12" i="24"/>
  <c r="S12" i="24" s="1"/>
  <c r="Z12" i="24" s="1"/>
  <c r="K12" i="24"/>
  <c r="R12" i="24" s="1"/>
  <c r="Y12" i="24" s="1"/>
  <c r="Q11" i="24"/>
  <c r="X11" i="24" s="1"/>
  <c r="AE11" i="24" s="1"/>
  <c r="P11" i="24"/>
  <c r="W11" i="24" s="1"/>
  <c r="AD11" i="24" s="1"/>
  <c r="O11" i="24"/>
  <c r="V11" i="24" s="1"/>
  <c r="AC11" i="24" s="1"/>
  <c r="N11" i="24"/>
  <c r="U11" i="24" s="1"/>
  <c r="AB11" i="24" s="1"/>
  <c r="M11" i="24"/>
  <c r="T11" i="24" s="1"/>
  <c r="AA11" i="24" s="1"/>
  <c r="L11" i="24"/>
  <c r="S11" i="24" s="1"/>
  <c r="Z11" i="24" s="1"/>
  <c r="K11" i="24"/>
  <c r="R11" i="24" s="1"/>
  <c r="Y11" i="24" s="1"/>
  <c r="Q10" i="24"/>
  <c r="X10" i="24" s="1"/>
  <c r="AE10" i="24" s="1"/>
  <c r="P10" i="24"/>
  <c r="W10" i="24" s="1"/>
  <c r="AD10" i="24" s="1"/>
  <c r="O10" i="24"/>
  <c r="V10" i="24" s="1"/>
  <c r="AC10" i="24" s="1"/>
  <c r="N10" i="24"/>
  <c r="U10" i="24" s="1"/>
  <c r="AB10" i="24" s="1"/>
  <c r="M10" i="24"/>
  <c r="T10" i="24" s="1"/>
  <c r="AA10" i="24" s="1"/>
  <c r="L10" i="24"/>
  <c r="S10" i="24" s="1"/>
  <c r="Z10" i="24" s="1"/>
  <c r="K10" i="24"/>
  <c r="R10" i="24" s="1"/>
  <c r="Y10" i="24" s="1"/>
  <c r="Q9" i="24"/>
  <c r="X9" i="24" s="1"/>
  <c r="AE9" i="24" s="1"/>
  <c r="P9" i="24"/>
  <c r="W9" i="24" s="1"/>
  <c r="AD9" i="24" s="1"/>
  <c r="O9" i="24"/>
  <c r="V9" i="24" s="1"/>
  <c r="AC9" i="24" s="1"/>
  <c r="N9" i="24"/>
  <c r="U9" i="24" s="1"/>
  <c r="AB9" i="24" s="1"/>
  <c r="M9" i="24"/>
  <c r="T9" i="24" s="1"/>
  <c r="AA9" i="24" s="1"/>
  <c r="L9" i="24"/>
  <c r="S9" i="24" s="1"/>
  <c r="Z9" i="24" s="1"/>
  <c r="K9" i="24"/>
  <c r="R9" i="24" s="1"/>
  <c r="Y9" i="24" s="1"/>
  <c r="Q8" i="24"/>
  <c r="X8" i="24" s="1"/>
  <c r="AE8" i="24" s="1"/>
  <c r="P8" i="24"/>
  <c r="W8" i="24" s="1"/>
  <c r="AD8" i="24" s="1"/>
  <c r="O8" i="24"/>
  <c r="V8" i="24" s="1"/>
  <c r="AC8" i="24" s="1"/>
  <c r="N8" i="24"/>
  <c r="U8" i="24" s="1"/>
  <c r="AB8" i="24" s="1"/>
  <c r="M8" i="24"/>
  <c r="T8" i="24" s="1"/>
  <c r="AA8" i="24" s="1"/>
  <c r="L8" i="24"/>
  <c r="S8" i="24" s="1"/>
  <c r="Z8" i="24" s="1"/>
  <c r="K8" i="24"/>
  <c r="R8" i="24" s="1"/>
  <c r="Y8" i="24" s="1"/>
  <c r="Q7" i="24"/>
  <c r="X7" i="24" s="1"/>
  <c r="AE7" i="24" s="1"/>
  <c r="P7" i="24"/>
  <c r="W7" i="24" s="1"/>
  <c r="AD7" i="24" s="1"/>
  <c r="O7" i="24"/>
  <c r="V7" i="24" s="1"/>
  <c r="AC7" i="24" s="1"/>
  <c r="N7" i="24"/>
  <c r="U7" i="24" s="1"/>
  <c r="AB7" i="24" s="1"/>
  <c r="M7" i="24"/>
  <c r="T7" i="24" s="1"/>
  <c r="AA7" i="24" s="1"/>
  <c r="L7" i="24"/>
  <c r="S7" i="24" s="1"/>
  <c r="Z7" i="24" s="1"/>
  <c r="K7" i="24"/>
  <c r="R7" i="24" s="1"/>
  <c r="Y7" i="24" s="1"/>
  <c r="Q6" i="24"/>
  <c r="X6" i="24" s="1"/>
  <c r="AE6" i="24" s="1"/>
  <c r="P6" i="24"/>
  <c r="W6" i="24" s="1"/>
  <c r="AD6" i="24" s="1"/>
  <c r="O6" i="24"/>
  <c r="V6" i="24" s="1"/>
  <c r="AC6" i="24" s="1"/>
  <c r="N6" i="24"/>
  <c r="U6" i="24" s="1"/>
  <c r="AB6" i="24" s="1"/>
  <c r="M6" i="24"/>
  <c r="T6" i="24" s="1"/>
  <c r="AA6" i="24" s="1"/>
  <c r="L6" i="24"/>
  <c r="S6" i="24" s="1"/>
  <c r="Z6" i="24" s="1"/>
  <c r="K6" i="24"/>
  <c r="R6" i="24" s="1"/>
  <c r="Y6" i="24" s="1"/>
  <c r="Q5" i="24"/>
  <c r="X5" i="24" s="1"/>
  <c r="AE5" i="24" s="1"/>
  <c r="P5" i="24"/>
  <c r="W5" i="24" s="1"/>
  <c r="AD5" i="24" s="1"/>
  <c r="O5" i="24"/>
  <c r="V5" i="24" s="1"/>
  <c r="AC5" i="24" s="1"/>
  <c r="N5" i="24"/>
  <c r="U5" i="24" s="1"/>
  <c r="AB5" i="24" s="1"/>
  <c r="M5" i="24"/>
  <c r="T5" i="24" s="1"/>
  <c r="AA5" i="24" s="1"/>
  <c r="L5" i="24"/>
  <c r="S5" i="24" s="1"/>
  <c r="Z5" i="24" s="1"/>
  <c r="K5" i="24"/>
  <c r="R5" i="24" s="1"/>
  <c r="Y5" i="24" s="1"/>
  <c r="Q4" i="24"/>
  <c r="P4" i="24"/>
  <c r="W4" i="24" s="1"/>
  <c r="AD4" i="24" s="1"/>
  <c r="O4" i="24"/>
  <c r="V4" i="24" s="1"/>
  <c r="AC4" i="24" s="1"/>
  <c r="N4" i="24"/>
  <c r="U4" i="24" s="1"/>
  <c r="AB4" i="24" s="1"/>
  <c r="M4" i="24"/>
  <c r="T4" i="24" s="1"/>
  <c r="AA4" i="24" s="1"/>
  <c r="L4" i="24"/>
  <c r="S4" i="24" s="1"/>
  <c r="Z4" i="24" s="1"/>
  <c r="K4" i="24"/>
  <c r="R4" i="24" s="1"/>
  <c r="Y4" i="24" s="1"/>
  <c r="Q103" i="23"/>
  <c r="X103" i="23" s="1"/>
  <c r="AE103" i="23" s="1"/>
  <c r="P103" i="23"/>
  <c r="W103" i="23" s="1"/>
  <c r="AD103" i="23" s="1"/>
  <c r="O103" i="23"/>
  <c r="V103" i="23" s="1"/>
  <c r="AC103" i="23" s="1"/>
  <c r="N103" i="23"/>
  <c r="U103" i="23" s="1"/>
  <c r="AB103" i="23" s="1"/>
  <c r="M103" i="23"/>
  <c r="T103" i="23" s="1"/>
  <c r="AA103" i="23" s="1"/>
  <c r="L103" i="23"/>
  <c r="S103" i="23" s="1"/>
  <c r="Z103" i="23" s="1"/>
  <c r="K103" i="23"/>
  <c r="R103" i="23" s="1"/>
  <c r="Y103" i="23" s="1"/>
  <c r="Q102" i="23"/>
  <c r="X102" i="23" s="1"/>
  <c r="AE102" i="23" s="1"/>
  <c r="P102" i="23"/>
  <c r="W102" i="23" s="1"/>
  <c r="AD102" i="23" s="1"/>
  <c r="O102" i="23"/>
  <c r="V102" i="23" s="1"/>
  <c r="AC102" i="23" s="1"/>
  <c r="N102" i="23"/>
  <c r="U102" i="23" s="1"/>
  <c r="AB102" i="23" s="1"/>
  <c r="M102" i="23"/>
  <c r="T102" i="23" s="1"/>
  <c r="AA102" i="23" s="1"/>
  <c r="L102" i="23"/>
  <c r="S102" i="23" s="1"/>
  <c r="Z102" i="23" s="1"/>
  <c r="K102" i="23"/>
  <c r="R102" i="23" s="1"/>
  <c r="Y102" i="23" s="1"/>
  <c r="Q101" i="23"/>
  <c r="X101" i="23" s="1"/>
  <c r="AE101" i="23" s="1"/>
  <c r="P101" i="23"/>
  <c r="W101" i="23" s="1"/>
  <c r="AD101" i="23" s="1"/>
  <c r="O101" i="23"/>
  <c r="V101" i="23" s="1"/>
  <c r="AC101" i="23" s="1"/>
  <c r="N101" i="23"/>
  <c r="U101" i="23" s="1"/>
  <c r="AB101" i="23" s="1"/>
  <c r="M101" i="23"/>
  <c r="T101" i="23" s="1"/>
  <c r="AA101" i="23" s="1"/>
  <c r="L101" i="23"/>
  <c r="S101" i="23" s="1"/>
  <c r="Z101" i="23" s="1"/>
  <c r="K101" i="23"/>
  <c r="R101" i="23" s="1"/>
  <c r="Y101" i="23" s="1"/>
  <c r="Q100" i="23"/>
  <c r="X100" i="23" s="1"/>
  <c r="AE100" i="23" s="1"/>
  <c r="P100" i="23"/>
  <c r="W100" i="23" s="1"/>
  <c r="AD100" i="23" s="1"/>
  <c r="O100" i="23"/>
  <c r="V100" i="23" s="1"/>
  <c r="AC100" i="23" s="1"/>
  <c r="N100" i="23"/>
  <c r="U100" i="23" s="1"/>
  <c r="AB100" i="23" s="1"/>
  <c r="M100" i="23"/>
  <c r="T100" i="23" s="1"/>
  <c r="AA100" i="23" s="1"/>
  <c r="L100" i="23"/>
  <c r="S100" i="23" s="1"/>
  <c r="Z100" i="23" s="1"/>
  <c r="K100" i="23"/>
  <c r="R100" i="23" s="1"/>
  <c r="Y100" i="23" s="1"/>
  <c r="Q99" i="23"/>
  <c r="X99" i="23" s="1"/>
  <c r="AE99" i="23" s="1"/>
  <c r="P99" i="23"/>
  <c r="W99" i="23" s="1"/>
  <c r="AD99" i="23" s="1"/>
  <c r="O99" i="23"/>
  <c r="V99" i="23" s="1"/>
  <c r="AC99" i="23" s="1"/>
  <c r="N99" i="23"/>
  <c r="U99" i="23" s="1"/>
  <c r="AB99" i="23" s="1"/>
  <c r="M99" i="23"/>
  <c r="T99" i="23" s="1"/>
  <c r="AA99" i="23" s="1"/>
  <c r="L99" i="23"/>
  <c r="S99" i="23" s="1"/>
  <c r="Z99" i="23" s="1"/>
  <c r="K99" i="23"/>
  <c r="R99" i="23" s="1"/>
  <c r="Y99" i="23" s="1"/>
  <c r="Q98" i="23"/>
  <c r="X98" i="23" s="1"/>
  <c r="AE98" i="23" s="1"/>
  <c r="P98" i="23"/>
  <c r="W98" i="23" s="1"/>
  <c r="AD98" i="23" s="1"/>
  <c r="O98" i="23"/>
  <c r="V98" i="23" s="1"/>
  <c r="AC98" i="23" s="1"/>
  <c r="N98" i="23"/>
  <c r="U98" i="23" s="1"/>
  <c r="AB98" i="23" s="1"/>
  <c r="M98" i="23"/>
  <c r="T98" i="23" s="1"/>
  <c r="AA98" i="23" s="1"/>
  <c r="L98" i="23"/>
  <c r="S98" i="23" s="1"/>
  <c r="Z98" i="23" s="1"/>
  <c r="K98" i="23"/>
  <c r="R98" i="23" s="1"/>
  <c r="Y98" i="23" s="1"/>
  <c r="Q97" i="23"/>
  <c r="X97" i="23" s="1"/>
  <c r="AE97" i="23" s="1"/>
  <c r="P97" i="23"/>
  <c r="O97" i="23"/>
  <c r="V97" i="23" s="1"/>
  <c r="AC97" i="23" s="1"/>
  <c r="N97" i="23"/>
  <c r="U97" i="23" s="1"/>
  <c r="AB97" i="23" s="1"/>
  <c r="M97" i="23"/>
  <c r="T97" i="23" s="1"/>
  <c r="AA97" i="23" s="1"/>
  <c r="L97" i="23"/>
  <c r="K97" i="23"/>
  <c r="R97" i="23" s="1"/>
  <c r="Y97" i="23" s="1"/>
  <c r="Q96" i="23"/>
  <c r="X96" i="23" s="1"/>
  <c r="AE96" i="23" s="1"/>
  <c r="P96" i="23"/>
  <c r="W96" i="23" s="1"/>
  <c r="AD96" i="23" s="1"/>
  <c r="O96" i="23"/>
  <c r="V96" i="23" s="1"/>
  <c r="AC96" i="23" s="1"/>
  <c r="N96" i="23"/>
  <c r="U96" i="23" s="1"/>
  <c r="AB96" i="23" s="1"/>
  <c r="M96" i="23"/>
  <c r="T96" i="23" s="1"/>
  <c r="AA96" i="23" s="1"/>
  <c r="L96" i="23"/>
  <c r="K96" i="23"/>
  <c r="R96" i="23" s="1"/>
  <c r="Y96" i="23" s="1"/>
  <c r="Q95" i="23"/>
  <c r="X95" i="23" s="1"/>
  <c r="AE95" i="23" s="1"/>
  <c r="P95" i="23"/>
  <c r="W95" i="23" s="1"/>
  <c r="AD95" i="23" s="1"/>
  <c r="O95" i="23"/>
  <c r="V95" i="23" s="1"/>
  <c r="AC95" i="23" s="1"/>
  <c r="N95" i="23"/>
  <c r="U95" i="23" s="1"/>
  <c r="AB95" i="23" s="1"/>
  <c r="M95" i="23"/>
  <c r="T95" i="23" s="1"/>
  <c r="AA95" i="23" s="1"/>
  <c r="L95" i="23"/>
  <c r="S95" i="23" s="1"/>
  <c r="Z95" i="23" s="1"/>
  <c r="K95" i="23"/>
  <c r="R95" i="23" s="1"/>
  <c r="Y95" i="23" s="1"/>
  <c r="Q94" i="23"/>
  <c r="X94" i="23" s="1"/>
  <c r="AE94" i="23" s="1"/>
  <c r="P94" i="23"/>
  <c r="W94" i="23" s="1"/>
  <c r="AD94" i="23" s="1"/>
  <c r="O94" i="23"/>
  <c r="V94" i="23" s="1"/>
  <c r="AC94" i="23" s="1"/>
  <c r="N94" i="23"/>
  <c r="U94" i="23" s="1"/>
  <c r="AB94" i="23" s="1"/>
  <c r="M94" i="23"/>
  <c r="T94" i="23" s="1"/>
  <c r="AA94" i="23" s="1"/>
  <c r="L94" i="23"/>
  <c r="S94" i="23" s="1"/>
  <c r="Z94" i="23" s="1"/>
  <c r="K94" i="23"/>
  <c r="R94" i="23" s="1"/>
  <c r="Y94" i="23" s="1"/>
  <c r="Q93" i="23"/>
  <c r="X93" i="23" s="1"/>
  <c r="AE93" i="23" s="1"/>
  <c r="P93" i="23"/>
  <c r="W93" i="23" s="1"/>
  <c r="AD93" i="23" s="1"/>
  <c r="O93" i="23"/>
  <c r="V93" i="23" s="1"/>
  <c r="AC93" i="23" s="1"/>
  <c r="N93" i="23"/>
  <c r="U93" i="23" s="1"/>
  <c r="AB93" i="23" s="1"/>
  <c r="M93" i="23"/>
  <c r="T93" i="23" s="1"/>
  <c r="AA93" i="23" s="1"/>
  <c r="L93" i="23"/>
  <c r="S93" i="23" s="1"/>
  <c r="Z93" i="23" s="1"/>
  <c r="K93" i="23"/>
  <c r="R93" i="23" s="1"/>
  <c r="Y93" i="23" s="1"/>
  <c r="Q92" i="23"/>
  <c r="X92" i="23" s="1"/>
  <c r="AE92" i="23" s="1"/>
  <c r="P92" i="23"/>
  <c r="W92" i="23" s="1"/>
  <c r="AD92" i="23" s="1"/>
  <c r="O92" i="23"/>
  <c r="V92" i="23" s="1"/>
  <c r="AC92" i="23" s="1"/>
  <c r="N92" i="23"/>
  <c r="U92" i="23" s="1"/>
  <c r="AB92" i="23" s="1"/>
  <c r="M92" i="23"/>
  <c r="T92" i="23" s="1"/>
  <c r="AA92" i="23" s="1"/>
  <c r="L92" i="23"/>
  <c r="S92" i="23" s="1"/>
  <c r="Z92" i="23" s="1"/>
  <c r="K92" i="23"/>
  <c r="R92" i="23" s="1"/>
  <c r="Y92" i="23" s="1"/>
  <c r="Q91" i="23"/>
  <c r="X91" i="23" s="1"/>
  <c r="AE91" i="23" s="1"/>
  <c r="P91" i="23"/>
  <c r="W91" i="23" s="1"/>
  <c r="AD91" i="23" s="1"/>
  <c r="O91" i="23"/>
  <c r="V91" i="23" s="1"/>
  <c r="AC91" i="23" s="1"/>
  <c r="N91" i="23"/>
  <c r="U91" i="23" s="1"/>
  <c r="AB91" i="23" s="1"/>
  <c r="M91" i="23"/>
  <c r="T91" i="23" s="1"/>
  <c r="AA91" i="23" s="1"/>
  <c r="L91" i="23"/>
  <c r="S91" i="23" s="1"/>
  <c r="Z91" i="23" s="1"/>
  <c r="K91" i="23"/>
  <c r="R91" i="23" s="1"/>
  <c r="Y91" i="23" s="1"/>
  <c r="Q90" i="23"/>
  <c r="X90" i="23" s="1"/>
  <c r="AE90" i="23" s="1"/>
  <c r="P90" i="23"/>
  <c r="W90" i="23" s="1"/>
  <c r="AD90" i="23" s="1"/>
  <c r="O90" i="23"/>
  <c r="V90" i="23" s="1"/>
  <c r="AC90" i="23" s="1"/>
  <c r="N90" i="23"/>
  <c r="U90" i="23" s="1"/>
  <c r="AB90" i="23" s="1"/>
  <c r="M90" i="23"/>
  <c r="T90" i="23" s="1"/>
  <c r="AA90" i="23" s="1"/>
  <c r="L90" i="23"/>
  <c r="S90" i="23" s="1"/>
  <c r="Z90" i="23" s="1"/>
  <c r="K90" i="23"/>
  <c r="R90" i="23" s="1"/>
  <c r="Y90" i="23" s="1"/>
  <c r="Q89" i="23"/>
  <c r="X89" i="23" s="1"/>
  <c r="AE89" i="23" s="1"/>
  <c r="P89" i="23"/>
  <c r="W89" i="23" s="1"/>
  <c r="AD89" i="23" s="1"/>
  <c r="O89" i="23"/>
  <c r="V89" i="23" s="1"/>
  <c r="AC89" i="23" s="1"/>
  <c r="N89" i="23"/>
  <c r="U89" i="23" s="1"/>
  <c r="AB89" i="23" s="1"/>
  <c r="M89" i="23"/>
  <c r="T89" i="23" s="1"/>
  <c r="AA89" i="23" s="1"/>
  <c r="L89" i="23"/>
  <c r="S89" i="23" s="1"/>
  <c r="Z89" i="23" s="1"/>
  <c r="K89" i="23"/>
  <c r="R89" i="23" s="1"/>
  <c r="Y89" i="23" s="1"/>
  <c r="Q88" i="23"/>
  <c r="X88" i="23" s="1"/>
  <c r="AE88" i="23" s="1"/>
  <c r="P88" i="23"/>
  <c r="W88" i="23" s="1"/>
  <c r="AD88" i="23" s="1"/>
  <c r="O88" i="23"/>
  <c r="V88" i="23" s="1"/>
  <c r="AC88" i="23" s="1"/>
  <c r="N88" i="23"/>
  <c r="U88" i="23" s="1"/>
  <c r="AB88" i="23" s="1"/>
  <c r="M88" i="23"/>
  <c r="L88" i="23"/>
  <c r="K88" i="23"/>
  <c r="R88" i="23" s="1"/>
  <c r="Y88" i="23" s="1"/>
  <c r="Q87" i="23"/>
  <c r="X87" i="23" s="1"/>
  <c r="AE87" i="23" s="1"/>
  <c r="P87" i="23"/>
  <c r="W87" i="23" s="1"/>
  <c r="AD87" i="23" s="1"/>
  <c r="O87" i="23"/>
  <c r="V87" i="23" s="1"/>
  <c r="AC87" i="23" s="1"/>
  <c r="N87" i="23"/>
  <c r="U87" i="23" s="1"/>
  <c r="AB87" i="23" s="1"/>
  <c r="M87" i="23"/>
  <c r="T87" i="23" s="1"/>
  <c r="AA87" i="23" s="1"/>
  <c r="L87" i="23"/>
  <c r="S87" i="23" s="1"/>
  <c r="Z87" i="23" s="1"/>
  <c r="K87" i="23"/>
  <c r="R87" i="23" s="1"/>
  <c r="Y87" i="23" s="1"/>
  <c r="Q86" i="23"/>
  <c r="X86" i="23" s="1"/>
  <c r="AE86" i="23" s="1"/>
  <c r="P86" i="23"/>
  <c r="W86" i="23" s="1"/>
  <c r="AD86" i="23" s="1"/>
  <c r="O86" i="23"/>
  <c r="V86" i="23" s="1"/>
  <c r="AC86" i="23" s="1"/>
  <c r="N86" i="23"/>
  <c r="U86" i="23" s="1"/>
  <c r="AB86" i="23" s="1"/>
  <c r="M86" i="23"/>
  <c r="T86" i="23" s="1"/>
  <c r="AA86" i="23" s="1"/>
  <c r="L86" i="23"/>
  <c r="S86" i="23" s="1"/>
  <c r="Z86" i="23" s="1"/>
  <c r="K86" i="23"/>
  <c r="R86" i="23" s="1"/>
  <c r="Y86" i="23" s="1"/>
  <c r="Q85" i="23"/>
  <c r="X85" i="23" s="1"/>
  <c r="AE85" i="23" s="1"/>
  <c r="P85" i="23"/>
  <c r="W85" i="23" s="1"/>
  <c r="AD85" i="23" s="1"/>
  <c r="O85" i="23"/>
  <c r="V85" i="23" s="1"/>
  <c r="AC85" i="23" s="1"/>
  <c r="N85" i="23"/>
  <c r="U85" i="23" s="1"/>
  <c r="AB85" i="23" s="1"/>
  <c r="M85" i="23"/>
  <c r="T85" i="23" s="1"/>
  <c r="AA85" i="23" s="1"/>
  <c r="L85" i="23"/>
  <c r="S85" i="23" s="1"/>
  <c r="Z85" i="23" s="1"/>
  <c r="K85" i="23"/>
  <c r="R85" i="23" s="1"/>
  <c r="Y85" i="23" s="1"/>
  <c r="Q84" i="23"/>
  <c r="X84" i="23" s="1"/>
  <c r="AE84" i="23" s="1"/>
  <c r="P84" i="23"/>
  <c r="W84" i="23" s="1"/>
  <c r="AD84" i="23" s="1"/>
  <c r="O84" i="23"/>
  <c r="V84" i="23" s="1"/>
  <c r="AC84" i="23" s="1"/>
  <c r="N84" i="23"/>
  <c r="U84" i="23" s="1"/>
  <c r="AB84" i="23" s="1"/>
  <c r="M84" i="23"/>
  <c r="T84" i="23" s="1"/>
  <c r="AA84" i="23" s="1"/>
  <c r="L84" i="23"/>
  <c r="S84" i="23" s="1"/>
  <c r="Z84" i="23" s="1"/>
  <c r="K84" i="23"/>
  <c r="R84" i="23" s="1"/>
  <c r="Y84" i="23" s="1"/>
  <c r="Q83" i="23"/>
  <c r="X83" i="23" s="1"/>
  <c r="AE83" i="23" s="1"/>
  <c r="P83" i="23"/>
  <c r="W83" i="23" s="1"/>
  <c r="AD83" i="23" s="1"/>
  <c r="O83" i="23"/>
  <c r="V83" i="23" s="1"/>
  <c r="AC83" i="23" s="1"/>
  <c r="N83" i="23"/>
  <c r="U83" i="23" s="1"/>
  <c r="AB83" i="23" s="1"/>
  <c r="M83" i="23"/>
  <c r="T83" i="23" s="1"/>
  <c r="AA83" i="23" s="1"/>
  <c r="L83" i="23"/>
  <c r="S83" i="23" s="1"/>
  <c r="Z83" i="23" s="1"/>
  <c r="K83" i="23"/>
  <c r="R83" i="23" s="1"/>
  <c r="Y83" i="23" s="1"/>
  <c r="Q82" i="23"/>
  <c r="X82" i="23" s="1"/>
  <c r="AE82" i="23" s="1"/>
  <c r="P82" i="23"/>
  <c r="W82" i="23" s="1"/>
  <c r="AD82" i="23" s="1"/>
  <c r="O82" i="23"/>
  <c r="V82" i="23" s="1"/>
  <c r="AC82" i="23" s="1"/>
  <c r="N82" i="23"/>
  <c r="U82" i="23" s="1"/>
  <c r="AB82" i="23" s="1"/>
  <c r="M82" i="23"/>
  <c r="T82" i="23" s="1"/>
  <c r="AA82" i="23" s="1"/>
  <c r="L82" i="23"/>
  <c r="S82" i="23" s="1"/>
  <c r="Z82" i="23" s="1"/>
  <c r="K82" i="23"/>
  <c r="R82" i="23" s="1"/>
  <c r="Y82" i="23" s="1"/>
  <c r="Q81" i="23"/>
  <c r="X81" i="23" s="1"/>
  <c r="AE81" i="23" s="1"/>
  <c r="P81" i="23"/>
  <c r="W81" i="23" s="1"/>
  <c r="AD81" i="23" s="1"/>
  <c r="O81" i="23"/>
  <c r="V81" i="23" s="1"/>
  <c r="AC81" i="23" s="1"/>
  <c r="N81" i="23"/>
  <c r="U81" i="23" s="1"/>
  <c r="AB81" i="23" s="1"/>
  <c r="M81" i="23"/>
  <c r="T81" i="23" s="1"/>
  <c r="AA81" i="23" s="1"/>
  <c r="L81" i="23"/>
  <c r="S81" i="23" s="1"/>
  <c r="Z81" i="23" s="1"/>
  <c r="K81" i="23"/>
  <c r="R81" i="23" s="1"/>
  <c r="Y81" i="23" s="1"/>
  <c r="Q80" i="23"/>
  <c r="X80" i="23" s="1"/>
  <c r="AE80" i="23" s="1"/>
  <c r="P80" i="23"/>
  <c r="W80" i="23" s="1"/>
  <c r="AD80" i="23" s="1"/>
  <c r="O80" i="23"/>
  <c r="V80" i="23" s="1"/>
  <c r="AC80" i="23" s="1"/>
  <c r="N80" i="23"/>
  <c r="U80" i="23" s="1"/>
  <c r="AB80" i="23" s="1"/>
  <c r="M80" i="23"/>
  <c r="T80" i="23" s="1"/>
  <c r="AA80" i="23" s="1"/>
  <c r="L80" i="23"/>
  <c r="K80" i="23"/>
  <c r="R80" i="23" s="1"/>
  <c r="Y80" i="23" s="1"/>
  <c r="Q79" i="23"/>
  <c r="P79" i="23"/>
  <c r="W79" i="23" s="1"/>
  <c r="AD79" i="23" s="1"/>
  <c r="O79" i="23"/>
  <c r="V79" i="23" s="1"/>
  <c r="AC79" i="23" s="1"/>
  <c r="N79" i="23"/>
  <c r="U79" i="23" s="1"/>
  <c r="AB79" i="23" s="1"/>
  <c r="M79" i="23"/>
  <c r="T79" i="23" s="1"/>
  <c r="AA79" i="23" s="1"/>
  <c r="L79" i="23"/>
  <c r="S79" i="23" s="1"/>
  <c r="Z79" i="23" s="1"/>
  <c r="K79" i="23"/>
  <c r="R79" i="23" s="1"/>
  <c r="Y79" i="23" s="1"/>
  <c r="Q78" i="23"/>
  <c r="X78" i="23" s="1"/>
  <c r="AE78" i="23" s="1"/>
  <c r="P78" i="23"/>
  <c r="W78" i="23" s="1"/>
  <c r="AD78" i="23" s="1"/>
  <c r="O78" i="23"/>
  <c r="V78" i="23" s="1"/>
  <c r="AC78" i="23" s="1"/>
  <c r="N78" i="23"/>
  <c r="U78" i="23" s="1"/>
  <c r="AB78" i="23" s="1"/>
  <c r="M78" i="23"/>
  <c r="T78" i="23" s="1"/>
  <c r="AA78" i="23" s="1"/>
  <c r="L78" i="23"/>
  <c r="S78" i="23" s="1"/>
  <c r="Z78" i="23" s="1"/>
  <c r="K78" i="23"/>
  <c r="R78" i="23" s="1"/>
  <c r="Y78" i="23" s="1"/>
  <c r="Q77" i="23"/>
  <c r="X77" i="23" s="1"/>
  <c r="AE77" i="23" s="1"/>
  <c r="P77" i="23"/>
  <c r="W77" i="23" s="1"/>
  <c r="AD77" i="23" s="1"/>
  <c r="O77" i="23"/>
  <c r="V77" i="23" s="1"/>
  <c r="AC77" i="23" s="1"/>
  <c r="N77" i="23"/>
  <c r="U77" i="23" s="1"/>
  <c r="AB77" i="23" s="1"/>
  <c r="M77" i="23"/>
  <c r="T77" i="23" s="1"/>
  <c r="AA77" i="23" s="1"/>
  <c r="L77" i="23"/>
  <c r="S77" i="23" s="1"/>
  <c r="Z77" i="23" s="1"/>
  <c r="K77" i="23"/>
  <c r="R77" i="23" s="1"/>
  <c r="Y77" i="23" s="1"/>
  <c r="Q76" i="23"/>
  <c r="X76" i="23" s="1"/>
  <c r="AE76" i="23" s="1"/>
  <c r="P76" i="23"/>
  <c r="W76" i="23" s="1"/>
  <c r="AD76" i="23" s="1"/>
  <c r="O76" i="23"/>
  <c r="V76" i="23" s="1"/>
  <c r="AC76" i="23" s="1"/>
  <c r="N76" i="23"/>
  <c r="U76" i="23" s="1"/>
  <c r="AB76" i="23" s="1"/>
  <c r="M76" i="23"/>
  <c r="T76" i="23" s="1"/>
  <c r="AA76" i="23" s="1"/>
  <c r="L76" i="23"/>
  <c r="S76" i="23" s="1"/>
  <c r="Z76" i="23" s="1"/>
  <c r="K76" i="23"/>
  <c r="R76" i="23" s="1"/>
  <c r="Y76" i="23" s="1"/>
  <c r="Q75" i="23"/>
  <c r="X75" i="23" s="1"/>
  <c r="AE75" i="23" s="1"/>
  <c r="P75" i="23"/>
  <c r="W75" i="23" s="1"/>
  <c r="AD75" i="23" s="1"/>
  <c r="O75" i="23"/>
  <c r="V75" i="23" s="1"/>
  <c r="AC75" i="23" s="1"/>
  <c r="N75" i="23"/>
  <c r="U75" i="23" s="1"/>
  <c r="AB75" i="23" s="1"/>
  <c r="M75" i="23"/>
  <c r="T75" i="23" s="1"/>
  <c r="AA75" i="23" s="1"/>
  <c r="L75" i="23"/>
  <c r="S75" i="23" s="1"/>
  <c r="Z75" i="23" s="1"/>
  <c r="K75" i="23"/>
  <c r="R75" i="23" s="1"/>
  <c r="Y75" i="23" s="1"/>
  <c r="Q74" i="23"/>
  <c r="X74" i="23" s="1"/>
  <c r="AE74" i="23" s="1"/>
  <c r="P74" i="23"/>
  <c r="W74" i="23" s="1"/>
  <c r="AD74" i="23" s="1"/>
  <c r="O74" i="23"/>
  <c r="V74" i="23" s="1"/>
  <c r="AC74" i="23" s="1"/>
  <c r="N74" i="23"/>
  <c r="U74" i="23" s="1"/>
  <c r="AB74" i="23" s="1"/>
  <c r="M74" i="23"/>
  <c r="T74" i="23" s="1"/>
  <c r="AA74" i="23" s="1"/>
  <c r="L74" i="23"/>
  <c r="S74" i="23" s="1"/>
  <c r="Z74" i="23" s="1"/>
  <c r="K74" i="23"/>
  <c r="R74" i="23" s="1"/>
  <c r="Y74" i="23" s="1"/>
  <c r="Q73" i="23"/>
  <c r="X73" i="23" s="1"/>
  <c r="AE73" i="23" s="1"/>
  <c r="P73" i="23"/>
  <c r="W73" i="23" s="1"/>
  <c r="AD73" i="23" s="1"/>
  <c r="O73" i="23"/>
  <c r="V73" i="23" s="1"/>
  <c r="AC73" i="23" s="1"/>
  <c r="N73" i="23"/>
  <c r="U73" i="23" s="1"/>
  <c r="AB73" i="23" s="1"/>
  <c r="M73" i="23"/>
  <c r="T73" i="23" s="1"/>
  <c r="AA73" i="23" s="1"/>
  <c r="L73" i="23"/>
  <c r="S73" i="23" s="1"/>
  <c r="Z73" i="23" s="1"/>
  <c r="K73" i="23"/>
  <c r="R73" i="23" s="1"/>
  <c r="Y73" i="23" s="1"/>
  <c r="Q72" i="23"/>
  <c r="X72" i="23" s="1"/>
  <c r="AE72" i="23" s="1"/>
  <c r="P72" i="23"/>
  <c r="W72" i="23" s="1"/>
  <c r="AD72" i="23" s="1"/>
  <c r="O72" i="23"/>
  <c r="V72" i="23" s="1"/>
  <c r="AC72" i="23" s="1"/>
  <c r="N72" i="23"/>
  <c r="U72" i="23" s="1"/>
  <c r="AB72" i="23" s="1"/>
  <c r="M72" i="23"/>
  <c r="T72" i="23" s="1"/>
  <c r="AA72" i="23" s="1"/>
  <c r="L72" i="23"/>
  <c r="S72" i="23" s="1"/>
  <c r="Z72" i="23" s="1"/>
  <c r="K72" i="23"/>
  <c r="R72" i="23" s="1"/>
  <c r="Y72" i="23" s="1"/>
  <c r="Q71" i="23"/>
  <c r="X71" i="23" s="1"/>
  <c r="AE71" i="23" s="1"/>
  <c r="P71" i="23"/>
  <c r="W71" i="23" s="1"/>
  <c r="AD71" i="23" s="1"/>
  <c r="O71" i="23"/>
  <c r="V71" i="23" s="1"/>
  <c r="AC71" i="23" s="1"/>
  <c r="N71" i="23"/>
  <c r="U71" i="23" s="1"/>
  <c r="AB71" i="23" s="1"/>
  <c r="M71" i="23"/>
  <c r="T71" i="23" s="1"/>
  <c r="AA71" i="23" s="1"/>
  <c r="L71" i="23"/>
  <c r="S71" i="23" s="1"/>
  <c r="Z71" i="23" s="1"/>
  <c r="K71" i="23"/>
  <c r="R71" i="23" s="1"/>
  <c r="Y71" i="23" s="1"/>
  <c r="Q70" i="23"/>
  <c r="X70" i="23" s="1"/>
  <c r="AE70" i="23" s="1"/>
  <c r="P70" i="23"/>
  <c r="W70" i="23" s="1"/>
  <c r="AD70" i="23" s="1"/>
  <c r="O70" i="23"/>
  <c r="V70" i="23" s="1"/>
  <c r="AC70" i="23" s="1"/>
  <c r="N70" i="23"/>
  <c r="U70" i="23" s="1"/>
  <c r="AB70" i="23" s="1"/>
  <c r="M70" i="23"/>
  <c r="T70" i="23" s="1"/>
  <c r="AA70" i="23" s="1"/>
  <c r="L70" i="23"/>
  <c r="S70" i="23" s="1"/>
  <c r="Z70" i="23" s="1"/>
  <c r="K70" i="23"/>
  <c r="R70" i="23" s="1"/>
  <c r="Y70" i="23" s="1"/>
  <c r="Q69" i="23"/>
  <c r="X69" i="23" s="1"/>
  <c r="AE69" i="23" s="1"/>
  <c r="P69" i="23"/>
  <c r="W69" i="23" s="1"/>
  <c r="AD69" i="23" s="1"/>
  <c r="O69" i="23"/>
  <c r="V69" i="23" s="1"/>
  <c r="AC69" i="23" s="1"/>
  <c r="N69" i="23"/>
  <c r="U69" i="23" s="1"/>
  <c r="AB69" i="23" s="1"/>
  <c r="M69" i="23"/>
  <c r="T69" i="23" s="1"/>
  <c r="AA69" i="23" s="1"/>
  <c r="L69" i="23"/>
  <c r="S69" i="23" s="1"/>
  <c r="Z69" i="23" s="1"/>
  <c r="K69" i="23"/>
  <c r="R69" i="23" s="1"/>
  <c r="Y69" i="23" s="1"/>
  <c r="Q68" i="23"/>
  <c r="X68" i="23" s="1"/>
  <c r="AE68" i="23" s="1"/>
  <c r="P68" i="23"/>
  <c r="W68" i="23" s="1"/>
  <c r="AD68" i="23" s="1"/>
  <c r="O68" i="23"/>
  <c r="V68" i="23" s="1"/>
  <c r="AC68" i="23" s="1"/>
  <c r="N68" i="23"/>
  <c r="U68" i="23" s="1"/>
  <c r="AB68" i="23" s="1"/>
  <c r="M68" i="23"/>
  <c r="T68" i="23" s="1"/>
  <c r="AA68" i="23" s="1"/>
  <c r="L68" i="23"/>
  <c r="K68" i="23"/>
  <c r="R68" i="23" s="1"/>
  <c r="Y68" i="23" s="1"/>
  <c r="Q67" i="23"/>
  <c r="X67" i="23" s="1"/>
  <c r="AE67" i="23" s="1"/>
  <c r="P67" i="23"/>
  <c r="W67" i="23" s="1"/>
  <c r="AD67" i="23" s="1"/>
  <c r="O67" i="23"/>
  <c r="V67" i="23" s="1"/>
  <c r="AC67" i="23" s="1"/>
  <c r="N67" i="23"/>
  <c r="U67" i="23" s="1"/>
  <c r="AB67" i="23" s="1"/>
  <c r="M67" i="23"/>
  <c r="T67" i="23" s="1"/>
  <c r="AA67" i="23" s="1"/>
  <c r="L67" i="23"/>
  <c r="S67" i="23" s="1"/>
  <c r="Z67" i="23" s="1"/>
  <c r="K67" i="23"/>
  <c r="R67" i="23" s="1"/>
  <c r="Y67" i="23" s="1"/>
  <c r="Q66" i="23"/>
  <c r="X66" i="23" s="1"/>
  <c r="AE66" i="23" s="1"/>
  <c r="P66" i="23"/>
  <c r="W66" i="23" s="1"/>
  <c r="AD66" i="23" s="1"/>
  <c r="O66" i="23"/>
  <c r="V66" i="23" s="1"/>
  <c r="AC66" i="23" s="1"/>
  <c r="N66" i="23"/>
  <c r="U66" i="23" s="1"/>
  <c r="AB66" i="23" s="1"/>
  <c r="M66" i="23"/>
  <c r="T66" i="23" s="1"/>
  <c r="AA66" i="23" s="1"/>
  <c r="L66" i="23"/>
  <c r="S66" i="23" s="1"/>
  <c r="Z66" i="23" s="1"/>
  <c r="K66" i="23"/>
  <c r="R66" i="23" s="1"/>
  <c r="Y66" i="23" s="1"/>
  <c r="Q65" i="23"/>
  <c r="X65" i="23" s="1"/>
  <c r="AE65" i="23" s="1"/>
  <c r="P65" i="23"/>
  <c r="W65" i="23" s="1"/>
  <c r="AD65" i="23" s="1"/>
  <c r="O65" i="23"/>
  <c r="V65" i="23" s="1"/>
  <c r="AC65" i="23" s="1"/>
  <c r="N65" i="23"/>
  <c r="U65" i="23" s="1"/>
  <c r="AB65" i="23" s="1"/>
  <c r="M65" i="23"/>
  <c r="T65" i="23" s="1"/>
  <c r="AA65" i="23" s="1"/>
  <c r="L65" i="23"/>
  <c r="S65" i="23" s="1"/>
  <c r="Z65" i="23" s="1"/>
  <c r="K65" i="23"/>
  <c r="R65" i="23" s="1"/>
  <c r="Y65" i="23" s="1"/>
  <c r="Q64" i="23"/>
  <c r="X64" i="23" s="1"/>
  <c r="AE64" i="23" s="1"/>
  <c r="P64" i="23"/>
  <c r="W64" i="23" s="1"/>
  <c r="AD64" i="23" s="1"/>
  <c r="O64" i="23"/>
  <c r="V64" i="23" s="1"/>
  <c r="AC64" i="23" s="1"/>
  <c r="N64" i="23"/>
  <c r="U64" i="23" s="1"/>
  <c r="AB64" i="23" s="1"/>
  <c r="M64" i="23"/>
  <c r="T64" i="23" s="1"/>
  <c r="AA64" i="23" s="1"/>
  <c r="L64" i="23"/>
  <c r="S64" i="23" s="1"/>
  <c r="Z64" i="23" s="1"/>
  <c r="K64" i="23"/>
  <c r="R64" i="23" s="1"/>
  <c r="Y64" i="23" s="1"/>
  <c r="Q63" i="23"/>
  <c r="X63" i="23" s="1"/>
  <c r="AE63" i="23" s="1"/>
  <c r="P63" i="23"/>
  <c r="W63" i="23" s="1"/>
  <c r="AD63" i="23" s="1"/>
  <c r="O63" i="23"/>
  <c r="V63" i="23" s="1"/>
  <c r="AC63" i="23" s="1"/>
  <c r="N63" i="23"/>
  <c r="U63" i="23" s="1"/>
  <c r="AB63" i="23" s="1"/>
  <c r="M63" i="23"/>
  <c r="T63" i="23" s="1"/>
  <c r="AA63" i="23" s="1"/>
  <c r="L63" i="23"/>
  <c r="S63" i="23" s="1"/>
  <c r="Z63" i="23" s="1"/>
  <c r="K63" i="23"/>
  <c r="R63" i="23" s="1"/>
  <c r="Y63" i="23" s="1"/>
  <c r="Q62" i="23"/>
  <c r="X62" i="23" s="1"/>
  <c r="AE62" i="23" s="1"/>
  <c r="P62" i="23"/>
  <c r="W62" i="23" s="1"/>
  <c r="AD62" i="23" s="1"/>
  <c r="O62" i="23"/>
  <c r="V62" i="23" s="1"/>
  <c r="AC62" i="23" s="1"/>
  <c r="N62" i="23"/>
  <c r="U62" i="23" s="1"/>
  <c r="AB62" i="23" s="1"/>
  <c r="M62" i="23"/>
  <c r="T62" i="23" s="1"/>
  <c r="AA62" i="23" s="1"/>
  <c r="L62" i="23"/>
  <c r="S62" i="23" s="1"/>
  <c r="Z62" i="23" s="1"/>
  <c r="K62" i="23"/>
  <c r="R62" i="23" s="1"/>
  <c r="Y62" i="23" s="1"/>
  <c r="Q61" i="23"/>
  <c r="X61" i="23" s="1"/>
  <c r="AE61" i="23" s="1"/>
  <c r="P61" i="23"/>
  <c r="W61" i="23" s="1"/>
  <c r="AD61" i="23" s="1"/>
  <c r="O61" i="23"/>
  <c r="V61" i="23" s="1"/>
  <c r="AC61" i="23" s="1"/>
  <c r="N61" i="23"/>
  <c r="U61" i="23" s="1"/>
  <c r="AB61" i="23" s="1"/>
  <c r="M61" i="23"/>
  <c r="T61" i="23" s="1"/>
  <c r="AA61" i="23" s="1"/>
  <c r="L61" i="23"/>
  <c r="S61" i="23" s="1"/>
  <c r="Z61" i="23" s="1"/>
  <c r="K61" i="23"/>
  <c r="R61" i="23" s="1"/>
  <c r="Y61" i="23" s="1"/>
  <c r="Q60" i="23"/>
  <c r="X60" i="23" s="1"/>
  <c r="AE60" i="23" s="1"/>
  <c r="P60" i="23"/>
  <c r="W60" i="23" s="1"/>
  <c r="AD60" i="23" s="1"/>
  <c r="O60" i="23"/>
  <c r="V60" i="23" s="1"/>
  <c r="AC60" i="23" s="1"/>
  <c r="N60" i="23"/>
  <c r="U60" i="23" s="1"/>
  <c r="AB60" i="23" s="1"/>
  <c r="M60" i="23"/>
  <c r="T60" i="23" s="1"/>
  <c r="AA60" i="23" s="1"/>
  <c r="L60" i="23"/>
  <c r="S60" i="23" s="1"/>
  <c r="Z60" i="23" s="1"/>
  <c r="K60" i="23"/>
  <c r="R60" i="23" s="1"/>
  <c r="Y60" i="23" s="1"/>
  <c r="Q59" i="23"/>
  <c r="X59" i="23" s="1"/>
  <c r="AE59" i="23" s="1"/>
  <c r="P59" i="23"/>
  <c r="W59" i="23" s="1"/>
  <c r="AD59" i="23" s="1"/>
  <c r="O59" i="23"/>
  <c r="V59" i="23" s="1"/>
  <c r="AC59" i="23" s="1"/>
  <c r="N59" i="23"/>
  <c r="U59" i="23" s="1"/>
  <c r="AB59" i="23" s="1"/>
  <c r="M59" i="23"/>
  <c r="T59" i="23" s="1"/>
  <c r="AA59" i="23" s="1"/>
  <c r="L59" i="23"/>
  <c r="S59" i="23" s="1"/>
  <c r="Z59" i="23" s="1"/>
  <c r="K59" i="23"/>
  <c r="R59" i="23" s="1"/>
  <c r="Y59" i="23" s="1"/>
  <c r="Q58" i="23"/>
  <c r="X58" i="23" s="1"/>
  <c r="AE58" i="23" s="1"/>
  <c r="P58" i="23"/>
  <c r="W58" i="23" s="1"/>
  <c r="AD58" i="23" s="1"/>
  <c r="O58" i="23"/>
  <c r="V58" i="23" s="1"/>
  <c r="AC58" i="23" s="1"/>
  <c r="N58" i="23"/>
  <c r="U58" i="23" s="1"/>
  <c r="AB58" i="23" s="1"/>
  <c r="M58" i="23"/>
  <c r="T58" i="23" s="1"/>
  <c r="AA58" i="23" s="1"/>
  <c r="L58" i="23"/>
  <c r="S58" i="23" s="1"/>
  <c r="Z58" i="23" s="1"/>
  <c r="K58" i="23"/>
  <c r="R58" i="23" s="1"/>
  <c r="Y58" i="23" s="1"/>
  <c r="Q57" i="23"/>
  <c r="X57" i="23" s="1"/>
  <c r="AE57" i="23" s="1"/>
  <c r="P57" i="23"/>
  <c r="W57" i="23" s="1"/>
  <c r="AD57" i="23" s="1"/>
  <c r="O57" i="23"/>
  <c r="V57" i="23" s="1"/>
  <c r="AC57" i="23" s="1"/>
  <c r="N57" i="23"/>
  <c r="U57" i="23" s="1"/>
  <c r="AB57" i="23" s="1"/>
  <c r="M57" i="23"/>
  <c r="T57" i="23" s="1"/>
  <c r="AA57" i="23" s="1"/>
  <c r="L57" i="23"/>
  <c r="S57" i="23" s="1"/>
  <c r="Z57" i="23" s="1"/>
  <c r="K57" i="23"/>
  <c r="R57" i="23" s="1"/>
  <c r="Y57" i="23" s="1"/>
  <c r="Q56" i="23"/>
  <c r="X56" i="23" s="1"/>
  <c r="AE56" i="23" s="1"/>
  <c r="P56" i="23"/>
  <c r="W56" i="23" s="1"/>
  <c r="AD56" i="23" s="1"/>
  <c r="O56" i="23"/>
  <c r="V56" i="23" s="1"/>
  <c r="AC56" i="23" s="1"/>
  <c r="N56" i="23"/>
  <c r="U56" i="23" s="1"/>
  <c r="AB56" i="23" s="1"/>
  <c r="M56" i="23"/>
  <c r="T56" i="23" s="1"/>
  <c r="AA56" i="23" s="1"/>
  <c r="L56" i="23"/>
  <c r="S56" i="23" s="1"/>
  <c r="Z56" i="23" s="1"/>
  <c r="K56" i="23"/>
  <c r="R56" i="23" s="1"/>
  <c r="Y56" i="23" s="1"/>
  <c r="Q55" i="23"/>
  <c r="X55" i="23" s="1"/>
  <c r="AE55" i="23" s="1"/>
  <c r="P55" i="23"/>
  <c r="W55" i="23" s="1"/>
  <c r="AD55" i="23" s="1"/>
  <c r="O55" i="23"/>
  <c r="V55" i="23" s="1"/>
  <c r="AC55" i="23" s="1"/>
  <c r="N55" i="23"/>
  <c r="U55" i="23" s="1"/>
  <c r="AB55" i="23" s="1"/>
  <c r="M55" i="23"/>
  <c r="T55" i="23" s="1"/>
  <c r="AA55" i="23" s="1"/>
  <c r="L55" i="23"/>
  <c r="S55" i="23" s="1"/>
  <c r="Z55" i="23" s="1"/>
  <c r="K55" i="23"/>
  <c r="R55" i="23" s="1"/>
  <c r="Y55" i="23" s="1"/>
  <c r="Q54" i="23"/>
  <c r="X54" i="23" s="1"/>
  <c r="AE54" i="23" s="1"/>
  <c r="P54" i="23"/>
  <c r="W54" i="23" s="1"/>
  <c r="AD54" i="23" s="1"/>
  <c r="O54" i="23"/>
  <c r="V54" i="23" s="1"/>
  <c r="AC54" i="23" s="1"/>
  <c r="N54" i="23"/>
  <c r="U54" i="23" s="1"/>
  <c r="AB54" i="23" s="1"/>
  <c r="M54" i="23"/>
  <c r="T54" i="23" s="1"/>
  <c r="AA54" i="23" s="1"/>
  <c r="L54" i="23"/>
  <c r="K54" i="23"/>
  <c r="R54" i="23" s="1"/>
  <c r="Y54" i="23" s="1"/>
  <c r="Q53" i="23"/>
  <c r="X53" i="23" s="1"/>
  <c r="AE53" i="23" s="1"/>
  <c r="P53" i="23"/>
  <c r="W53" i="23" s="1"/>
  <c r="AD53" i="23" s="1"/>
  <c r="O53" i="23"/>
  <c r="V53" i="23" s="1"/>
  <c r="AC53" i="23" s="1"/>
  <c r="N53" i="23"/>
  <c r="U53" i="23" s="1"/>
  <c r="AB53" i="23" s="1"/>
  <c r="M53" i="23"/>
  <c r="L53" i="23"/>
  <c r="S53" i="23" s="1"/>
  <c r="Z53" i="23" s="1"/>
  <c r="K53" i="23"/>
  <c r="R53" i="23" s="1"/>
  <c r="Y53" i="23" s="1"/>
  <c r="Q52" i="23"/>
  <c r="X52" i="23" s="1"/>
  <c r="AE52" i="23" s="1"/>
  <c r="P52" i="23"/>
  <c r="W52" i="23" s="1"/>
  <c r="AD52" i="23" s="1"/>
  <c r="O52" i="23"/>
  <c r="V52" i="23" s="1"/>
  <c r="AC52" i="23" s="1"/>
  <c r="N52" i="23"/>
  <c r="U52" i="23" s="1"/>
  <c r="AB52" i="23" s="1"/>
  <c r="M52" i="23"/>
  <c r="T52" i="23" s="1"/>
  <c r="AA52" i="23" s="1"/>
  <c r="L52" i="23"/>
  <c r="S52" i="23" s="1"/>
  <c r="Z52" i="23" s="1"/>
  <c r="K52" i="23"/>
  <c r="R52" i="23" s="1"/>
  <c r="Y52" i="23" s="1"/>
  <c r="Q51" i="23"/>
  <c r="X51" i="23" s="1"/>
  <c r="AE51" i="23" s="1"/>
  <c r="P51" i="23"/>
  <c r="W51" i="23" s="1"/>
  <c r="AD51" i="23" s="1"/>
  <c r="O51" i="23"/>
  <c r="V51" i="23" s="1"/>
  <c r="AC51" i="23" s="1"/>
  <c r="N51" i="23"/>
  <c r="U51" i="23" s="1"/>
  <c r="AB51" i="23" s="1"/>
  <c r="M51" i="23"/>
  <c r="T51" i="23" s="1"/>
  <c r="AA51" i="23" s="1"/>
  <c r="L51" i="23"/>
  <c r="S51" i="23" s="1"/>
  <c r="Z51" i="23" s="1"/>
  <c r="K51" i="23"/>
  <c r="R51" i="23" s="1"/>
  <c r="Y51" i="23" s="1"/>
  <c r="Q50" i="23"/>
  <c r="X50" i="23" s="1"/>
  <c r="AE50" i="23" s="1"/>
  <c r="P50" i="23"/>
  <c r="W50" i="23" s="1"/>
  <c r="AD50" i="23" s="1"/>
  <c r="O50" i="23"/>
  <c r="V50" i="23" s="1"/>
  <c r="AC50" i="23" s="1"/>
  <c r="N50" i="23"/>
  <c r="U50" i="23" s="1"/>
  <c r="AB50" i="23" s="1"/>
  <c r="M50" i="23"/>
  <c r="T50" i="23" s="1"/>
  <c r="AA50" i="23" s="1"/>
  <c r="L50" i="23"/>
  <c r="S50" i="23" s="1"/>
  <c r="Z50" i="23" s="1"/>
  <c r="K50" i="23"/>
  <c r="R50" i="23" s="1"/>
  <c r="Y50" i="23" s="1"/>
  <c r="Q49" i="23"/>
  <c r="X49" i="23" s="1"/>
  <c r="AE49" i="23" s="1"/>
  <c r="P49" i="23"/>
  <c r="W49" i="23" s="1"/>
  <c r="AD49" i="23" s="1"/>
  <c r="O49" i="23"/>
  <c r="V49" i="23" s="1"/>
  <c r="AC49" i="23" s="1"/>
  <c r="N49" i="23"/>
  <c r="U49" i="23" s="1"/>
  <c r="AB49" i="23" s="1"/>
  <c r="M49" i="23"/>
  <c r="T49" i="23" s="1"/>
  <c r="AA49" i="23" s="1"/>
  <c r="L49" i="23"/>
  <c r="S49" i="23" s="1"/>
  <c r="Z49" i="23" s="1"/>
  <c r="K49" i="23"/>
  <c r="R49" i="23" s="1"/>
  <c r="Y49" i="23" s="1"/>
  <c r="Q48" i="23"/>
  <c r="X48" i="23" s="1"/>
  <c r="AE48" i="23" s="1"/>
  <c r="P48" i="23"/>
  <c r="W48" i="23" s="1"/>
  <c r="AD48" i="23" s="1"/>
  <c r="O48" i="23"/>
  <c r="V48" i="23" s="1"/>
  <c r="AC48" i="23" s="1"/>
  <c r="N48" i="23"/>
  <c r="U48" i="23" s="1"/>
  <c r="AB48" i="23" s="1"/>
  <c r="M48" i="23"/>
  <c r="T48" i="23" s="1"/>
  <c r="AA48" i="23" s="1"/>
  <c r="L48" i="23"/>
  <c r="S48" i="23" s="1"/>
  <c r="Z48" i="23" s="1"/>
  <c r="K48" i="23"/>
  <c r="R48" i="23" s="1"/>
  <c r="Y48" i="23" s="1"/>
  <c r="Q47" i="23"/>
  <c r="X47" i="23" s="1"/>
  <c r="AE47" i="23" s="1"/>
  <c r="P47" i="23"/>
  <c r="W47" i="23" s="1"/>
  <c r="AD47" i="23" s="1"/>
  <c r="O47" i="23"/>
  <c r="V47" i="23" s="1"/>
  <c r="AC47" i="23" s="1"/>
  <c r="N47" i="23"/>
  <c r="U47" i="23" s="1"/>
  <c r="AB47" i="23" s="1"/>
  <c r="M47" i="23"/>
  <c r="T47" i="23" s="1"/>
  <c r="AA47" i="23" s="1"/>
  <c r="L47" i="23"/>
  <c r="S47" i="23" s="1"/>
  <c r="Z47" i="23" s="1"/>
  <c r="K47" i="23"/>
  <c r="R47" i="23" s="1"/>
  <c r="Y47" i="23" s="1"/>
  <c r="Q46" i="23"/>
  <c r="X46" i="23" s="1"/>
  <c r="AE46" i="23" s="1"/>
  <c r="P46" i="23"/>
  <c r="W46" i="23" s="1"/>
  <c r="AD46" i="23" s="1"/>
  <c r="O46" i="23"/>
  <c r="V46" i="23" s="1"/>
  <c r="AC46" i="23" s="1"/>
  <c r="N46" i="23"/>
  <c r="U46" i="23" s="1"/>
  <c r="AB46" i="23" s="1"/>
  <c r="M46" i="23"/>
  <c r="T46" i="23" s="1"/>
  <c r="AA46" i="23" s="1"/>
  <c r="L46" i="23"/>
  <c r="S46" i="23" s="1"/>
  <c r="Z46" i="23" s="1"/>
  <c r="K46" i="23"/>
  <c r="R46" i="23" s="1"/>
  <c r="Y46" i="23" s="1"/>
  <c r="Q45" i="23"/>
  <c r="X45" i="23" s="1"/>
  <c r="AE45" i="23" s="1"/>
  <c r="P45" i="23"/>
  <c r="W45" i="23" s="1"/>
  <c r="AD45" i="23" s="1"/>
  <c r="O45" i="23"/>
  <c r="V45" i="23" s="1"/>
  <c r="AC45" i="23" s="1"/>
  <c r="N45" i="23"/>
  <c r="U45" i="23" s="1"/>
  <c r="AB45" i="23" s="1"/>
  <c r="M45" i="23"/>
  <c r="T45" i="23" s="1"/>
  <c r="AA45" i="23" s="1"/>
  <c r="L45" i="23"/>
  <c r="S45" i="23" s="1"/>
  <c r="Z45" i="23" s="1"/>
  <c r="K45" i="23"/>
  <c r="R45" i="23" s="1"/>
  <c r="Y45" i="23" s="1"/>
  <c r="Q44" i="23"/>
  <c r="P44" i="23"/>
  <c r="W44" i="23" s="1"/>
  <c r="AD44" i="23" s="1"/>
  <c r="O44" i="23"/>
  <c r="V44" i="23" s="1"/>
  <c r="AC44" i="23" s="1"/>
  <c r="N44" i="23"/>
  <c r="U44" i="23" s="1"/>
  <c r="AB44" i="23" s="1"/>
  <c r="M44" i="23"/>
  <c r="L44" i="23"/>
  <c r="S44" i="23" s="1"/>
  <c r="Z44" i="23" s="1"/>
  <c r="K44" i="23"/>
  <c r="R44" i="23" s="1"/>
  <c r="Y44" i="23" s="1"/>
  <c r="Q43" i="23"/>
  <c r="X43" i="23" s="1"/>
  <c r="AE43" i="23" s="1"/>
  <c r="P43" i="23"/>
  <c r="W43" i="23" s="1"/>
  <c r="AD43" i="23" s="1"/>
  <c r="O43" i="23"/>
  <c r="V43" i="23" s="1"/>
  <c r="AC43" i="23" s="1"/>
  <c r="N43" i="23"/>
  <c r="U43" i="23" s="1"/>
  <c r="AB43" i="23" s="1"/>
  <c r="M43" i="23"/>
  <c r="T43" i="23" s="1"/>
  <c r="AA43" i="23" s="1"/>
  <c r="L43" i="23"/>
  <c r="S43" i="23" s="1"/>
  <c r="Z43" i="23" s="1"/>
  <c r="K43" i="23"/>
  <c r="R43" i="23" s="1"/>
  <c r="Y43" i="23" s="1"/>
  <c r="Q42" i="23"/>
  <c r="X42" i="23" s="1"/>
  <c r="AE42" i="23" s="1"/>
  <c r="P42" i="23"/>
  <c r="W42" i="23" s="1"/>
  <c r="AD42" i="23" s="1"/>
  <c r="O42" i="23"/>
  <c r="V42" i="23" s="1"/>
  <c r="AC42" i="23" s="1"/>
  <c r="N42" i="23"/>
  <c r="U42" i="23" s="1"/>
  <c r="AB42" i="23" s="1"/>
  <c r="M42" i="23"/>
  <c r="T42" i="23" s="1"/>
  <c r="AA42" i="23" s="1"/>
  <c r="L42" i="23"/>
  <c r="K42" i="23"/>
  <c r="R42" i="23" s="1"/>
  <c r="Y42" i="23" s="1"/>
  <c r="Q41" i="23"/>
  <c r="P41" i="23"/>
  <c r="W41" i="23" s="1"/>
  <c r="AD41" i="23" s="1"/>
  <c r="O41" i="23"/>
  <c r="V41" i="23" s="1"/>
  <c r="AC41" i="23" s="1"/>
  <c r="N41" i="23"/>
  <c r="U41" i="23" s="1"/>
  <c r="AB41" i="23" s="1"/>
  <c r="M41" i="23"/>
  <c r="T41" i="23" s="1"/>
  <c r="AA41" i="23" s="1"/>
  <c r="L41" i="23"/>
  <c r="S41" i="23" s="1"/>
  <c r="Z41" i="23" s="1"/>
  <c r="K41" i="23"/>
  <c r="R41" i="23" s="1"/>
  <c r="Y41" i="23" s="1"/>
  <c r="Q40" i="23"/>
  <c r="X40" i="23" s="1"/>
  <c r="AE40" i="23" s="1"/>
  <c r="P40" i="23"/>
  <c r="W40" i="23" s="1"/>
  <c r="AD40" i="23" s="1"/>
  <c r="O40" i="23"/>
  <c r="V40" i="23" s="1"/>
  <c r="AC40" i="23" s="1"/>
  <c r="N40" i="23"/>
  <c r="U40" i="23" s="1"/>
  <c r="AB40" i="23" s="1"/>
  <c r="M40" i="23"/>
  <c r="T40" i="23" s="1"/>
  <c r="AA40" i="23" s="1"/>
  <c r="L40" i="23"/>
  <c r="S40" i="23" s="1"/>
  <c r="Z40" i="23" s="1"/>
  <c r="K40" i="23"/>
  <c r="R40" i="23" s="1"/>
  <c r="Y40" i="23" s="1"/>
  <c r="Q39" i="23"/>
  <c r="X39" i="23" s="1"/>
  <c r="AE39" i="23" s="1"/>
  <c r="P39" i="23"/>
  <c r="W39" i="23" s="1"/>
  <c r="AD39" i="23" s="1"/>
  <c r="O39" i="23"/>
  <c r="V39" i="23" s="1"/>
  <c r="AC39" i="23" s="1"/>
  <c r="N39" i="23"/>
  <c r="U39" i="23" s="1"/>
  <c r="AB39" i="23" s="1"/>
  <c r="M39" i="23"/>
  <c r="T39" i="23" s="1"/>
  <c r="AA39" i="23" s="1"/>
  <c r="L39" i="23"/>
  <c r="S39" i="23" s="1"/>
  <c r="K39" i="23"/>
  <c r="R39" i="23" s="1"/>
  <c r="Y39" i="23" s="1"/>
  <c r="Q38" i="23"/>
  <c r="X38" i="23" s="1"/>
  <c r="AE38" i="23" s="1"/>
  <c r="P38" i="23"/>
  <c r="W38" i="23" s="1"/>
  <c r="AD38" i="23" s="1"/>
  <c r="O38" i="23"/>
  <c r="V38" i="23" s="1"/>
  <c r="AC38" i="23" s="1"/>
  <c r="N38" i="23"/>
  <c r="U38" i="23" s="1"/>
  <c r="AB38" i="23" s="1"/>
  <c r="M38" i="23"/>
  <c r="T38" i="23" s="1"/>
  <c r="AA38" i="23" s="1"/>
  <c r="L38" i="23"/>
  <c r="S38" i="23" s="1"/>
  <c r="Z38" i="23" s="1"/>
  <c r="K38" i="23"/>
  <c r="R38" i="23" s="1"/>
  <c r="Y38" i="23" s="1"/>
  <c r="Q37" i="23"/>
  <c r="X37" i="23" s="1"/>
  <c r="AE37" i="23" s="1"/>
  <c r="P37" i="23"/>
  <c r="W37" i="23" s="1"/>
  <c r="AD37" i="23" s="1"/>
  <c r="O37" i="23"/>
  <c r="V37" i="23" s="1"/>
  <c r="AC37" i="23" s="1"/>
  <c r="N37" i="23"/>
  <c r="U37" i="23" s="1"/>
  <c r="AB37" i="23" s="1"/>
  <c r="M37" i="23"/>
  <c r="T37" i="23" s="1"/>
  <c r="AA37" i="23" s="1"/>
  <c r="L37" i="23"/>
  <c r="S37" i="23" s="1"/>
  <c r="Z37" i="23" s="1"/>
  <c r="K37" i="23"/>
  <c r="R37" i="23" s="1"/>
  <c r="Y37" i="23" s="1"/>
  <c r="Q36" i="23"/>
  <c r="X36" i="23" s="1"/>
  <c r="AE36" i="23" s="1"/>
  <c r="P36" i="23"/>
  <c r="W36" i="23" s="1"/>
  <c r="AD36" i="23" s="1"/>
  <c r="O36" i="23"/>
  <c r="V36" i="23" s="1"/>
  <c r="AC36" i="23" s="1"/>
  <c r="N36" i="23"/>
  <c r="U36" i="23" s="1"/>
  <c r="AB36" i="23" s="1"/>
  <c r="M36" i="23"/>
  <c r="T36" i="23" s="1"/>
  <c r="AA36" i="23" s="1"/>
  <c r="L36" i="23"/>
  <c r="S36" i="23" s="1"/>
  <c r="Z36" i="23" s="1"/>
  <c r="K36" i="23"/>
  <c r="R36" i="23" s="1"/>
  <c r="Y36" i="23" s="1"/>
  <c r="Q35" i="23"/>
  <c r="X35" i="23" s="1"/>
  <c r="AE35" i="23" s="1"/>
  <c r="P35" i="23"/>
  <c r="W35" i="23" s="1"/>
  <c r="AD35" i="23" s="1"/>
  <c r="O35" i="23"/>
  <c r="V35" i="23" s="1"/>
  <c r="AC35" i="23" s="1"/>
  <c r="N35" i="23"/>
  <c r="U35" i="23" s="1"/>
  <c r="AB35" i="23" s="1"/>
  <c r="M35" i="23"/>
  <c r="T35" i="23" s="1"/>
  <c r="AA35" i="23" s="1"/>
  <c r="L35" i="23"/>
  <c r="S35" i="23" s="1"/>
  <c r="Z35" i="23" s="1"/>
  <c r="K35" i="23"/>
  <c r="R35" i="23" s="1"/>
  <c r="Y35" i="23" s="1"/>
  <c r="Q34" i="23"/>
  <c r="X34" i="23" s="1"/>
  <c r="AE34" i="23" s="1"/>
  <c r="P34" i="23"/>
  <c r="W34" i="23" s="1"/>
  <c r="AD34" i="23" s="1"/>
  <c r="O34" i="23"/>
  <c r="V34" i="23" s="1"/>
  <c r="AC34" i="23" s="1"/>
  <c r="N34" i="23"/>
  <c r="U34" i="23" s="1"/>
  <c r="AB34" i="23" s="1"/>
  <c r="M34" i="23"/>
  <c r="T34" i="23" s="1"/>
  <c r="AA34" i="23" s="1"/>
  <c r="L34" i="23"/>
  <c r="S34" i="23" s="1"/>
  <c r="Z34" i="23" s="1"/>
  <c r="K34" i="23"/>
  <c r="R34" i="23" s="1"/>
  <c r="Y34" i="23" s="1"/>
  <c r="Q33" i="23"/>
  <c r="X33" i="23" s="1"/>
  <c r="AE33" i="23" s="1"/>
  <c r="P33" i="23"/>
  <c r="W33" i="23" s="1"/>
  <c r="AD33" i="23" s="1"/>
  <c r="O33" i="23"/>
  <c r="V33" i="23" s="1"/>
  <c r="AC33" i="23" s="1"/>
  <c r="N33" i="23"/>
  <c r="U33" i="23" s="1"/>
  <c r="AB33" i="23" s="1"/>
  <c r="M33" i="23"/>
  <c r="T33" i="23" s="1"/>
  <c r="AA33" i="23" s="1"/>
  <c r="L33" i="23"/>
  <c r="S33" i="23" s="1"/>
  <c r="Z33" i="23" s="1"/>
  <c r="K33" i="23"/>
  <c r="R33" i="23" s="1"/>
  <c r="Y33" i="23" s="1"/>
  <c r="Q32" i="23"/>
  <c r="X32" i="23" s="1"/>
  <c r="AE32" i="23" s="1"/>
  <c r="P32" i="23"/>
  <c r="W32" i="23" s="1"/>
  <c r="AD32" i="23" s="1"/>
  <c r="O32" i="23"/>
  <c r="V32" i="23" s="1"/>
  <c r="AC32" i="23" s="1"/>
  <c r="N32" i="23"/>
  <c r="U32" i="23" s="1"/>
  <c r="AB32" i="23" s="1"/>
  <c r="M32" i="23"/>
  <c r="T32" i="23" s="1"/>
  <c r="AA32" i="23" s="1"/>
  <c r="L32" i="23"/>
  <c r="S32" i="23" s="1"/>
  <c r="Z32" i="23" s="1"/>
  <c r="K32" i="23"/>
  <c r="R32" i="23" s="1"/>
  <c r="Y32" i="23" s="1"/>
  <c r="Q31" i="23"/>
  <c r="X31" i="23" s="1"/>
  <c r="AE31" i="23" s="1"/>
  <c r="P31" i="23"/>
  <c r="W31" i="23" s="1"/>
  <c r="AD31" i="23" s="1"/>
  <c r="O31" i="23"/>
  <c r="V31" i="23" s="1"/>
  <c r="AC31" i="23" s="1"/>
  <c r="N31" i="23"/>
  <c r="U31" i="23" s="1"/>
  <c r="AB31" i="23" s="1"/>
  <c r="M31" i="23"/>
  <c r="T31" i="23" s="1"/>
  <c r="AA31" i="23" s="1"/>
  <c r="L31" i="23"/>
  <c r="S31" i="23" s="1"/>
  <c r="Z31" i="23" s="1"/>
  <c r="K31" i="23"/>
  <c r="R31" i="23" s="1"/>
  <c r="Y31" i="23" s="1"/>
  <c r="Q30" i="23"/>
  <c r="X30" i="23" s="1"/>
  <c r="AE30" i="23" s="1"/>
  <c r="P30" i="23"/>
  <c r="W30" i="23" s="1"/>
  <c r="AD30" i="23" s="1"/>
  <c r="O30" i="23"/>
  <c r="V30" i="23" s="1"/>
  <c r="AC30" i="23" s="1"/>
  <c r="N30" i="23"/>
  <c r="U30" i="23" s="1"/>
  <c r="AB30" i="23" s="1"/>
  <c r="M30" i="23"/>
  <c r="T30" i="23" s="1"/>
  <c r="AA30" i="23" s="1"/>
  <c r="L30" i="23"/>
  <c r="S30" i="23" s="1"/>
  <c r="Z30" i="23" s="1"/>
  <c r="K30" i="23"/>
  <c r="R30" i="23" s="1"/>
  <c r="Y30" i="23" s="1"/>
  <c r="Q29" i="23"/>
  <c r="X29" i="23" s="1"/>
  <c r="AE29" i="23" s="1"/>
  <c r="P29" i="23"/>
  <c r="W29" i="23" s="1"/>
  <c r="AD29" i="23" s="1"/>
  <c r="O29" i="23"/>
  <c r="V29" i="23" s="1"/>
  <c r="AC29" i="23" s="1"/>
  <c r="N29" i="23"/>
  <c r="U29" i="23" s="1"/>
  <c r="AB29" i="23" s="1"/>
  <c r="M29" i="23"/>
  <c r="T29" i="23" s="1"/>
  <c r="AA29" i="23" s="1"/>
  <c r="L29" i="23"/>
  <c r="S29" i="23" s="1"/>
  <c r="Z29" i="23" s="1"/>
  <c r="K29" i="23"/>
  <c r="R29" i="23" s="1"/>
  <c r="Y29" i="23" s="1"/>
  <c r="Q28" i="23"/>
  <c r="X28" i="23" s="1"/>
  <c r="AE28" i="23" s="1"/>
  <c r="P28" i="23"/>
  <c r="W28" i="23" s="1"/>
  <c r="AD28" i="23" s="1"/>
  <c r="O28" i="23"/>
  <c r="V28" i="23" s="1"/>
  <c r="AC28" i="23" s="1"/>
  <c r="N28" i="23"/>
  <c r="U28" i="23" s="1"/>
  <c r="AB28" i="23" s="1"/>
  <c r="M28" i="23"/>
  <c r="T28" i="23" s="1"/>
  <c r="AA28" i="23" s="1"/>
  <c r="L28" i="23"/>
  <c r="S28" i="23" s="1"/>
  <c r="Z28" i="23" s="1"/>
  <c r="K28" i="23"/>
  <c r="R28" i="23" s="1"/>
  <c r="Y28" i="23" s="1"/>
  <c r="Q27" i="23"/>
  <c r="X27" i="23" s="1"/>
  <c r="AE27" i="23" s="1"/>
  <c r="P27" i="23"/>
  <c r="W27" i="23" s="1"/>
  <c r="AD27" i="23" s="1"/>
  <c r="O27" i="23"/>
  <c r="V27" i="23" s="1"/>
  <c r="AC27" i="23" s="1"/>
  <c r="N27" i="23"/>
  <c r="U27" i="23" s="1"/>
  <c r="AB27" i="23" s="1"/>
  <c r="M27" i="23"/>
  <c r="T27" i="23" s="1"/>
  <c r="AA27" i="23" s="1"/>
  <c r="L27" i="23"/>
  <c r="S27" i="23" s="1"/>
  <c r="Z27" i="23" s="1"/>
  <c r="K27" i="23"/>
  <c r="R27" i="23" s="1"/>
  <c r="Y27" i="23" s="1"/>
  <c r="Q26" i="23"/>
  <c r="X26" i="23" s="1"/>
  <c r="AE26" i="23" s="1"/>
  <c r="P26" i="23"/>
  <c r="W26" i="23" s="1"/>
  <c r="AD26" i="23" s="1"/>
  <c r="O26" i="23"/>
  <c r="V26" i="23" s="1"/>
  <c r="AC26" i="23" s="1"/>
  <c r="N26" i="23"/>
  <c r="U26" i="23" s="1"/>
  <c r="AB26" i="23" s="1"/>
  <c r="M26" i="23"/>
  <c r="T26" i="23" s="1"/>
  <c r="AA26" i="23" s="1"/>
  <c r="L26" i="23"/>
  <c r="S26" i="23" s="1"/>
  <c r="Z26" i="23" s="1"/>
  <c r="K26" i="23"/>
  <c r="R26" i="23" s="1"/>
  <c r="Y26" i="23" s="1"/>
  <c r="Q25" i="23"/>
  <c r="X25" i="23" s="1"/>
  <c r="AE25" i="23" s="1"/>
  <c r="P25" i="23"/>
  <c r="W25" i="23" s="1"/>
  <c r="AD25" i="23" s="1"/>
  <c r="O25" i="23"/>
  <c r="V25" i="23" s="1"/>
  <c r="AC25" i="23" s="1"/>
  <c r="N25" i="23"/>
  <c r="U25" i="23" s="1"/>
  <c r="AB25" i="23" s="1"/>
  <c r="M25" i="23"/>
  <c r="T25" i="23" s="1"/>
  <c r="AA25" i="23" s="1"/>
  <c r="L25" i="23"/>
  <c r="S25" i="23" s="1"/>
  <c r="Z25" i="23" s="1"/>
  <c r="K25" i="23"/>
  <c r="R25" i="23" s="1"/>
  <c r="Y25" i="23" s="1"/>
  <c r="Q24" i="23"/>
  <c r="X24" i="23" s="1"/>
  <c r="AE24" i="23" s="1"/>
  <c r="P24" i="23"/>
  <c r="W24" i="23" s="1"/>
  <c r="AD24" i="23" s="1"/>
  <c r="O24" i="23"/>
  <c r="V24" i="23" s="1"/>
  <c r="AC24" i="23" s="1"/>
  <c r="N24" i="23"/>
  <c r="U24" i="23" s="1"/>
  <c r="AB24" i="23" s="1"/>
  <c r="M24" i="23"/>
  <c r="T24" i="23" s="1"/>
  <c r="AA24" i="23" s="1"/>
  <c r="L24" i="23"/>
  <c r="S24" i="23" s="1"/>
  <c r="Z24" i="23" s="1"/>
  <c r="K24" i="23"/>
  <c r="R24" i="23" s="1"/>
  <c r="Y24" i="23" s="1"/>
  <c r="Q23" i="23"/>
  <c r="X23" i="23" s="1"/>
  <c r="AE23" i="23" s="1"/>
  <c r="P23" i="23"/>
  <c r="W23" i="23" s="1"/>
  <c r="AD23" i="23" s="1"/>
  <c r="O23" i="23"/>
  <c r="V23" i="23" s="1"/>
  <c r="AC23" i="23" s="1"/>
  <c r="N23" i="23"/>
  <c r="U23" i="23" s="1"/>
  <c r="AB23" i="23" s="1"/>
  <c r="M23" i="23"/>
  <c r="T23" i="23" s="1"/>
  <c r="AA23" i="23" s="1"/>
  <c r="L23" i="23"/>
  <c r="S23" i="23" s="1"/>
  <c r="Z23" i="23" s="1"/>
  <c r="K23" i="23"/>
  <c r="R23" i="23" s="1"/>
  <c r="Y23" i="23" s="1"/>
  <c r="Q22" i="23"/>
  <c r="X22" i="23" s="1"/>
  <c r="AE22" i="23" s="1"/>
  <c r="P22" i="23"/>
  <c r="W22" i="23" s="1"/>
  <c r="AD22" i="23" s="1"/>
  <c r="O22" i="23"/>
  <c r="V22" i="23" s="1"/>
  <c r="AC22" i="23" s="1"/>
  <c r="N22" i="23"/>
  <c r="U22" i="23" s="1"/>
  <c r="AB22" i="23" s="1"/>
  <c r="M22" i="23"/>
  <c r="T22" i="23" s="1"/>
  <c r="AA22" i="23" s="1"/>
  <c r="L22" i="23"/>
  <c r="K22" i="23"/>
  <c r="R22" i="23" s="1"/>
  <c r="Y22" i="23" s="1"/>
  <c r="Q21" i="23"/>
  <c r="X21" i="23" s="1"/>
  <c r="AE21" i="23" s="1"/>
  <c r="P21" i="23"/>
  <c r="W21" i="23" s="1"/>
  <c r="AD21" i="23" s="1"/>
  <c r="O21" i="23"/>
  <c r="V21" i="23" s="1"/>
  <c r="AC21" i="23" s="1"/>
  <c r="N21" i="23"/>
  <c r="U21" i="23" s="1"/>
  <c r="AB21" i="23" s="1"/>
  <c r="M21" i="23"/>
  <c r="T21" i="23" s="1"/>
  <c r="AA21" i="23" s="1"/>
  <c r="L21" i="23"/>
  <c r="S21" i="23" s="1"/>
  <c r="Z21" i="23" s="1"/>
  <c r="K21" i="23"/>
  <c r="R21" i="23" s="1"/>
  <c r="Y21" i="23" s="1"/>
  <c r="Q20" i="23"/>
  <c r="X20" i="23" s="1"/>
  <c r="AE20" i="23" s="1"/>
  <c r="P20" i="23"/>
  <c r="W20" i="23" s="1"/>
  <c r="AD20" i="23" s="1"/>
  <c r="O20" i="23"/>
  <c r="V20" i="23" s="1"/>
  <c r="AC20" i="23" s="1"/>
  <c r="N20" i="23"/>
  <c r="U20" i="23" s="1"/>
  <c r="AB20" i="23" s="1"/>
  <c r="M20" i="23"/>
  <c r="T20" i="23" s="1"/>
  <c r="AA20" i="23" s="1"/>
  <c r="L20" i="23"/>
  <c r="S20" i="23" s="1"/>
  <c r="Z20" i="23" s="1"/>
  <c r="K20" i="23"/>
  <c r="R20" i="23" s="1"/>
  <c r="Y20" i="23" s="1"/>
  <c r="Q19" i="23"/>
  <c r="P19" i="23"/>
  <c r="W19" i="23" s="1"/>
  <c r="AD19" i="23" s="1"/>
  <c r="O19" i="23"/>
  <c r="V19" i="23" s="1"/>
  <c r="AC19" i="23" s="1"/>
  <c r="N19" i="23"/>
  <c r="U19" i="23" s="1"/>
  <c r="AB19" i="23" s="1"/>
  <c r="M19" i="23"/>
  <c r="L19" i="23"/>
  <c r="S19" i="23" s="1"/>
  <c r="Z19" i="23" s="1"/>
  <c r="K19" i="23"/>
  <c r="R19" i="23" s="1"/>
  <c r="Y19" i="23" s="1"/>
  <c r="Q18" i="23"/>
  <c r="X18" i="23" s="1"/>
  <c r="AE18" i="23" s="1"/>
  <c r="P18" i="23"/>
  <c r="W18" i="23" s="1"/>
  <c r="AD18" i="23" s="1"/>
  <c r="O18" i="23"/>
  <c r="V18" i="23" s="1"/>
  <c r="AC18" i="23" s="1"/>
  <c r="N18" i="23"/>
  <c r="U18" i="23" s="1"/>
  <c r="AB18" i="23" s="1"/>
  <c r="M18" i="23"/>
  <c r="T18" i="23" s="1"/>
  <c r="AA18" i="23" s="1"/>
  <c r="L18" i="23"/>
  <c r="S18" i="23" s="1"/>
  <c r="Z18" i="23" s="1"/>
  <c r="K18" i="23"/>
  <c r="R18" i="23" s="1"/>
  <c r="Y18" i="23" s="1"/>
  <c r="Q17" i="23"/>
  <c r="P17" i="23"/>
  <c r="W17" i="23" s="1"/>
  <c r="AD17" i="23" s="1"/>
  <c r="O17" i="23"/>
  <c r="V17" i="23" s="1"/>
  <c r="AC17" i="23" s="1"/>
  <c r="N17" i="23"/>
  <c r="U17" i="23" s="1"/>
  <c r="AB17" i="23" s="1"/>
  <c r="M17" i="23"/>
  <c r="T17" i="23" s="1"/>
  <c r="AA17" i="23" s="1"/>
  <c r="L17" i="23"/>
  <c r="S17" i="23" s="1"/>
  <c r="Z17" i="23" s="1"/>
  <c r="K17" i="23"/>
  <c r="R17" i="23" s="1"/>
  <c r="Y17" i="23" s="1"/>
  <c r="Q16" i="23"/>
  <c r="X16" i="23" s="1"/>
  <c r="AE16" i="23" s="1"/>
  <c r="P16" i="23"/>
  <c r="W16" i="23" s="1"/>
  <c r="AD16" i="23" s="1"/>
  <c r="O16" i="23"/>
  <c r="V16" i="23" s="1"/>
  <c r="AC16" i="23" s="1"/>
  <c r="N16" i="23"/>
  <c r="U16" i="23" s="1"/>
  <c r="AB16" i="23" s="1"/>
  <c r="M16" i="23"/>
  <c r="T16" i="23" s="1"/>
  <c r="AA16" i="23" s="1"/>
  <c r="L16" i="23"/>
  <c r="S16" i="23" s="1"/>
  <c r="Z16" i="23" s="1"/>
  <c r="K16" i="23"/>
  <c r="R16" i="23" s="1"/>
  <c r="Y16" i="23" s="1"/>
  <c r="Q15" i="23"/>
  <c r="X15" i="23" s="1"/>
  <c r="AE15" i="23" s="1"/>
  <c r="P15" i="23"/>
  <c r="W15" i="23" s="1"/>
  <c r="AD15" i="23" s="1"/>
  <c r="O15" i="23"/>
  <c r="V15" i="23" s="1"/>
  <c r="AC15" i="23" s="1"/>
  <c r="N15" i="23"/>
  <c r="U15" i="23" s="1"/>
  <c r="AB15" i="23" s="1"/>
  <c r="M15" i="23"/>
  <c r="T15" i="23" s="1"/>
  <c r="AA15" i="23" s="1"/>
  <c r="L15" i="23"/>
  <c r="S15" i="23" s="1"/>
  <c r="Z15" i="23" s="1"/>
  <c r="K15" i="23"/>
  <c r="R15" i="23" s="1"/>
  <c r="Y15" i="23" s="1"/>
  <c r="Q14" i="23"/>
  <c r="X14" i="23" s="1"/>
  <c r="AE14" i="23" s="1"/>
  <c r="P14" i="23"/>
  <c r="W14" i="23" s="1"/>
  <c r="AD14" i="23" s="1"/>
  <c r="O14" i="23"/>
  <c r="V14" i="23" s="1"/>
  <c r="AC14" i="23" s="1"/>
  <c r="N14" i="23"/>
  <c r="U14" i="23" s="1"/>
  <c r="AB14" i="23" s="1"/>
  <c r="M14" i="23"/>
  <c r="T14" i="23" s="1"/>
  <c r="AA14" i="23" s="1"/>
  <c r="L14" i="23"/>
  <c r="S14" i="23" s="1"/>
  <c r="Z14" i="23" s="1"/>
  <c r="K14" i="23"/>
  <c r="Q13" i="23"/>
  <c r="X13" i="23" s="1"/>
  <c r="AE13" i="23" s="1"/>
  <c r="P13" i="23"/>
  <c r="O13" i="23"/>
  <c r="V13" i="23" s="1"/>
  <c r="AC13" i="23" s="1"/>
  <c r="N13" i="23"/>
  <c r="U13" i="23" s="1"/>
  <c r="AB13" i="23" s="1"/>
  <c r="M13" i="23"/>
  <c r="T13" i="23" s="1"/>
  <c r="AA13" i="23" s="1"/>
  <c r="L13" i="23"/>
  <c r="S13" i="23" s="1"/>
  <c r="Z13" i="23" s="1"/>
  <c r="K13" i="23"/>
  <c r="R13" i="23" s="1"/>
  <c r="Y13" i="23" s="1"/>
  <c r="Q12" i="23"/>
  <c r="X12" i="23" s="1"/>
  <c r="AE12" i="23" s="1"/>
  <c r="P12" i="23"/>
  <c r="O12" i="23"/>
  <c r="V12" i="23" s="1"/>
  <c r="AC12" i="23" s="1"/>
  <c r="N12" i="23"/>
  <c r="U12" i="23" s="1"/>
  <c r="AB12" i="23" s="1"/>
  <c r="M12" i="23"/>
  <c r="T12" i="23" s="1"/>
  <c r="AA12" i="23" s="1"/>
  <c r="L12" i="23"/>
  <c r="K12" i="23"/>
  <c r="R12" i="23" s="1"/>
  <c r="Y12" i="23" s="1"/>
  <c r="Q11" i="23"/>
  <c r="X11" i="23" s="1"/>
  <c r="AE11" i="23" s="1"/>
  <c r="P11" i="23"/>
  <c r="W11" i="23" s="1"/>
  <c r="AD11" i="23" s="1"/>
  <c r="O11" i="23"/>
  <c r="V11" i="23" s="1"/>
  <c r="AC11" i="23" s="1"/>
  <c r="N11" i="23"/>
  <c r="U11" i="23" s="1"/>
  <c r="AB11" i="23" s="1"/>
  <c r="M11" i="23"/>
  <c r="T11" i="23" s="1"/>
  <c r="AA11" i="23" s="1"/>
  <c r="L11" i="23"/>
  <c r="S11" i="23" s="1"/>
  <c r="Z11" i="23" s="1"/>
  <c r="K11" i="23"/>
  <c r="R11" i="23" s="1"/>
  <c r="Y11" i="23" s="1"/>
  <c r="Q10" i="23"/>
  <c r="X10" i="23" s="1"/>
  <c r="AE10" i="23" s="1"/>
  <c r="P10" i="23"/>
  <c r="W10" i="23" s="1"/>
  <c r="AD10" i="23" s="1"/>
  <c r="O10" i="23"/>
  <c r="V10" i="23" s="1"/>
  <c r="AC10" i="23" s="1"/>
  <c r="N10" i="23"/>
  <c r="U10" i="23" s="1"/>
  <c r="AB10" i="23" s="1"/>
  <c r="M10" i="23"/>
  <c r="T10" i="23" s="1"/>
  <c r="AA10" i="23" s="1"/>
  <c r="L10" i="23"/>
  <c r="S10" i="23" s="1"/>
  <c r="Z10" i="23" s="1"/>
  <c r="K10" i="23"/>
  <c r="R10" i="23" s="1"/>
  <c r="Y10" i="23" s="1"/>
  <c r="Q9" i="23"/>
  <c r="X9" i="23" s="1"/>
  <c r="AE9" i="23" s="1"/>
  <c r="P9" i="23"/>
  <c r="W9" i="23" s="1"/>
  <c r="AD9" i="23" s="1"/>
  <c r="O9" i="23"/>
  <c r="V9" i="23" s="1"/>
  <c r="AC9" i="23" s="1"/>
  <c r="N9" i="23"/>
  <c r="U9" i="23" s="1"/>
  <c r="AB9" i="23" s="1"/>
  <c r="M9" i="23"/>
  <c r="T9" i="23" s="1"/>
  <c r="AA9" i="23" s="1"/>
  <c r="L9" i="23"/>
  <c r="S9" i="23" s="1"/>
  <c r="Z9" i="23" s="1"/>
  <c r="K9" i="23"/>
  <c r="R9" i="23" s="1"/>
  <c r="Y9" i="23" s="1"/>
  <c r="Q8" i="23"/>
  <c r="X8" i="23" s="1"/>
  <c r="AE8" i="23" s="1"/>
  <c r="P8" i="23"/>
  <c r="W8" i="23" s="1"/>
  <c r="AD8" i="23" s="1"/>
  <c r="O8" i="23"/>
  <c r="V8" i="23" s="1"/>
  <c r="AC8" i="23" s="1"/>
  <c r="N8" i="23"/>
  <c r="U8" i="23" s="1"/>
  <c r="AB8" i="23" s="1"/>
  <c r="M8" i="23"/>
  <c r="T8" i="23" s="1"/>
  <c r="AA8" i="23" s="1"/>
  <c r="L8" i="23"/>
  <c r="S8" i="23" s="1"/>
  <c r="Z8" i="23" s="1"/>
  <c r="K8" i="23"/>
  <c r="R8" i="23" s="1"/>
  <c r="Y8" i="23" s="1"/>
  <c r="Q7" i="23"/>
  <c r="X7" i="23" s="1"/>
  <c r="AE7" i="23" s="1"/>
  <c r="P7" i="23"/>
  <c r="W7" i="23" s="1"/>
  <c r="AD7" i="23" s="1"/>
  <c r="O7" i="23"/>
  <c r="V7" i="23" s="1"/>
  <c r="AC7" i="23" s="1"/>
  <c r="N7" i="23"/>
  <c r="U7" i="23" s="1"/>
  <c r="AB7" i="23" s="1"/>
  <c r="M7" i="23"/>
  <c r="L7" i="23"/>
  <c r="S7" i="23" s="1"/>
  <c r="Z7" i="23" s="1"/>
  <c r="K7" i="23"/>
  <c r="R7" i="23" s="1"/>
  <c r="Y7" i="23" s="1"/>
  <c r="Q6" i="23"/>
  <c r="X6" i="23" s="1"/>
  <c r="AE6" i="23" s="1"/>
  <c r="P6" i="23"/>
  <c r="W6" i="23" s="1"/>
  <c r="AD6" i="23" s="1"/>
  <c r="O6" i="23"/>
  <c r="V6" i="23" s="1"/>
  <c r="AC6" i="23" s="1"/>
  <c r="N6" i="23"/>
  <c r="U6" i="23" s="1"/>
  <c r="AB6" i="23" s="1"/>
  <c r="M6" i="23"/>
  <c r="T6" i="23" s="1"/>
  <c r="AA6" i="23" s="1"/>
  <c r="L6" i="23"/>
  <c r="S6" i="23" s="1"/>
  <c r="Z6" i="23" s="1"/>
  <c r="K6" i="23"/>
  <c r="R6" i="23" s="1"/>
  <c r="Y6" i="23" s="1"/>
  <c r="Q5" i="23"/>
  <c r="X5" i="23" s="1"/>
  <c r="AE5" i="23" s="1"/>
  <c r="P5" i="23"/>
  <c r="W5" i="23" s="1"/>
  <c r="AD5" i="23" s="1"/>
  <c r="O5" i="23"/>
  <c r="V5" i="23" s="1"/>
  <c r="AC5" i="23" s="1"/>
  <c r="N5" i="23"/>
  <c r="U5" i="23" s="1"/>
  <c r="AB5" i="23" s="1"/>
  <c r="M5" i="23"/>
  <c r="T5" i="23" s="1"/>
  <c r="AA5" i="23" s="1"/>
  <c r="L5" i="23"/>
  <c r="S5" i="23" s="1"/>
  <c r="Z5" i="23" s="1"/>
  <c r="K5" i="23"/>
  <c r="R5" i="23" s="1"/>
  <c r="Y5" i="23" s="1"/>
  <c r="Q4" i="23"/>
  <c r="X4" i="23" s="1"/>
  <c r="AE4" i="23" s="1"/>
  <c r="P4" i="23"/>
  <c r="W4" i="23" s="1"/>
  <c r="AD4" i="23" s="1"/>
  <c r="O4" i="23"/>
  <c r="V4" i="23" s="1"/>
  <c r="AC4" i="23" s="1"/>
  <c r="N4" i="23"/>
  <c r="U4" i="23" s="1"/>
  <c r="AB4" i="23" s="1"/>
  <c r="M4" i="23"/>
  <c r="T4" i="23" s="1"/>
  <c r="AA4" i="23" s="1"/>
  <c r="L4" i="23"/>
  <c r="S4" i="23" s="1"/>
  <c r="Z4" i="23" s="1"/>
  <c r="K4" i="23"/>
  <c r="R4" i="23" s="1"/>
  <c r="Y4" i="23" s="1"/>
  <c r="X95" i="24" l="1"/>
  <c r="AE95" i="24" s="1"/>
  <c r="T75" i="24"/>
  <c r="AA75" i="24" s="1"/>
  <c r="W73" i="24"/>
  <c r="AD73" i="24" s="1"/>
  <c r="AE64" i="24"/>
  <c r="X15" i="24"/>
  <c r="AE15" i="24" s="1"/>
  <c r="W97" i="23"/>
  <c r="AD97" i="23" s="1"/>
  <c r="S97" i="23"/>
  <c r="Z97" i="23" s="1"/>
  <c r="T88" i="23"/>
  <c r="AA88" i="23" s="1"/>
  <c r="X42" i="24"/>
  <c r="AE42" i="24" s="1"/>
  <c r="X32" i="24"/>
  <c r="AE32" i="24" s="1"/>
  <c r="X26" i="24"/>
  <c r="AE26" i="24" s="1"/>
  <c r="T26" i="24"/>
  <c r="AA26" i="24" s="1"/>
  <c r="S26" i="24"/>
  <c r="Z26" i="24" s="1"/>
  <c r="R25" i="24"/>
  <c r="Y25" i="24" s="1"/>
  <c r="S24" i="24"/>
  <c r="Z24" i="24" s="1"/>
  <c r="R23" i="24"/>
  <c r="Y23" i="24" s="1"/>
  <c r="S20" i="24"/>
  <c r="Z20" i="24" s="1"/>
  <c r="S19" i="24"/>
  <c r="Z19" i="24" s="1"/>
  <c r="X4" i="24"/>
  <c r="AE4" i="24" s="1"/>
  <c r="S80" i="23"/>
  <c r="Z80" i="23" s="1"/>
  <c r="X79" i="23"/>
  <c r="AE79" i="23" s="1"/>
  <c r="S68" i="23"/>
  <c r="Z68" i="23" s="1"/>
  <c r="S54" i="23"/>
  <c r="Z54" i="23" s="1"/>
  <c r="T53" i="23"/>
  <c r="AA53" i="23" s="1"/>
  <c r="Z39" i="23"/>
  <c r="S22" i="23"/>
  <c r="Z22" i="23" s="1"/>
  <c r="X19" i="23"/>
  <c r="AE19" i="23" s="1"/>
  <c r="T19" i="23"/>
  <c r="AA19" i="23" s="1"/>
  <c r="X17" i="23"/>
  <c r="AE17" i="23" s="1"/>
  <c r="R14" i="23"/>
  <c r="Y14" i="23" s="1"/>
  <c r="W13" i="23"/>
  <c r="AD13" i="23" s="1"/>
  <c r="W12" i="23"/>
  <c r="AD12" i="23" s="1"/>
  <c r="S12" i="23"/>
  <c r="Z12" i="23" s="1"/>
  <c r="T7" i="23"/>
  <c r="AA7" i="23" s="1"/>
  <c r="T15" i="24"/>
  <c r="AA15" i="24" s="1"/>
  <c r="S88" i="23"/>
  <c r="Z88" i="23" s="1"/>
  <c r="X44" i="23"/>
  <c r="AE44" i="23" s="1"/>
  <c r="T44" i="23"/>
  <c r="AA44" i="23" s="1"/>
  <c r="S42" i="23"/>
  <c r="Z42" i="23" s="1"/>
  <c r="V67" i="24"/>
  <c r="AC67" i="24" s="1"/>
  <c r="W66" i="24"/>
  <c r="AD66" i="24" s="1"/>
  <c r="X65" i="24"/>
  <c r="AE65" i="24" s="1"/>
  <c r="T65" i="24"/>
  <c r="AA65" i="24" s="1"/>
  <c r="T58" i="24"/>
  <c r="AA58" i="24" s="1"/>
  <c r="X41" i="23"/>
  <c r="AE41" i="23" s="1"/>
  <c r="S15" i="24"/>
  <c r="Z15" i="24" s="1"/>
  <c r="S96" i="23"/>
  <c r="Z96" i="23" s="1"/>
  <c r="Q103" i="22"/>
  <c r="X103" i="22" s="1"/>
  <c r="AE103" i="22" s="1"/>
  <c r="P103" i="22"/>
  <c r="W103" i="22" s="1"/>
  <c r="AD103" i="22" s="1"/>
  <c r="O103" i="22"/>
  <c r="V103" i="22" s="1"/>
  <c r="AC103" i="22" s="1"/>
  <c r="N103" i="22"/>
  <c r="U103" i="22" s="1"/>
  <c r="AB103" i="22" s="1"/>
  <c r="M103" i="22"/>
  <c r="T103" i="22" s="1"/>
  <c r="AA103" i="22" s="1"/>
  <c r="L103" i="22"/>
  <c r="S103" i="22" s="1"/>
  <c r="Z103" i="22" s="1"/>
  <c r="K103" i="22"/>
  <c r="R103" i="22" s="1"/>
  <c r="Y103" i="22" s="1"/>
  <c r="Q102" i="22"/>
  <c r="X102" i="22" s="1"/>
  <c r="AE102" i="22" s="1"/>
  <c r="P102" i="22"/>
  <c r="W102" i="22" s="1"/>
  <c r="AD102" i="22" s="1"/>
  <c r="O102" i="22"/>
  <c r="V102" i="22" s="1"/>
  <c r="AC102" i="22" s="1"/>
  <c r="N102" i="22"/>
  <c r="U102" i="22" s="1"/>
  <c r="AB102" i="22" s="1"/>
  <c r="M102" i="22"/>
  <c r="T102" i="22" s="1"/>
  <c r="AA102" i="22" s="1"/>
  <c r="L102" i="22"/>
  <c r="S102" i="22" s="1"/>
  <c r="Z102" i="22" s="1"/>
  <c r="K102" i="22"/>
  <c r="R102" i="22" s="1"/>
  <c r="Y102" i="22" s="1"/>
  <c r="Q101" i="22"/>
  <c r="X101" i="22" s="1"/>
  <c r="AE101" i="22" s="1"/>
  <c r="P101" i="22"/>
  <c r="W101" i="22" s="1"/>
  <c r="AD101" i="22" s="1"/>
  <c r="O101" i="22"/>
  <c r="V101" i="22" s="1"/>
  <c r="AC101" i="22" s="1"/>
  <c r="N101" i="22"/>
  <c r="U101" i="22" s="1"/>
  <c r="AB101" i="22" s="1"/>
  <c r="M101" i="22"/>
  <c r="T101" i="22" s="1"/>
  <c r="AA101" i="22" s="1"/>
  <c r="L101" i="22"/>
  <c r="S101" i="22" s="1"/>
  <c r="Z101" i="22" s="1"/>
  <c r="K101" i="22"/>
  <c r="R101" i="22" s="1"/>
  <c r="Y101" i="22" s="1"/>
  <c r="Q100" i="22"/>
  <c r="X100" i="22" s="1"/>
  <c r="AE100" i="22" s="1"/>
  <c r="P100" i="22"/>
  <c r="W100" i="22" s="1"/>
  <c r="AD100" i="22" s="1"/>
  <c r="O100" i="22"/>
  <c r="V100" i="22" s="1"/>
  <c r="AC100" i="22" s="1"/>
  <c r="N100" i="22"/>
  <c r="U100" i="22" s="1"/>
  <c r="AB100" i="22" s="1"/>
  <c r="M100" i="22"/>
  <c r="T100" i="22" s="1"/>
  <c r="AA100" i="22" s="1"/>
  <c r="L100" i="22"/>
  <c r="S100" i="22" s="1"/>
  <c r="Z100" i="22" s="1"/>
  <c r="K100" i="22"/>
  <c r="R100" i="22" s="1"/>
  <c r="Y100" i="22" s="1"/>
  <c r="Q99" i="22"/>
  <c r="X99" i="22" s="1"/>
  <c r="AE99" i="22" s="1"/>
  <c r="P99" i="22"/>
  <c r="W99" i="22" s="1"/>
  <c r="AD99" i="22" s="1"/>
  <c r="O99" i="22"/>
  <c r="V99" i="22" s="1"/>
  <c r="AC99" i="22" s="1"/>
  <c r="N99" i="22"/>
  <c r="U99" i="22" s="1"/>
  <c r="AB99" i="22" s="1"/>
  <c r="M99" i="22"/>
  <c r="T99" i="22" s="1"/>
  <c r="AA99" i="22" s="1"/>
  <c r="L99" i="22"/>
  <c r="S99" i="22" s="1"/>
  <c r="Z99" i="22" s="1"/>
  <c r="K99" i="22"/>
  <c r="R99" i="22" s="1"/>
  <c r="Y99" i="22" s="1"/>
  <c r="Q98" i="22"/>
  <c r="X98" i="22" s="1"/>
  <c r="AE98" i="22" s="1"/>
  <c r="P98" i="22"/>
  <c r="W98" i="22" s="1"/>
  <c r="AD98" i="22" s="1"/>
  <c r="O98" i="22"/>
  <c r="V98" i="22" s="1"/>
  <c r="AC98" i="22" s="1"/>
  <c r="N98" i="22"/>
  <c r="U98" i="22" s="1"/>
  <c r="AB98" i="22" s="1"/>
  <c r="M98" i="22"/>
  <c r="T98" i="22" s="1"/>
  <c r="AA98" i="22" s="1"/>
  <c r="L98" i="22"/>
  <c r="S98" i="22" s="1"/>
  <c r="Z98" i="22" s="1"/>
  <c r="K98" i="22"/>
  <c r="R98" i="22" s="1"/>
  <c r="Y98" i="22" s="1"/>
  <c r="Q97" i="22"/>
  <c r="X97" i="22" s="1"/>
  <c r="AE97" i="22" s="1"/>
  <c r="P97" i="22"/>
  <c r="W97" i="22" s="1"/>
  <c r="AD97" i="22" s="1"/>
  <c r="O97" i="22"/>
  <c r="V97" i="22" s="1"/>
  <c r="AC97" i="22" s="1"/>
  <c r="N97" i="22"/>
  <c r="U97" i="22" s="1"/>
  <c r="AB97" i="22" s="1"/>
  <c r="M97" i="22"/>
  <c r="T97" i="22" s="1"/>
  <c r="AA97" i="22" s="1"/>
  <c r="L97" i="22"/>
  <c r="S97" i="22" s="1"/>
  <c r="Z97" i="22" s="1"/>
  <c r="K97" i="22"/>
  <c r="R97" i="22" s="1"/>
  <c r="Y97" i="22" s="1"/>
  <c r="Q96" i="22"/>
  <c r="X96" i="22" s="1"/>
  <c r="AE96" i="22" s="1"/>
  <c r="P96" i="22"/>
  <c r="W96" i="22" s="1"/>
  <c r="AD96" i="22" s="1"/>
  <c r="O96" i="22"/>
  <c r="V96" i="22" s="1"/>
  <c r="AC96" i="22" s="1"/>
  <c r="N96" i="22"/>
  <c r="U96" i="22" s="1"/>
  <c r="AB96" i="22" s="1"/>
  <c r="M96" i="22"/>
  <c r="T96" i="22" s="1"/>
  <c r="AA96" i="22" s="1"/>
  <c r="L96" i="22"/>
  <c r="S96" i="22" s="1"/>
  <c r="Z96" i="22" s="1"/>
  <c r="K96" i="22"/>
  <c r="R96" i="22" s="1"/>
  <c r="Y96" i="22" s="1"/>
  <c r="Q95" i="22"/>
  <c r="X95" i="22" s="1"/>
  <c r="AE95" i="22" s="1"/>
  <c r="P95" i="22"/>
  <c r="W95" i="22" s="1"/>
  <c r="AD95" i="22" s="1"/>
  <c r="O95" i="22"/>
  <c r="V95" i="22" s="1"/>
  <c r="AC95" i="22" s="1"/>
  <c r="N95" i="22"/>
  <c r="U95" i="22" s="1"/>
  <c r="AB95" i="22" s="1"/>
  <c r="M95" i="22"/>
  <c r="T95" i="22" s="1"/>
  <c r="AA95" i="22" s="1"/>
  <c r="L95" i="22"/>
  <c r="S95" i="22" s="1"/>
  <c r="Z95" i="22" s="1"/>
  <c r="K95" i="22"/>
  <c r="R95" i="22" s="1"/>
  <c r="Y95" i="22" s="1"/>
  <c r="Q94" i="22"/>
  <c r="X94" i="22" s="1"/>
  <c r="AE94" i="22" s="1"/>
  <c r="P94" i="22"/>
  <c r="W94" i="22" s="1"/>
  <c r="AD94" i="22" s="1"/>
  <c r="O94" i="22"/>
  <c r="V94" i="22" s="1"/>
  <c r="AC94" i="22" s="1"/>
  <c r="N94" i="22"/>
  <c r="U94" i="22" s="1"/>
  <c r="AB94" i="22" s="1"/>
  <c r="M94" i="22"/>
  <c r="T94" i="22" s="1"/>
  <c r="AA94" i="22" s="1"/>
  <c r="L94" i="22"/>
  <c r="S94" i="22" s="1"/>
  <c r="Z94" i="22" s="1"/>
  <c r="K94" i="22"/>
  <c r="R94" i="22" s="1"/>
  <c r="Y94" i="22" s="1"/>
  <c r="Q93" i="22"/>
  <c r="X93" i="22" s="1"/>
  <c r="AE93" i="22" s="1"/>
  <c r="P93" i="22"/>
  <c r="W93" i="22" s="1"/>
  <c r="AD93" i="22" s="1"/>
  <c r="O93" i="22"/>
  <c r="V93" i="22" s="1"/>
  <c r="AC93" i="22" s="1"/>
  <c r="N93" i="22"/>
  <c r="U93" i="22" s="1"/>
  <c r="AB93" i="22" s="1"/>
  <c r="M93" i="22"/>
  <c r="T93" i="22" s="1"/>
  <c r="AA93" i="22" s="1"/>
  <c r="L93" i="22"/>
  <c r="S93" i="22" s="1"/>
  <c r="Z93" i="22" s="1"/>
  <c r="K93" i="22"/>
  <c r="R93" i="22" s="1"/>
  <c r="Y93" i="22" s="1"/>
  <c r="Q92" i="22"/>
  <c r="X92" i="22" s="1"/>
  <c r="AE92" i="22" s="1"/>
  <c r="P92" i="22"/>
  <c r="W92" i="22" s="1"/>
  <c r="AD92" i="22" s="1"/>
  <c r="O92" i="22"/>
  <c r="V92" i="22" s="1"/>
  <c r="AC92" i="22" s="1"/>
  <c r="N92" i="22"/>
  <c r="U92" i="22" s="1"/>
  <c r="AB92" i="22" s="1"/>
  <c r="M92" i="22"/>
  <c r="T92" i="22" s="1"/>
  <c r="AA92" i="22" s="1"/>
  <c r="L92" i="22"/>
  <c r="S92" i="22" s="1"/>
  <c r="Z92" i="22" s="1"/>
  <c r="K92" i="22"/>
  <c r="R92" i="22" s="1"/>
  <c r="Y92" i="22" s="1"/>
  <c r="Q91" i="22"/>
  <c r="X91" i="22" s="1"/>
  <c r="AE91" i="22" s="1"/>
  <c r="P91" i="22"/>
  <c r="W91" i="22" s="1"/>
  <c r="AD91" i="22" s="1"/>
  <c r="O91" i="22"/>
  <c r="V91" i="22" s="1"/>
  <c r="AC91" i="22" s="1"/>
  <c r="N91" i="22"/>
  <c r="U91" i="22" s="1"/>
  <c r="AB91" i="22" s="1"/>
  <c r="M91" i="22"/>
  <c r="T91" i="22" s="1"/>
  <c r="AA91" i="22" s="1"/>
  <c r="L91" i="22"/>
  <c r="S91" i="22" s="1"/>
  <c r="Z91" i="22" s="1"/>
  <c r="K91" i="22"/>
  <c r="R91" i="22" s="1"/>
  <c r="Y91" i="22" s="1"/>
  <c r="Q90" i="22"/>
  <c r="X90" i="22" s="1"/>
  <c r="AE90" i="22" s="1"/>
  <c r="P90" i="22"/>
  <c r="W90" i="22" s="1"/>
  <c r="AD90" i="22" s="1"/>
  <c r="O90" i="22"/>
  <c r="V90" i="22" s="1"/>
  <c r="AC90" i="22" s="1"/>
  <c r="N90" i="22"/>
  <c r="U90" i="22" s="1"/>
  <c r="AB90" i="22" s="1"/>
  <c r="M90" i="22"/>
  <c r="T90" i="22" s="1"/>
  <c r="AA90" i="22" s="1"/>
  <c r="L90" i="22"/>
  <c r="S90" i="22" s="1"/>
  <c r="Z90" i="22" s="1"/>
  <c r="K90" i="22"/>
  <c r="R90" i="22" s="1"/>
  <c r="Y90" i="22" s="1"/>
  <c r="Q89" i="22"/>
  <c r="X89" i="22" s="1"/>
  <c r="AE89" i="22" s="1"/>
  <c r="P89" i="22"/>
  <c r="W89" i="22" s="1"/>
  <c r="AD89" i="22" s="1"/>
  <c r="O89" i="22"/>
  <c r="V89" i="22" s="1"/>
  <c r="AC89" i="22" s="1"/>
  <c r="N89" i="22"/>
  <c r="U89" i="22" s="1"/>
  <c r="AB89" i="22" s="1"/>
  <c r="M89" i="22"/>
  <c r="T89" i="22" s="1"/>
  <c r="AA89" i="22" s="1"/>
  <c r="L89" i="22"/>
  <c r="S89" i="22" s="1"/>
  <c r="Z89" i="22" s="1"/>
  <c r="K89" i="22"/>
  <c r="R89" i="22" s="1"/>
  <c r="Y89" i="22" s="1"/>
  <c r="Q88" i="22"/>
  <c r="X88" i="22" s="1"/>
  <c r="AE88" i="22" s="1"/>
  <c r="P88" i="22"/>
  <c r="W88" i="22" s="1"/>
  <c r="AD88" i="22" s="1"/>
  <c r="O88" i="22"/>
  <c r="V88" i="22" s="1"/>
  <c r="AC88" i="22" s="1"/>
  <c r="N88" i="22"/>
  <c r="U88" i="22" s="1"/>
  <c r="AB88" i="22" s="1"/>
  <c r="M88" i="22"/>
  <c r="T88" i="22" s="1"/>
  <c r="AA88" i="22" s="1"/>
  <c r="L88" i="22"/>
  <c r="S88" i="22" s="1"/>
  <c r="Z88" i="22" s="1"/>
  <c r="K88" i="22"/>
  <c r="R88" i="22" s="1"/>
  <c r="Y88" i="22" s="1"/>
  <c r="Q87" i="22"/>
  <c r="X87" i="22" s="1"/>
  <c r="AE87" i="22" s="1"/>
  <c r="P87" i="22"/>
  <c r="W87" i="22" s="1"/>
  <c r="AD87" i="22" s="1"/>
  <c r="O87" i="22"/>
  <c r="V87" i="22" s="1"/>
  <c r="AC87" i="22" s="1"/>
  <c r="N87" i="22"/>
  <c r="U87" i="22" s="1"/>
  <c r="AB87" i="22" s="1"/>
  <c r="M87" i="22"/>
  <c r="T87" i="22" s="1"/>
  <c r="AA87" i="22" s="1"/>
  <c r="L87" i="22"/>
  <c r="S87" i="22" s="1"/>
  <c r="Z87" i="22" s="1"/>
  <c r="K87" i="22"/>
  <c r="R87" i="22" s="1"/>
  <c r="Y87" i="22" s="1"/>
  <c r="Q86" i="22"/>
  <c r="X86" i="22" s="1"/>
  <c r="AE86" i="22" s="1"/>
  <c r="P86" i="22"/>
  <c r="W86" i="22" s="1"/>
  <c r="AD86" i="22" s="1"/>
  <c r="O86" i="22"/>
  <c r="V86" i="22" s="1"/>
  <c r="AC86" i="22" s="1"/>
  <c r="N86" i="22"/>
  <c r="U86" i="22" s="1"/>
  <c r="AB86" i="22" s="1"/>
  <c r="M86" i="22"/>
  <c r="T86" i="22" s="1"/>
  <c r="AA86" i="22" s="1"/>
  <c r="L86" i="22"/>
  <c r="S86" i="22" s="1"/>
  <c r="Z86" i="22" s="1"/>
  <c r="K86" i="22"/>
  <c r="R86" i="22" s="1"/>
  <c r="Y86" i="22" s="1"/>
  <c r="Q85" i="22"/>
  <c r="X85" i="22" s="1"/>
  <c r="AE85" i="22" s="1"/>
  <c r="P85" i="22"/>
  <c r="W85" i="22" s="1"/>
  <c r="AD85" i="22" s="1"/>
  <c r="O85" i="22"/>
  <c r="V85" i="22" s="1"/>
  <c r="AC85" i="22" s="1"/>
  <c r="N85" i="22"/>
  <c r="U85" i="22" s="1"/>
  <c r="AB85" i="22" s="1"/>
  <c r="M85" i="22"/>
  <c r="T85" i="22" s="1"/>
  <c r="AA85" i="22" s="1"/>
  <c r="L85" i="22"/>
  <c r="S85" i="22" s="1"/>
  <c r="Z85" i="22" s="1"/>
  <c r="K85" i="22"/>
  <c r="R85" i="22" s="1"/>
  <c r="Y85" i="22" s="1"/>
  <c r="Q84" i="22"/>
  <c r="X84" i="22" s="1"/>
  <c r="AE84" i="22" s="1"/>
  <c r="P84" i="22"/>
  <c r="W84" i="22" s="1"/>
  <c r="AD84" i="22" s="1"/>
  <c r="O84" i="22"/>
  <c r="V84" i="22" s="1"/>
  <c r="AC84" i="22" s="1"/>
  <c r="N84" i="22"/>
  <c r="U84" i="22" s="1"/>
  <c r="AB84" i="22" s="1"/>
  <c r="M84" i="22"/>
  <c r="T84" i="22" s="1"/>
  <c r="AA84" i="22" s="1"/>
  <c r="L84" i="22"/>
  <c r="S84" i="22" s="1"/>
  <c r="Z84" i="22" s="1"/>
  <c r="K84" i="22"/>
  <c r="R84" i="22" s="1"/>
  <c r="Y84" i="22" s="1"/>
  <c r="Q83" i="22"/>
  <c r="X83" i="22" s="1"/>
  <c r="AE83" i="22" s="1"/>
  <c r="P83" i="22"/>
  <c r="W83" i="22" s="1"/>
  <c r="AD83" i="22" s="1"/>
  <c r="O83" i="22"/>
  <c r="V83" i="22" s="1"/>
  <c r="AC83" i="22" s="1"/>
  <c r="N83" i="22"/>
  <c r="U83" i="22" s="1"/>
  <c r="AB83" i="22" s="1"/>
  <c r="M83" i="22"/>
  <c r="T83" i="22" s="1"/>
  <c r="AA83" i="22" s="1"/>
  <c r="L83" i="22"/>
  <c r="S83" i="22" s="1"/>
  <c r="Z83" i="22" s="1"/>
  <c r="K83" i="22"/>
  <c r="R83" i="22" s="1"/>
  <c r="Y83" i="22" s="1"/>
  <c r="Q82" i="22"/>
  <c r="X82" i="22" s="1"/>
  <c r="AE82" i="22" s="1"/>
  <c r="P82" i="22"/>
  <c r="W82" i="22" s="1"/>
  <c r="AD82" i="22" s="1"/>
  <c r="O82" i="22"/>
  <c r="V82" i="22" s="1"/>
  <c r="AC82" i="22" s="1"/>
  <c r="N82" i="22"/>
  <c r="U82" i="22" s="1"/>
  <c r="AB82" i="22" s="1"/>
  <c r="M82" i="22"/>
  <c r="T82" i="22" s="1"/>
  <c r="AA82" i="22" s="1"/>
  <c r="L82" i="22"/>
  <c r="S82" i="22" s="1"/>
  <c r="Z82" i="22" s="1"/>
  <c r="K82" i="22"/>
  <c r="R82" i="22" s="1"/>
  <c r="Y82" i="22" s="1"/>
  <c r="Q81" i="22"/>
  <c r="X81" i="22" s="1"/>
  <c r="AE81" i="22" s="1"/>
  <c r="P81" i="22"/>
  <c r="W81" i="22" s="1"/>
  <c r="AD81" i="22" s="1"/>
  <c r="O81" i="22"/>
  <c r="V81" i="22" s="1"/>
  <c r="AC81" i="22" s="1"/>
  <c r="N81" i="22"/>
  <c r="U81" i="22" s="1"/>
  <c r="AB81" i="22" s="1"/>
  <c r="M81" i="22"/>
  <c r="T81" i="22" s="1"/>
  <c r="AA81" i="22" s="1"/>
  <c r="L81" i="22"/>
  <c r="S81" i="22" s="1"/>
  <c r="Z81" i="22" s="1"/>
  <c r="K81" i="22"/>
  <c r="R81" i="22" s="1"/>
  <c r="Y81" i="22" s="1"/>
  <c r="Q80" i="22"/>
  <c r="X80" i="22" s="1"/>
  <c r="AE80" i="22" s="1"/>
  <c r="P80" i="22"/>
  <c r="W80" i="22" s="1"/>
  <c r="AD80" i="22" s="1"/>
  <c r="O80" i="22"/>
  <c r="V80" i="22" s="1"/>
  <c r="AC80" i="22" s="1"/>
  <c r="N80" i="22"/>
  <c r="U80" i="22" s="1"/>
  <c r="AB80" i="22" s="1"/>
  <c r="M80" i="22"/>
  <c r="T80" i="22" s="1"/>
  <c r="AA80" i="22" s="1"/>
  <c r="L80" i="22"/>
  <c r="S80" i="22" s="1"/>
  <c r="Z80" i="22" s="1"/>
  <c r="K80" i="22"/>
  <c r="R80" i="22" s="1"/>
  <c r="Y80" i="22" s="1"/>
  <c r="Q79" i="22"/>
  <c r="X79" i="22" s="1"/>
  <c r="AE79" i="22" s="1"/>
  <c r="P79" i="22"/>
  <c r="W79" i="22" s="1"/>
  <c r="AD79" i="22" s="1"/>
  <c r="O79" i="22"/>
  <c r="V79" i="22" s="1"/>
  <c r="AC79" i="22" s="1"/>
  <c r="N79" i="22"/>
  <c r="U79" i="22" s="1"/>
  <c r="AB79" i="22" s="1"/>
  <c r="M79" i="22"/>
  <c r="T79" i="22" s="1"/>
  <c r="AA79" i="22" s="1"/>
  <c r="L79" i="22"/>
  <c r="S79" i="22" s="1"/>
  <c r="Z79" i="22" s="1"/>
  <c r="K79" i="22"/>
  <c r="R79" i="22" s="1"/>
  <c r="Y79" i="22" s="1"/>
  <c r="Q78" i="22"/>
  <c r="X78" i="22" s="1"/>
  <c r="AE78" i="22" s="1"/>
  <c r="P78" i="22"/>
  <c r="W78" i="22" s="1"/>
  <c r="AD78" i="22" s="1"/>
  <c r="O78" i="22"/>
  <c r="V78" i="22" s="1"/>
  <c r="AC78" i="22" s="1"/>
  <c r="N78" i="22"/>
  <c r="U78" i="22" s="1"/>
  <c r="AB78" i="22" s="1"/>
  <c r="M78" i="22"/>
  <c r="T78" i="22" s="1"/>
  <c r="AA78" i="22" s="1"/>
  <c r="L78" i="22"/>
  <c r="S78" i="22" s="1"/>
  <c r="Z78" i="22" s="1"/>
  <c r="K78" i="22"/>
  <c r="R78" i="22" s="1"/>
  <c r="Y78" i="22" s="1"/>
  <c r="Q77" i="22"/>
  <c r="X77" i="22" s="1"/>
  <c r="AE77" i="22" s="1"/>
  <c r="P77" i="22"/>
  <c r="W77" i="22" s="1"/>
  <c r="AD77" i="22" s="1"/>
  <c r="O77" i="22"/>
  <c r="V77" i="22" s="1"/>
  <c r="AC77" i="22" s="1"/>
  <c r="N77" i="22"/>
  <c r="U77" i="22" s="1"/>
  <c r="AB77" i="22" s="1"/>
  <c r="M77" i="22"/>
  <c r="T77" i="22" s="1"/>
  <c r="AA77" i="22" s="1"/>
  <c r="L77" i="22"/>
  <c r="S77" i="22" s="1"/>
  <c r="Z77" i="22" s="1"/>
  <c r="K77" i="22"/>
  <c r="R77" i="22" s="1"/>
  <c r="Y77" i="22" s="1"/>
  <c r="Q76" i="22"/>
  <c r="X76" i="22" s="1"/>
  <c r="AE76" i="22" s="1"/>
  <c r="P76" i="22"/>
  <c r="W76" i="22" s="1"/>
  <c r="AD76" i="22" s="1"/>
  <c r="O76" i="22"/>
  <c r="V76" i="22" s="1"/>
  <c r="AC76" i="22" s="1"/>
  <c r="N76" i="22"/>
  <c r="U76" i="22" s="1"/>
  <c r="AB76" i="22" s="1"/>
  <c r="M76" i="22"/>
  <c r="T76" i="22" s="1"/>
  <c r="AA76" i="22" s="1"/>
  <c r="L76" i="22"/>
  <c r="S76" i="22" s="1"/>
  <c r="Z76" i="22" s="1"/>
  <c r="K76" i="22"/>
  <c r="R76" i="22" s="1"/>
  <c r="Y76" i="22" s="1"/>
  <c r="Q75" i="22"/>
  <c r="X75" i="22" s="1"/>
  <c r="AE75" i="22" s="1"/>
  <c r="P75" i="22"/>
  <c r="W75" i="22" s="1"/>
  <c r="AD75" i="22" s="1"/>
  <c r="O75" i="22"/>
  <c r="V75" i="22" s="1"/>
  <c r="AC75" i="22" s="1"/>
  <c r="N75" i="22"/>
  <c r="U75" i="22" s="1"/>
  <c r="AB75" i="22" s="1"/>
  <c r="M75" i="22"/>
  <c r="T75" i="22" s="1"/>
  <c r="AA75" i="22" s="1"/>
  <c r="L75" i="22"/>
  <c r="S75" i="22" s="1"/>
  <c r="Z75" i="22" s="1"/>
  <c r="K75" i="22"/>
  <c r="R75" i="22" s="1"/>
  <c r="Y75" i="22" s="1"/>
  <c r="Q74" i="22"/>
  <c r="X74" i="22" s="1"/>
  <c r="AE74" i="22" s="1"/>
  <c r="P74" i="22"/>
  <c r="W74" i="22" s="1"/>
  <c r="AD74" i="22" s="1"/>
  <c r="O74" i="22"/>
  <c r="V74" i="22" s="1"/>
  <c r="AC74" i="22" s="1"/>
  <c r="N74" i="22"/>
  <c r="U74" i="22" s="1"/>
  <c r="AB74" i="22" s="1"/>
  <c r="M74" i="22"/>
  <c r="T74" i="22" s="1"/>
  <c r="AA74" i="22" s="1"/>
  <c r="L74" i="22"/>
  <c r="S74" i="22" s="1"/>
  <c r="Z74" i="22" s="1"/>
  <c r="K74" i="22"/>
  <c r="R74" i="22" s="1"/>
  <c r="Y74" i="22" s="1"/>
  <c r="Q73" i="22"/>
  <c r="X73" i="22" s="1"/>
  <c r="AE73" i="22" s="1"/>
  <c r="P73" i="22"/>
  <c r="W73" i="22" s="1"/>
  <c r="AD73" i="22" s="1"/>
  <c r="O73" i="22"/>
  <c r="V73" i="22" s="1"/>
  <c r="AC73" i="22" s="1"/>
  <c r="N73" i="22"/>
  <c r="U73" i="22" s="1"/>
  <c r="AB73" i="22" s="1"/>
  <c r="M73" i="22"/>
  <c r="T73" i="22" s="1"/>
  <c r="AA73" i="22" s="1"/>
  <c r="L73" i="22"/>
  <c r="S73" i="22" s="1"/>
  <c r="Z73" i="22" s="1"/>
  <c r="K73" i="22"/>
  <c r="R73" i="22" s="1"/>
  <c r="Y73" i="22" s="1"/>
  <c r="Q72" i="22"/>
  <c r="X72" i="22" s="1"/>
  <c r="AE72" i="22" s="1"/>
  <c r="P72" i="22"/>
  <c r="W72" i="22" s="1"/>
  <c r="AD72" i="22" s="1"/>
  <c r="O72" i="22"/>
  <c r="V72" i="22" s="1"/>
  <c r="AC72" i="22" s="1"/>
  <c r="N72" i="22"/>
  <c r="U72" i="22" s="1"/>
  <c r="AB72" i="22" s="1"/>
  <c r="M72" i="22"/>
  <c r="T72" i="22" s="1"/>
  <c r="AA72" i="22" s="1"/>
  <c r="L72" i="22"/>
  <c r="S72" i="22" s="1"/>
  <c r="Z72" i="22" s="1"/>
  <c r="K72" i="22"/>
  <c r="R72" i="22" s="1"/>
  <c r="Y72" i="22" s="1"/>
  <c r="Q71" i="22"/>
  <c r="X71" i="22" s="1"/>
  <c r="AE71" i="22" s="1"/>
  <c r="P71" i="22"/>
  <c r="W71" i="22" s="1"/>
  <c r="AD71" i="22" s="1"/>
  <c r="O71" i="22"/>
  <c r="V71" i="22" s="1"/>
  <c r="AC71" i="22" s="1"/>
  <c r="N71" i="22"/>
  <c r="U71" i="22" s="1"/>
  <c r="AB71" i="22" s="1"/>
  <c r="M71" i="22"/>
  <c r="T71" i="22" s="1"/>
  <c r="AA71" i="22" s="1"/>
  <c r="L71" i="22"/>
  <c r="S71" i="22" s="1"/>
  <c r="Z71" i="22" s="1"/>
  <c r="K71" i="22"/>
  <c r="R71" i="22" s="1"/>
  <c r="Y71" i="22" s="1"/>
  <c r="Q70" i="22"/>
  <c r="X70" i="22" s="1"/>
  <c r="AE70" i="22" s="1"/>
  <c r="P70" i="22"/>
  <c r="W70" i="22" s="1"/>
  <c r="AD70" i="22" s="1"/>
  <c r="O70" i="22"/>
  <c r="V70" i="22" s="1"/>
  <c r="AC70" i="22" s="1"/>
  <c r="N70" i="22"/>
  <c r="U70" i="22" s="1"/>
  <c r="AB70" i="22" s="1"/>
  <c r="M70" i="22"/>
  <c r="T70" i="22" s="1"/>
  <c r="AA70" i="22" s="1"/>
  <c r="L70" i="22"/>
  <c r="S70" i="22" s="1"/>
  <c r="Z70" i="22" s="1"/>
  <c r="K70" i="22"/>
  <c r="R70" i="22" s="1"/>
  <c r="Y70" i="22" s="1"/>
  <c r="Q69" i="22"/>
  <c r="X69" i="22" s="1"/>
  <c r="AE69" i="22" s="1"/>
  <c r="P69" i="22"/>
  <c r="W69" i="22" s="1"/>
  <c r="AD69" i="22" s="1"/>
  <c r="O69" i="22"/>
  <c r="V69" i="22" s="1"/>
  <c r="AC69" i="22" s="1"/>
  <c r="N69" i="22"/>
  <c r="U69" i="22" s="1"/>
  <c r="AB69" i="22" s="1"/>
  <c r="M69" i="22"/>
  <c r="T69" i="22" s="1"/>
  <c r="AA69" i="22" s="1"/>
  <c r="L69" i="22"/>
  <c r="S69" i="22" s="1"/>
  <c r="Z69" i="22" s="1"/>
  <c r="K69" i="22"/>
  <c r="R69" i="22" s="1"/>
  <c r="Y69" i="22" s="1"/>
  <c r="Q68" i="22"/>
  <c r="X68" i="22" s="1"/>
  <c r="AE68" i="22" s="1"/>
  <c r="P68" i="22"/>
  <c r="W68" i="22" s="1"/>
  <c r="AD68" i="22" s="1"/>
  <c r="O68" i="22"/>
  <c r="V68" i="22" s="1"/>
  <c r="AC68" i="22" s="1"/>
  <c r="N68" i="22"/>
  <c r="U68" i="22" s="1"/>
  <c r="AB68" i="22" s="1"/>
  <c r="M68" i="22"/>
  <c r="T68" i="22" s="1"/>
  <c r="AA68" i="22" s="1"/>
  <c r="L68" i="22"/>
  <c r="S68" i="22" s="1"/>
  <c r="Z68" i="22" s="1"/>
  <c r="K68" i="22"/>
  <c r="R68" i="22" s="1"/>
  <c r="Y68" i="22" s="1"/>
  <c r="Q67" i="22"/>
  <c r="X67" i="22" s="1"/>
  <c r="AE67" i="22" s="1"/>
  <c r="P67" i="22"/>
  <c r="W67" i="22" s="1"/>
  <c r="AD67" i="22" s="1"/>
  <c r="O67" i="22"/>
  <c r="V67" i="22" s="1"/>
  <c r="AC67" i="22" s="1"/>
  <c r="N67" i="22"/>
  <c r="U67" i="22" s="1"/>
  <c r="AB67" i="22" s="1"/>
  <c r="M67" i="22"/>
  <c r="T67" i="22" s="1"/>
  <c r="AA67" i="22" s="1"/>
  <c r="L67" i="22"/>
  <c r="S67" i="22" s="1"/>
  <c r="Z67" i="22" s="1"/>
  <c r="K67" i="22"/>
  <c r="R67" i="22" s="1"/>
  <c r="Y67" i="22" s="1"/>
  <c r="Q66" i="22"/>
  <c r="X66" i="22" s="1"/>
  <c r="AE66" i="22" s="1"/>
  <c r="P66" i="22"/>
  <c r="W66" i="22" s="1"/>
  <c r="AD66" i="22" s="1"/>
  <c r="O66" i="22"/>
  <c r="V66" i="22" s="1"/>
  <c r="AC66" i="22" s="1"/>
  <c r="N66" i="22"/>
  <c r="U66" i="22" s="1"/>
  <c r="AB66" i="22" s="1"/>
  <c r="M66" i="22"/>
  <c r="T66" i="22" s="1"/>
  <c r="AA66" i="22" s="1"/>
  <c r="L66" i="22"/>
  <c r="S66" i="22" s="1"/>
  <c r="Z66" i="22" s="1"/>
  <c r="K66" i="22"/>
  <c r="R66" i="22" s="1"/>
  <c r="Y66" i="22" s="1"/>
  <c r="Q65" i="22"/>
  <c r="X65" i="22" s="1"/>
  <c r="AE65" i="22" s="1"/>
  <c r="P65" i="22"/>
  <c r="W65" i="22" s="1"/>
  <c r="AD65" i="22" s="1"/>
  <c r="O65" i="22"/>
  <c r="V65" i="22" s="1"/>
  <c r="AC65" i="22" s="1"/>
  <c r="N65" i="22"/>
  <c r="U65" i="22" s="1"/>
  <c r="AB65" i="22" s="1"/>
  <c r="M65" i="22"/>
  <c r="T65" i="22" s="1"/>
  <c r="AA65" i="22" s="1"/>
  <c r="L65" i="22"/>
  <c r="S65" i="22" s="1"/>
  <c r="Z65" i="22" s="1"/>
  <c r="K65" i="22"/>
  <c r="R65" i="22" s="1"/>
  <c r="Y65" i="22" s="1"/>
  <c r="Q64" i="22"/>
  <c r="X64" i="22" s="1"/>
  <c r="AE64" i="22" s="1"/>
  <c r="P64" i="22"/>
  <c r="W64" i="22" s="1"/>
  <c r="AD64" i="22" s="1"/>
  <c r="O64" i="22"/>
  <c r="V64" i="22" s="1"/>
  <c r="AC64" i="22" s="1"/>
  <c r="N64" i="22"/>
  <c r="U64" i="22" s="1"/>
  <c r="AB64" i="22" s="1"/>
  <c r="M64" i="22"/>
  <c r="T64" i="22" s="1"/>
  <c r="AA64" i="22" s="1"/>
  <c r="L64" i="22"/>
  <c r="S64" i="22" s="1"/>
  <c r="Z64" i="22" s="1"/>
  <c r="K64" i="22"/>
  <c r="R64" i="22" s="1"/>
  <c r="Y64" i="22" s="1"/>
  <c r="Q63" i="22"/>
  <c r="X63" i="22" s="1"/>
  <c r="AE63" i="22" s="1"/>
  <c r="P63" i="22"/>
  <c r="W63" i="22" s="1"/>
  <c r="AD63" i="22" s="1"/>
  <c r="O63" i="22"/>
  <c r="V63" i="22" s="1"/>
  <c r="AC63" i="22" s="1"/>
  <c r="N63" i="22"/>
  <c r="U63" i="22" s="1"/>
  <c r="AB63" i="22" s="1"/>
  <c r="M63" i="22"/>
  <c r="T63" i="22" s="1"/>
  <c r="AA63" i="22" s="1"/>
  <c r="L63" i="22"/>
  <c r="S63" i="22" s="1"/>
  <c r="Z63" i="22" s="1"/>
  <c r="K63" i="22"/>
  <c r="R63" i="22" s="1"/>
  <c r="Y63" i="22" s="1"/>
  <c r="Q62" i="22"/>
  <c r="X62" i="22" s="1"/>
  <c r="AE62" i="22" s="1"/>
  <c r="P62" i="22"/>
  <c r="W62" i="22" s="1"/>
  <c r="AD62" i="22" s="1"/>
  <c r="O62" i="22"/>
  <c r="V62" i="22" s="1"/>
  <c r="AC62" i="22" s="1"/>
  <c r="N62" i="22"/>
  <c r="U62" i="22" s="1"/>
  <c r="AB62" i="22" s="1"/>
  <c r="M62" i="22"/>
  <c r="T62" i="22" s="1"/>
  <c r="AA62" i="22" s="1"/>
  <c r="L62" i="22"/>
  <c r="S62" i="22" s="1"/>
  <c r="Z62" i="22" s="1"/>
  <c r="K62" i="22"/>
  <c r="R62" i="22" s="1"/>
  <c r="Y62" i="22" s="1"/>
  <c r="Q61" i="22"/>
  <c r="X61" i="22" s="1"/>
  <c r="AE61" i="22" s="1"/>
  <c r="P61" i="22"/>
  <c r="W61" i="22" s="1"/>
  <c r="AD61" i="22" s="1"/>
  <c r="O61" i="22"/>
  <c r="V61" i="22" s="1"/>
  <c r="AC61" i="22" s="1"/>
  <c r="N61" i="22"/>
  <c r="U61" i="22" s="1"/>
  <c r="AB61" i="22" s="1"/>
  <c r="M61" i="22"/>
  <c r="T61" i="22" s="1"/>
  <c r="AA61" i="22" s="1"/>
  <c r="L61" i="22"/>
  <c r="S61" i="22" s="1"/>
  <c r="Z61" i="22" s="1"/>
  <c r="K61" i="22"/>
  <c r="R61" i="22" s="1"/>
  <c r="Y61" i="22" s="1"/>
  <c r="Q60" i="22"/>
  <c r="X60" i="22" s="1"/>
  <c r="AE60" i="22" s="1"/>
  <c r="P60" i="22"/>
  <c r="W60" i="22" s="1"/>
  <c r="AD60" i="22" s="1"/>
  <c r="O60" i="22"/>
  <c r="V60" i="22" s="1"/>
  <c r="AC60" i="22" s="1"/>
  <c r="N60" i="22"/>
  <c r="U60" i="22" s="1"/>
  <c r="AB60" i="22" s="1"/>
  <c r="M60" i="22"/>
  <c r="T60" i="22" s="1"/>
  <c r="AA60" i="22" s="1"/>
  <c r="L60" i="22"/>
  <c r="S60" i="22" s="1"/>
  <c r="Z60" i="22" s="1"/>
  <c r="K60" i="22"/>
  <c r="R60" i="22" s="1"/>
  <c r="Y60" i="22" s="1"/>
  <c r="Q59" i="22"/>
  <c r="X59" i="22" s="1"/>
  <c r="AE59" i="22" s="1"/>
  <c r="P59" i="22"/>
  <c r="W59" i="22" s="1"/>
  <c r="AD59" i="22" s="1"/>
  <c r="O59" i="22"/>
  <c r="V59" i="22" s="1"/>
  <c r="AC59" i="22" s="1"/>
  <c r="N59" i="22"/>
  <c r="U59" i="22" s="1"/>
  <c r="AB59" i="22" s="1"/>
  <c r="M59" i="22"/>
  <c r="T59" i="22" s="1"/>
  <c r="AA59" i="22" s="1"/>
  <c r="L59" i="22"/>
  <c r="S59" i="22" s="1"/>
  <c r="Z59" i="22" s="1"/>
  <c r="K59" i="22"/>
  <c r="R59" i="22" s="1"/>
  <c r="Y59" i="22" s="1"/>
  <c r="Q58" i="22"/>
  <c r="X58" i="22" s="1"/>
  <c r="AE58" i="22" s="1"/>
  <c r="P58" i="22"/>
  <c r="W58" i="22" s="1"/>
  <c r="AD58" i="22" s="1"/>
  <c r="O58" i="22"/>
  <c r="V58" i="22" s="1"/>
  <c r="AC58" i="22" s="1"/>
  <c r="N58" i="22"/>
  <c r="U58" i="22" s="1"/>
  <c r="AB58" i="22" s="1"/>
  <c r="M58" i="22"/>
  <c r="T58" i="22" s="1"/>
  <c r="AA58" i="22" s="1"/>
  <c r="L58" i="22"/>
  <c r="S58" i="22" s="1"/>
  <c r="Z58" i="22" s="1"/>
  <c r="K58" i="22"/>
  <c r="R58" i="22" s="1"/>
  <c r="Y58" i="22" s="1"/>
  <c r="Q57" i="22"/>
  <c r="X57" i="22" s="1"/>
  <c r="AE57" i="22" s="1"/>
  <c r="P57" i="22"/>
  <c r="W57" i="22" s="1"/>
  <c r="AD57" i="22" s="1"/>
  <c r="O57" i="22"/>
  <c r="V57" i="22" s="1"/>
  <c r="AC57" i="22" s="1"/>
  <c r="N57" i="22"/>
  <c r="U57" i="22" s="1"/>
  <c r="AB57" i="22" s="1"/>
  <c r="M57" i="22"/>
  <c r="T57" i="22" s="1"/>
  <c r="AA57" i="22" s="1"/>
  <c r="L57" i="22"/>
  <c r="S57" i="22" s="1"/>
  <c r="Z57" i="22" s="1"/>
  <c r="K57" i="22"/>
  <c r="R57" i="22" s="1"/>
  <c r="Y57" i="22" s="1"/>
  <c r="Q56" i="22"/>
  <c r="X56" i="22" s="1"/>
  <c r="AE56" i="22" s="1"/>
  <c r="P56" i="22"/>
  <c r="W56" i="22" s="1"/>
  <c r="AD56" i="22" s="1"/>
  <c r="O56" i="22"/>
  <c r="V56" i="22" s="1"/>
  <c r="AC56" i="22" s="1"/>
  <c r="N56" i="22"/>
  <c r="U56" i="22" s="1"/>
  <c r="AB56" i="22" s="1"/>
  <c r="M56" i="22"/>
  <c r="T56" i="22" s="1"/>
  <c r="AA56" i="22" s="1"/>
  <c r="L56" i="22"/>
  <c r="S56" i="22" s="1"/>
  <c r="Z56" i="22" s="1"/>
  <c r="K56" i="22"/>
  <c r="R56" i="22" s="1"/>
  <c r="Y56" i="22" s="1"/>
  <c r="Q55" i="22"/>
  <c r="X55" i="22" s="1"/>
  <c r="AE55" i="22" s="1"/>
  <c r="P55" i="22"/>
  <c r="W55" i="22" s="1"/>
  <c r="AD55" i="22" s="1"/>
  <c r="O55" i="22"/>
  <c r="V55" i="22" s="1"/>
  <c r="AC55" i="22" s="1"/>
  <c r="N55" i="22"/>
  <c r="U55" i="22" s="1"/>
  <c r="AB55" i="22" s="1"/>
  <c r="M55" i="22"/>
  <c r="T55" i="22" s="1"/>
  <c r="AA55" i="22" s="1"/>
  <c r="L55" i="22"/>
  <c r="S55" i="22" s="1"/>
  <c r="Z55" i="22" s="1"/>
  <c r="K55" i="22"/>
  <c r="R55" i="22" s="1"/>
  <c r="Y55" i="22" s="1"/>
  <c r="Q54" i="22"/>
  <c r="X54" i="22" s="1"/>
  <c r="AE54" i="22" s="1"/>
  <c r="P54" i="22"/>
  <c r="W54" i="22" s="1"/>
  <c r="AD54" i="22" s="1"/>
  <c r="O54" i="22"/>
  <c r="V54" i="22" s="1"/>
  <c r="AC54" i="22" s="1"/>
  <c r="N54" i="22"/>
  <c r="U54" i="22" s="1"/>
  <c r="AB54" i="22" s="1"/>
  <c r="M54" i="22"/>
  <c r="T54" i="22" s="1"/>
  <c r="AA54" i="22" s="1"/>
  <c r="L54" i="22"/>
  <c r="S54" i="22" s="1"/>
  <c r="Z54" i="22" s="1"/>
  <c r="K54" i="22"/>
  <c r="R54" i="22" s="1"/>
  <c r="Y54" i="22" s="1"/>
  <c r="Q53" i="22"/>
  <c r="X53" i="22" s="1"/>
  <c r="AE53" i="22" s="1"/>
  <c r="P53" i="22"/>
  <c r="W53" i="22" s="1"/>
  <c r="AD53" i="22" s="1"/>
  <c r="O53" i="22"/>
  <c r="V53" i="22" s="1"/>
  <c r="AC53" i="22" s="1"/>
  <c r="N53" i="22"/>
  <c r="U53" i="22" s="1"/>
  <c r="AB53" i="22" s="1"/>
  <c r="M53" i="22"/>
  <c r="T53" i="22" s="1"/>
  <c r="AA53" i="22" s="1"/>
  <c r="L53" i="22"/>
  <c r="S53" i="22" s="1"/>
  <c r="Z53" i="22" s="1"/>
  <c r="K53" i="22"/>
  <c r="R53" i="22" s="1"/>
  <c r="Y53" i="22" s="1"/>
  <c r="Q52" i="22"/>
  <c r="X52" i="22" s="1"/>
  <c r="AE52" i="22" s="1"/>
  <c r="P52" i="22"/>
  <c r="W52" i="22" s="1"/>
  <c r="AD52" i="22" s="1"/>
  <c r="O52" i="22"/>
  <c r="V52" i="22" s="1"/>
  <c r="AC52" i="22" s="1"/>
  <c r="N52" i="22"/>
  <c r="U52" i="22" s="1"/>
  <c r="AB52" i="22" s="1"/>
  <c r="M52" i="22"/>
  <c r="T52" i="22" s="1"/>
  <c r="AA52" i="22" s="1"/>
  <c r="L52" i="22"/>
  <c r="S52" i="22" s="1"/>
  <c r="Z52" i="22" s="1"/>
  <c r="K52" i="22"/>
  <c r="R52" i="22" s="1"/>
  <c r="Y52" i="22" s="1"/>
  <c r="Q51" i="22"/>
  <c r="X51" i="22" s="1"/>
  <c r="AE51" i="22" s="1"/>
  <c r="P51" i="22"/>
  <c r="W51" i="22" s="1"/>
  <c r="AD51" i="22" s="1"/>
  <c r="O51" i="22"/>
  <c r="V51" i="22" s="1"/>
  <c r="AC51" i="22" s="1"/>
  <c r="N51" i="22"/>
  <c r="U51" i="22" s="1"/>
  <c r="AB51" i="22" s="1"/>
  <c r="M51" i="22"/>
  <c r="T51" i="22" s="1"/>
  <c r="AA51" i="22" s="1"/>
  <c r="L51" i="22"/>
  <c r="S51" i="22" s="1"/>
  <c r="Z51" i="22" s="1"/>
  <c r="K51" i="22"/>
  <c r="R51" i="22" s="1"/>
  <c r="Y51" i="22" s="1"/>
  <c r="Q50" i="22"/>
  <c r="X50" i="22" s="1"/>
  <c r="AE50" i="22" s="1"/>
  <c r="P50" i="22"/>
  <c r="W50" i="22" s="1"/>
  <c r="AD50" i="22" s="1"/>
  <c r="O50" i="22"/>
  <c r="V50" i="22" s="1"/>
  <c r="AC50" i="22" s="1"/>
  <c r="N50" i="22"/>
  <c r="U50" i="22" s="1"/>
  <c r="AB50" i="22" s="1"/>
  <c r="M50" i="22"/>
  <c r="T50" i="22" s="1"/>
  <c r="AA50" i="22" s="1"/>
  <c r="L50" i="22"/>
  <c r="S50" i="22" s="1"/>
  <c r="Z50" i="22" s="1"/>
  <c r="K50" i="22"/>
  <c r="R50" i="22" s="1"/>
  <c r="Y50" i="22" s="1"/>
  <c r="Q49" i="22"/>
  <c r="X49" i="22" s="1"/>
  <c r="AE49" i="22" s="1"/>
  <c r="P49" i="22"/>
  <c r="W49" i="22" s="1"/>
  <c r="AD49" i="22" s="1"/>
  <c r="O49" i="22"/>
  <c r="V49" i="22" s="1"/>
  <c r="AC49" i="22" s="1"/>
  <c r="N49" i="22"/>
  <c r="U49" i="22" s="1"/>
  <c r="AB49" i="22" s="1"/>
  <c r="M49" i="22"/>
  <c r="T49" i="22" s="1"/>
  <c r="AA49" i="22" s="1"/>
  <c r="L49" i="22"/>
  <c r="S49" i="22" s="1"/>
  <c r="Z49" i="22" s="1"/>
  <c r="K49" i="22"/>
  <c r="R49" i="22" s="1"/>
  <c r="Y49" i="22" s="1"/>
  <c r="Q48" i="22"/>
  <c r="X48" i="22" s="1"/>
  <c r="AE48" i="22" s="1"/>
  <c r="P48" i="22"/>
  <c r="W48" i="22" s="1"/>
  <c r="AD48" i="22" s="1"/>
  <c r="O48" i="22"/>
  <c r="V48" i="22" s="1"/>
  <c r="AC48" i="22" s="1"/>
  <c r="N48" i="22"/>
  <c r="U48" i="22" s="1"/>
  <c r="AB48" i="22" s="1"/>
  <c r="M48" i="22"/>
  <c r="T48" i="22" s="1"/>
  <c r="AA48" i="22" s="1"/>
  <c r="L48" i="22"/>
  <c r="S48" i="22" s="1"/>
  <c r="Z48" i="22" s="1"/>
  <c r="K48" i="22"/>
  <c r="R48" i="22" s="1"/>
  <c r="Y48" i="22" s="1"/>
  <c r="Q47" i="22"/>
  <c r="X47" i="22" s="1"/>
  <c r="AE47" i="22" s="1"/>
  <c r="P47" i="22"/>
  <c r="W47" i="22" s="1"/>
  <c r="AD47" i="22" s="1"/>
  <c r="O47" i="22"/>
  <c r="V47" i="22" s="1"/>
  <c r="AC47" i="22" s="1"/>
  <c r="N47" i="22"/>
  <c r="U47" i="22" s="1"/>
  <c r="AB47" i="22" s="1"/>
  <c r="M47" i="22"/>
  <c r="T47" i="22" s="1"/>
  <c r="AA47" i="22" s="1"/>
  <c r="L47" i="22"/>
  <c r="S47" i="22" s="1"/>
  <c r="Z47" i="22" s="1"/>
  <c r="K47" i="22"/>
  <c r="R47" i="22" s="1"/>
  <c r="Y47" i="22" s="1"/>
  <c r="Q46" i="22"/>
  <c r="X46" i="22" s="1"/>
  <c r="AE46" i="22" s="1"/>
  <c r="P46" i="22"/>
  <c r="W46" i="22" s="1"/>
  <c r="AD46" i="22" s="1"/>
  <c r="O46" i="22"/>
  <c r="V46" i="22" s="1"/>
  <c r="AC46" i="22" s="1"/>
  <c r="N46" i="22"/>
  <c r="U46" i="22" s="1"/>
  <c r="AB46" i="22" s="1"/>
  <c r="M46" i="22"/>
  <c r="T46" i="22" s="1"/>
  <c r="AA46" i="22" s="1"/>
  <c r="L46" i="22"/>
  <c r="S46" i="22" s="1"/>
  <c r="Z46" i="22" s="1"/>
  <c r="K46" i="22"/>
  <c r="R46" i="22" s="1"/>
  <c r="Y46" i="22" s="1"/>
  <c r="Q45" i="22"/>
  <c r="X45" i="22" s="1"/>
  <c r="AE45" i="22" s="1"/>
  <c r="P45" i="22"/>
  <c r="W45" i="22" s="1"/>
  <c r="AD45" i="22" s="1"/>
  <c r="O45" i="22"/>
  <c r="V45" i="22" s="1"/>
  <c r="AC45" i="22" s="1"/>
  <c r="N45" i="22"/>
  <c r="U45" i="22" s="1"/>
  <c r="AB45" i="22" s="1"/>
  <c r="M45" i="22"/>
  <c r="T45" i="22" s="1"/>
  <c r="AA45" i="22" s="1"/>
  <c r="L45" i="22"/>
  <c r="S45" i="22" s="1"/>
  <c r="Z45" i="22" s="1"/>
  <c r="K45" i="22"/>
  <c r="R45" i="22" s="1"/>
  <c r="Y45" i="22" s="1"/>
  <c r="Q44" i="22"/>
  <c r="X44" i="22" s="1"/>
  <c r="AE44" i="22" s="1"/>
  <c r="P44" i="22"/>
  <c r="W44" i="22" s="1"/>
  <c r="AD44" i="22" s="1"/>
  <c r="O44" i="22"/>
  <c r="V44" i="22" s="1"/>
  <c r="AC44" i="22" s="1"/>
  <c r="N44" i="22"/>
  <c r="U44" i="22" s="1"/>
  <c r="AB44" i="22" s="1"/>
  <c r="M44" i="22"/>
  <c r="T44" i="22" s="1"/>
  <c r="AA44" i="22" s="1"/>
  <c r="L44" i="22"/>
  <c r="S44" i="22" s="1"/>
  <c r="Z44" i="22" s="1"/>
  <c r="K44" i="22"/>
  <c r="R44" i="22" s="1"/>
  <c r="Y44" i="22" s="1"/>
  <c r="Q43" i="22"/>
  <c r="X43" i="22" s="1"/>
  <c r="AE43" i="22" s="1"/>
  <c r="P43" i="22"/>
  <c r="W43" i="22" s="1"/>
  <c r="AD43" i="22" s="1"/>
  <c r="O43" i="22"/>
  <c r="V43" i="22" s="1"/>
  <c r="AC43" i="22" s="1"/>
  <c r="N43" i="22"/>
  <c r="U43" i="22" s="1"/>
  <c r="AB43" i="22" s="1"/>
  <c r="M43" i="22"/>
  <c r="T43" i="22" s="1"/>
  <c r="AA43" i="22" s="1"/>
  <c r="L43" i="22"/>
  <c r="S43" i="22" s="1"/>
  <c r="Z43" i="22" s="1"/>
  <c r="K43" i="22"/>
  <c r="R43" i="22" s="1"/>
  <c r="Y43" i="22" s="1"/>
  <c r="Q42" i="22"/>
  <c r="X42" i="22" s="1"/>
  <c r="AE42" i="22" s="1"/>
  <c r="P42" i="22"/>
  <c r="W42" i="22" s="1"/>
  <c r="AD42" i="22" s="1"/>
  <c r="O42" i="22"/>
  <c r="V42" i="22" s="1"/>
  <c r="AC42" i="22" s="1"/>
  <c r="N42" i="22"/>
  <c r="U42" i="22" s="1"/>
  <c r="AB42" i="22" s="1"/>
  <c r="M42" i="22"/>
  <c r="T42" i="22" s="1"/>
  <c r="AA42" i="22" s="1"/>
  <c r="L42" i="22"/>
  <c r="S42" i="22" s="1"/>
  <c r="Z42" i="22" s="1"/>
  <c r="K42" i="22"/>
  <c r="R42" i="22" s="1"/>
  <c r="Y42" i="22" s="1"/>
  <c r="Q41" i="22"/>
  <c r="X41" i="22" s="1"/>
  <c r="AE41" i="22" s="1"/>
  <c r="P41" i="22"/>
  <c r="W41" i="22" s="1"/>
  <c r="AD41" i="22" s="1"/>
  <c r="O41" i="22"/>
  <c r="V41" i="22" s="1"/>
  <c r="AC41" i="22" s="1"/>
  <c r="N41" i="22"/>
  <c r="U41" i="22" s="1"/>
  <c r="AB41" i="22" s="1"/>
  <c r="M41" i="22"/>
  <c r="T41" i="22" s="1"/>
  <c r="AA41" i="22" s="1"/>
  <c r="L41" i="22"/>
  <c r="S41" i="22" s="1"/>
  <c r="Z41" i="22" s="1"/>
  <c r="K41" i="22"/>
  <c r="R41" i="22" s="1"/>
  <c r="Y41" i="22" s="1"/>
  <c r="Q40" i="22"/>
  <c r="X40" i="22" s="1"/>
  <c r="AE40" i="22" s="1"/>
  <c r="P40" i="22"/>
  <c r="W40" i="22" s="1"/>
  <c r="AD40" i="22" s="1"/>
  <c r="O40" i="22"/>
  <c r="V40" i="22" s="1"/>
  <c r="AC40" i="22" s="1"/>
  <c r="N40" i="22"/>
  <c r="U40" i="22" s="1"/>
  <c r="AB40" i="22" s="1"/>
  <c r="M40" i="22"/>
  <c r="T40" i="22" s="1"/>
  <c r="AA40" i="22" s="1"/>
  <c r="L40" i="22"/>
  <c r="S40" i="22" s="1"/>
  <c r="Z40" i="22" s="1"/>
  <c r="K40" i="22"/>
  <c r="R40" i="22" s="1"/>
  <c r="Y40" i="22" s="1"/>
  <c r="Q39" i="22"/>
  <c r="X39" i="22" s="1"/>
  <c r="AE39" i="22" s="1"/>
  <c r="P39" i="22"/>
  <c r="W39" i="22" s="1"/>
  <c r="AD39" i="22" s="1"/>
  <c r="O39" i="22"/>
  <c r="V39" i="22" s="1"/>
  <c r="AC39" i="22" s="1"/>
  <c r="N39" i="22"/>
  <c r="U39" i="22" s="1"/>
  <c r="AB39" i="22" s="1"/>
  <c r="M39" i="22"/>
  <c r="T39" i="22" s="1"/>
  <c r="AA39" i="22" s="1"/>
  <c r="L39" i="22"/>
  <c r="S39" i="22" s="1"/>
  <c r="Z39" i="22" s="1"/>
  <c r="K39" i="22"/>
  <c r="R39" i="22" s="1"/>
  <c r="Y39" i="22" s="1"/>
  <c r="Q38" i="22"/>
  <c r="X38" i="22" s="1"/>
  <c r="AE38" i="22" s="1"/>
  <c r="P38" i="22"/>
  <c r="W38" i="22" s="1"/>
  <c r="AD38" i="22" s="1"/>
  <c r="O38" i="22"/>
  <c r="V38" i="22" s="1"/>
  <c r="AC38" i="22" s="1"/>
  <c r="N38" i="22"/>
  <c r="U38" i="22" s="1"/>
  <c r="AB38" i="22" s="1"/>
  <c r="M38" i="22"/>
  <c r="T38" i="22" s="1"/>
  <c r="AA38" i="22" s="1"/>
  <c r="L38" i="22"/>
  <c r="S38" i="22" s="1"/>
  <c r="Z38" i="22" s="1"/>
  <c r="K38" i="22"/>
  <c r="R38" i="22" s="1"/>
  <c r="Y38" i="22" s="1"/>
  <c r="Q37" i="22"/>
  <c r="X37" i="22" s="1"/>
  <c r="AE37" i="22" s="1"/>
  <c r="P37" i="22"/>
  <c r="W37" i="22" s="1"/>
  <c r="AD37" i="22" s="1"/>
  <c r="O37" i="22"/>
  <c r="V37" i="22" s="1"/>
  <c r="AC37" i="22" s="1"/>
  <c r="N37" i="22"/>
  <c r="U37" i="22" s="1"/>
  <c r="AB37" i="22" s="1"/>
  <c r="M37" i="22"/>
  <c r="T37" i="22" s="1"/>
  <c r="AA37" i="22" s="1"/>
  <c r="L37" i="22"/>
  <c r="S37" i="22" s="1"/>
  <c r="Z37" i="22" s="1"/>
  <c r="K37" i="22"/>
  <c r="R37" i="22" s="1"/>
  <c r="Y37" i="22" s="1"/>
  <c r="Q36" i="22"/>
  <c r="X36" i="22" s="1"/>
  <c r="AE36" i="22" s="1"/>
  <c r="P36" i="22"/>
  <c r="W36" i="22" s="1"/>
  <c r="AD36" i="22" s="1"/>
  <c r="O36" i="22"/>
  <c r="V36" i="22" s="1"/>
  <c r="AC36" i="22" s="1"/>
  <c r="N36" i="22"/>
  <c r="U36" i="22" s="1"/>
  <c r="AB36" i="22" s="1"/>
  <c r="M36" i="22"/>
  <c r="T36" i="22" s="1"/>
  <c r="AA36" i="22" s="1"/>
  <c r="L36" i="22"/>
  <c r="S36" i="22" s="1"/>
  <c r="Z36" i="22" s="1"/>
  <c r="K36" i="22"/>
  <c r="R36" i="22" s="1"/>
  <c r="Y36" i="22" s="1"/>
  <c r="Q35" i="22"/>
  <c r="X35" i="22" s="1"/>
  <c r="AE35" i="22" s="1"/>
  <c r="P35" i="22"/>
  <c r="W35" i="22" s="1"/>
  <c r="AD35" i="22" s="1"/>
  <c r="O35" i="22"/>
  <c r="V35" i="22" s="1"/>
  <c r="AC35" i="22" s="1"/>
  <c r="N35" i="22"/>
  <c r="U35" i="22" s="1"/>
  <c r="AB35" i="22" s="1"/>
  <c r="M35" i="22"/>
  <c r="T35" i="22" s="1"/>
  <c r="AA35" i="22" s="1"/>
  <c r="L35" i="22"/>
  <c r="S35" i="22" s="1"/>
  <c r="Z35" i="22" s="1"/>
  <c r="K35" i="22"/>
  <c r="R35" i="22" s="1"/>
  <c r="Y35" i="22" s="1"/>
  <c r="Q34" i="22"/>
  <c r="X34" i="22" s="1"/>
  <c r="AE34" i="22" s="1"/>
  <c r="P34" i="22"/>
  <c r="W34" i="22" s="1"/>
  <c r="AD34" i="22" s="1"/>
  <c r="O34" i="22"/>
  <c r="V34" i="22" s="1"/>
  <c r="AC34" i="22" s="1"/>
  <c r="N34" i="22"/>
  <c r="U34" i="22" s="1"/>
  <c r="AB34" i="22" s="1"/>
  <c r="M34" i="22"/>
  <c r="T34" i="22" s="1"/>
  <c r="AA34" i="22" s="1"/>
  <c r="L34" i="22"/>
  <c r="S34" i="22" s="1"/>
  <c r="Z34" i="22" s="1"/>
  <c r="K34" i="22"/>
  <c r="R34" i="22" s="1"/>
  <c r="Y34" i="22" s="1"/>
  <c r="Q33" i="22"/>
  <c r="X33" i="22" s="1"/>
  <c r="AE33" i="22" s="1"/>
  <c r="P33" i="22"/>
  <c r="W33" i="22" s="1"/>
  <c r="AD33" i="22" s="1"/>
  <c r="O33" i="22"/>
  <c r="V33" i="22" s="1"/>
  <c r="AC33" i="22" s="1"/>
  <c r="N33" i="22"/>
  <c r="U33" i="22" s="1"/>
  <c r="AB33" i="22" s="1"/>
  <c r="M33" i="22"/>
  <c r="T33" i="22" s="1"/>
  <c r="AA33" i="22" s="1"/>
  <c r="L33" i="22"/>
  <c r="S33" i="22" s="1"/>
  <c r="Z33" i="22" s="1"/>
  <c r="K33" i="22"/>
  <c r="R33" i="22" s="1"/>
  <c r="Y33" i="22" s="1"/>
  <c r="Q32" i="22"/>
  <c r="X32" i="22" s="1"/>
  <c r="AE32" i="22" s="1"/>
  <c r="P32" i="22"/>
  <c r="W32" i="22" s="1"/>
  <c r="AD32" i="22" s="1"/>
  <c r="O32" i="22"/>
  <c r="V32" i="22" s="1"/>
  <c r="AC32" i="22" s="1"/>
  <c r="N32" i="22"/>
  <c r="U32" i="22" s="1"/>
  <c r="AB32" i="22" s="1"/>
  <c r="M32" i="22"/>
  <c r="T32" i="22" s="1"/>
  <c r="AA32" i="22" s="1"/>
  <c r="L32" i="22"/>
  <c r="S32" i="22" s="1"/>
  <c r="Z32" i="22" s="1"/>
  <c r="K32" i="22"/>
  <c r="R32" i="22" s="1"/>
  <c r="Y32" i="22" s="1"/>
  <c r="Q31" i="22"/>
  <c r="X31" i="22" s="1"/>
  <c r="AE31" i="22" s="1"/>
  <c r="P31" i="22"/>
  <c r="W31" i="22" s="1"/>
  <c r="AD31" i="22" s="1"/>
  <c r="O31" i="22"/>
  <c r="V31" i="22" s="1"/>
  <c r="AC31" i="22" s="1"/>
  <c r="N31" i="22"/>
  <c r="U31" i="22" s="1"/>
  <c r="AB31" i="22" s="1"/>
  <c r="M31" i="22"/>
  <c r="T31" i="22" s="1"/>
  <c r="AA31" i="22" s="1"/>
  <c r="L31" i="22"/>
  <c r="S31" i="22" s="1"/>
  <c r="Z31" i="22" s="1"/>
  <c r="K31" i="22"/>
  <c r="R31" i="22" s="1"/>
  <c r="Y31" i="22" s="1"/>
  <c r="Q30" i="22"/>
  <c r="X30" i="22" s="1"/>
  <c r="AE30" i="22" s="1"/>
  <c r="P30" i="22"/>
  <c r="W30" i="22" s="1"/>
  <c r="AD30" i="22" s="1"/>
  <c r="O30" i="22"/>
  <c r="V30" i="22" s="1"/>
  <c r="AC30" i="22" s="1"/>
  <c r="N30" i="22"/>
  <c r="U30" i="22" s="1"/>
  <c r="AB30" i="22" s="1"/>
  <c r="M30" i="22"/>
  <c r="T30" i="22" s="1"/>
  <c r="AA30" i="22" s="1"/>
  <c r="L30" i="22"/>
  <c r="S30" i="22" s="1"/>
  <c r="Z30" i="22" s="1"/>
  <c r="K30" i="22"/>
  <c r="R30" i="22" s="1"/>
  <c r="Y30" i="22" s="1"/>
  <c r="Q29" i="22"/>
  <c r="X29" i="22" s="1"/>
  <c r="AE29" i="22" s="1"/>
  <c r="P29" i="22"/>
  <c r="W29" i="22" s="1"/>
  <c r="AD29" i="22" s="1"/>
  <c r="O29" i="22"/>
  <c r="V29" i="22" s="1"/>
  <c r="AC29" i="22" s="1"/>
  <c r="N29" i="22"/>
  <c r="U29" i="22" s="1"/>
  <c r="AB29" i="22" s="1"/>
  <c r="M29" i="22"/>
  <c r="T29" i="22" s="1"/>
  <c r="AA29" i="22" s="1"/>
  <c r="L29" i="22"/>
  <c r="S29" i="22" s="1"/>
  <c r="Z29" i="22" s="1"/>
  <c r="K29" i="22"/>
  <c r="R29" i="22" s="1"/>
  <c r="Y29" i="22" s="1"/>
  <c r="Q28" i="22"/>
  <c r="X28" i="22" s="1"/>
  <c r="AE28" i="22" s="1"/>
  <c r="P28" i="22"/>
  <c r="W28" i="22" s="1"/>
  <c r="AD28" i="22" s="1"/>
  <c r="O28" i="22"/>
  <c r="V28" i="22" s="1"/>
  <c r="AC28" i="22" s="1"/>
  <c r="N28" i="22"/>
  <c r="U28" i="22" s="1"/>
  <c r="AB28" i="22" s="1"/>
  <c r="M28" i="22"/>
  <c r="T28" i="22" s="1"/>
  <c r="AA28" i="22" s="1"/>
  <c r="L28" i="22"/>
  <c r="S28" i="22" s="1"/>
  <c r="Z28" i="22" s="1"/>
  <c r="K28" i="22"/>
  <c r="R28" i="22" s="1"/>
  <c r="Y28" i="22" s="1"/>
  <c r="Q27" i="22"/>
  <c r="X27" i="22" s="1"/>
  <c r="AE27" i="22" s="1"/>
  <c r="P27" i="22"/>
  <c r="W27" i="22" s="1"/>
  <c r="AD27" i="22" s="1"/>
  <c r="O27" i="22"/>
  <c r="V27" i="22" s="1"/>
  <c r="AC27" i="22" s="1"/>
  <c r="N27" i="22"/>
  <c r="U27" i="22" s="1"/>
  <c r="AB27" i="22" s="1"/>
  <c r="M27" i="22"/>
  <c r="T27" i="22" s="1"/>
  <c r="AA27" i="22" s="1"/>
  <c r="L27" i="22"/>
  <c r="S27" i="22" s="1"/>
  <c r="Z27" i="22" s="1"/>
  <c r="K27" i="22"/>
  <c r="R27" i="22" s="1"/>
  <c r="Y27" i="22" s="1"/>
  <c r="Q26" i="22"/>
  <c r="X26" i="22" s="1"/>
  <c r="AE26" i="22" s="1"/>
  <c r="P26" i="22"/>
  <c r="W26" i="22" s="1"/>
  <c r="AD26" i="22" s="1"/>
  <c r="O26" i="22"/>
  <c r="V26" i="22" s="1"/>
  <c r="AC26" i="22" s="1"/>
  <c r="N26" i="22"/>
  <c r="U26" i="22" s="1"/>
  <c r="AB26" i="22" s="1"/>
  <c r="M26" i="22"/>
  <c r="T26" i="22" s="1"/>
  <c r="AA26" i="22" s="1"/>
  <c r="L26" i="22"/>
  <c r="S26" i="22" s="1"/>
  <c r="Z26" i="22" s="1"/>
  <c r="K26" i="22"/>
  <c r="R26" i="22" s="1"/>
  <c r="Y26" i="22" s="1"/>
  <c r="Q25" i="22"/>
  <c r="X25" i="22" s="1"/>
  <c r="AE25" i="22" s="1"/>
  <c r="P25" i="22"/>
  <c r="W25" i="22" s="1"/>
  <c r="AD25" i="22" s="1"/>
  <c r="O25" i="22"/>
  <c r="V25" i="22" s="1"/>
  <c r="AC25" i="22" s="1"/>
  <c r="N25" i="22"/>
  <c r="U25" i="22" s="1"/>
  <c r="AB25" i="22" s="1"/>
  <c r="M25" i="22"/>
  <c r="T25" i="22" s="1"/>
  <c r="AA25" i="22" s="1"/>
  <c r="L25" i="22"/>
  <c r="S25" i="22" s="1"/>
  <c r="Z25" i="22" s="1"/>
  <c r="K25" i="22"/>
  <c r="R25" i="22" s="1"/>
  <c r="Y25" i="22" s="1"/>
  <c r="Q24" i="22"/>
  <c r="X24" i="22" s="1"/>
  <c r="AE24" i="22" s="1"/>
  <c r="P24" i="22"/>
  <c r="W24" i="22" s="1"/>
  <c r="AD24" i="22" s="1"/>
  <c r="O24" i="22"/>
  <c r="V24" i="22" s="1"/>
  <c r="AC24" i="22" s="1"/>
  <c r="N24" i="22"/>
  <c r="U24" i="22" s="1"/>
  <c r="AB24" i="22" s="1"/>
  <c r="M24" i="22"/>
  <c r="T24" i="22" s="1"/>
  <c r="AA24" i="22" s="1"/>
  <c r="L24" i="22"/>
  <c r="S24" i="22" s="1"/>
  <c r="Z24" i="22" s="1"/>
  <c r="K24" i="22"/>
  <c r="R24" i="22" s="1"/>
  <c r="Y24" i="22" s="1"/>
  <c r="Q23" i="22"/>
  <c r="X23" i="22" s="1"/>
  <c r="AE23" i="22" s="1"/>
  <c r="P23" i="22"/>
  <c r="W23" i="22" s="1"/>
  <c r="AD23" i="22" s="1"/>
  <c r="O23" i="22"/>
  <c r="V23" i="22" s="1"/>
  <c r="AC23" i="22" s="1"/>
  <c r="N23" i="22"/>
  <c r="U23" i="22" s="1"/>
  <c r="AB23" i="22" s="1"/>
  <c r="M23" i="22"/>
  <c r="T23" i="22" s="1"/>
  <c r="AA23" i="22" s="1"/>
  <c r="L23" i="22"/>
  <c r="S23" i="22" s="1"/>
  <c r="Z23" i="22" s="1"/>
  <c r="K23" i="22"/>
  <c r="R23" i="22" s="1"/>
  <c r="Y23" i="22" s="1"/>
  <c r="Q22" i="22"/>
  <c r="X22" i="22" s="1"/>
  <c r="AE22" i="22" s="1"/>
  <c r="P22" i="22"/>
  <c r="W22" i="22" s="1"/>
  <c r="AD22" i="22" s="1"/>
  <c r="O22" i="22"/>
  <c r="V22" i="22" s="1"/>
  <c r="AC22" i="22" s="1"/>
  <c r="N22" i="22"/>
  <c r="U22" i="22" s="1"/>
  <c r="AB22" i="22" s="1"/>
  <c r="M22" i="22"/>
  <c r="T22" i="22" s="1"/>
  <c r="AA22" i="22" s="1"/>
  <c r="L22" i="22"/>
  <c r="S22" i="22" s="1"/>
  <c r="Z22" i="22" s="1"/>
  <c r="K22" i="22"/>
  <c r="R22" i="22" s="1"/>
  <c r="Y22" i="22" s="1"/>
  <c r="Q21" i="22"/>
  <c r="X21" i="22" s="1"/>
  <c r="AE21" i="22" s="1"/>
  <c r="P21" i="22"/>
  <c r="W21" i="22" s="1"/>
  <c r="AD21" i="22" s="1"/>
  <c r="O21" i="22"/>
  <c r="V21" i="22" s="1"/>
  <c r="AC21" i="22" s="1"/>
  <c r="N21" i="22"/>
  <c r="U21" i="22" s="1"/>
  <c r="AB21" i="22" s="1"/>
  <c r="M21" i="22"/>
  <c r="T21" i="22" s="1"/>
  <c r="AA21" i="22" s="1"/>
  <c r="L21" i="22"/>
  <c r="S21" i="22" s="1"/>
  <c r="Z21" i="22" s="1"/>
  <c r="K21" i="22"/>
  <c r="R21" i="22" s="1"/>
  <c r="Y21" i="22" s="1"/>
  <c r="Q20" i="22"/>
  <c r="X20" i="22" s="1"/>
  <c r="AE20" i="22" s="1"/>
  <c r="P20" i="22"/>
  <c r="W20" i="22" s="1"/>
  <c r="AD20" i="22" s="1"/>
  <c r="O20" i="22"/>
  <c r="V20" i="22" s="1"/>
  <c r="AC20" i="22" s="1"/>
  <c r="N20" i="22"/>
  <c r="U20" i="22" s="1"/>
  <c r="AB20" i="22" s="1"/>
  <c r="M20" i="22"/>
  <c r="T20" i="22" s="1"/>
  <c r="AA20" i="22" s="1"/>
  <c r="L20" i="22"/>
  <c r="S20" i="22" s="1"/>
  <c r="Z20" i="22" s="1"/>
  <c r="K20" i="22"/>
  <c r="R20" i="22" s="1"/>
  <c r="Y20" i="22" s="1"/>
  <c r="Q19" i="22"/>
  <c r="X19" i="22" s="1"/>
  <c r="AE19" i="22" s="1"/>
  <c r="P19" i="22"/>
  <c r="W19" i="22" s="1"/>
  <c r="AD19" i="22" s="1"/>
  <c r="O19" i="22"/>
  <c r="V19" i="22" s="1"/>
  <c r="AC19" i="22" s="1"/>
  <c r="N19" i="22"/>
  <c r="U19" i="22" s="1"/>
  <c r="AB19" i="22" s="1"/>
  <c r="M19" i="22"/>
  <c r="T19" i="22" s="1"/>
  <c r="AA19" i="22" s="1"/>
  <c r="L19" i="22"/>
  <c r="S19" i="22" s="1"/>
  <c r="Z19" i="22" s="1"/>
  <c r="K19" i="22"/>
  <c r="R19" i="22" s="1"/>
  <c r="Y19" i="22" s="1"/>
  <c r="Q18" i="22"/>
  <c r="X18" i="22" s="1"/>
  <c r="AE18" i="22" s="1"/>
  <c r="P18" i="22"/>
  <c r="W18" i="22" s="1"/>
  <c r="AD18" i="22" s="1"/>
  <c r="O18" i="22"/>
  <c r="V18" i="22" s="1"/>
  <c r="AC18" i="22" s="1"/>
  <c r="N18" i="22"/>
  <c r="U18" i="22" s="1"/>
  <c r="AB18" i="22" s="1"/>
  <c r="M18" i="22"/>
  <c r="T18" i="22" s="1"/>
  <c r="AA18" i="22" s="1"/>
  <c r="L18" i="22"/>
  <c r="S18" i="22" s="1"/>
  <c r="Z18" i="22" s="1"/>
  <c r="K18" i="22"/>
  <c r="R18" i="22" s="1"/>
  <c r="Y18" i="22" s="1"/>
  <c r="Q17" i="22"/>
  <c r="X17" i="22" s="1"/>
  <c r="AE17" i="22" s="1"/>
  <c r="P17" i="22"/>
  <c r="W17" i="22" s="1"/>
  <c r="AD17" i="22" s="1"/>
  <c r="O17" i="22"/>
  <c r="V17" i="22" s="1"/>
  <c r="AC17" i="22" s="1"/>
  <c r="N17" i="22"/>
  <c r="U17" i="22" s="1"/>
  <c r="AB17" i="22" s="1"/>
  <c r="M17" i="22"/>
  <c r="T17" i="22" s="1"/>
  <c r="AA17" i="22" s="1"/>
  <c r="L17" i="22"/>
  <c r="S17" i="22" s="1"/>
  <c r="Z17" i="22" s="1"/>
  <c r="K17" i="22"/>
  <c r="R17" i="22" s="1"/>
  <c r="Y17" i="22" s="1"/>
  <c r="Q16" i="22"/>
  <c r="X16" i="22" s="1"/>
  <c r="AE16" i="22" s="1"/>
  <c r="P16" i="22"/>
  <c r="W16" i="22" s="1"/>
  <c r="AD16" i="22" s="1"/>
  <c r="O16" i="22"/>
  <c r="V16" i="22" s="1"/>
  <c r="AC16" i="22" s="1"/>
  <c r="N16" i="22"/>
  <c r="U16" i="22" s="1"/>
  <c r="AB16" i="22" s="1"/>
  <c r="M16" i="22"/>
  <c r="T16" i="22" s="1"/>
  <c r="AA16" i="22" s="1"/>
  <c r="L16" i="22"/>
  <c r="S16" i="22" s="1"/>
  <c r="Z16" i="22" s="1"/>
  <c r="K16" i="22"/>
  <c r="R16" i="22" s="1"/>
  <c r="Y16" i="22" s="1"/>
  <c r="Q15" i="22"/>
  <c r="X15" i="22" s="1"/>
  <c r="AE15" i="22" s="1"/>
  <c r="P15" i="22"/>
  <c r="W15" i="22" s="1"/>
  <c r="AD15" i="22" s="1"/>
  <c r="O15" i="22"/>
  <c r="V15" i="22" s="1"/>
  <c r="AC15" i="22" s="1"/>
  <c r="N15" i="22"/>
  <c r="U15" i="22" s="1"/>
  <c r="AB15" i="22" s="1"/>
  <c r="M15" i="22"/>
  <c r="T15" i="22" s="1"/>
  <c r="AA15" i="22" s="1"/>
  <c r="L15" i="22"/>
  <c r="S15" i="22" s="1"/>
  <c r="Z15" i="22" s="1"/>
  <c r="K15" i="22"/>
  <c r="R15" i="22" s="1"/>
  <c r="Y15" i="22" s="1"/>
  <c r="Q14" i="22"/>
  <c r="X14" i="22" s="1"/>
  <c r="AE14" i="22" s="1"/>
  <c r="P14" i="22"/>
  <c r="W14" i="22" s="1"/>
  <c r="AD14" i="22" s="1"/>
  <c r="O14" i="22"/>
  <c r="V14" i="22" s="1"/>
  <c r="AC14" i="22" s="1"/>
  <c r="N14" i="22"/>
  <c r="U14" i="22" s="1"/>
  <c r="AB14" i="22" s="1"/>
  <c r="M14" i="22"/>
  <c r="T14" i="22" s="1"/>
  <c r="AA14" i="22" s="1"/>
  <c r="L14" i="22"/>
  <c r="S14" i="22" s="1"/>
  <c r="Z14" i="22" s="1"/>
  <c r="K14" i="22"/>
  <c r="R14" i="22" s="1"/>
  <c r="Y14" i="22" s="1"/>
  <c r="Q13" i="22"/>
  <c r="X13" i="22" s="1"/>
  <c r="AE13" i="22" s="1"/>
  <c r="P13" i="22"/>
  <c r="W13" i="22" s="1"/>
  <c r="AD13" i="22" s="1"/>
  <c r="O13" i="22"/>
  <c r="V13" i="22" s="1"/>
  <c r="AC13" i="22" s="1"/>
  <c r="N13" i="22"/>
  <c r="U13" i="22" s="1"/>
  <c r="AB13" i="22" s="1"/>
  <c r="M13" i="22"/>
  <c r="T13" i="22" s="1"/>
  <c r="AA13" i="22" s="1"/>
  <c r="L13" i="22"/>
  <c r="S13" i="22" s="1"/>
  <c r="Z13" i="22" s="1"/>
  <c r="K13" i="22"/>
  <c r="R13" i="22" s="1"/>
  <c r="Y13" i="22" s="1"/>
  <c r="Q12" i="22"/>
  <c r="X12" i="22" s="1"/>
  <c r="AE12" i="22" s="1"/>
  <c r="P12" i="22"/>
  <c r="W12" i="22" s="1"/>
  <c r="AD12" i="22" s="1"/>
  <c r="O12" i="22"/>
  <c r="V12" i="22" s="1"/>
  <c r="AC12" i="22" s="1"/>
  <c r="N12" i="22"/>
  <c r="U12" i="22" s="1"/>
  <c r="AB12" i="22" s="1"/>
  <c r="M12" i="22"/>
  <c r="T12" i="22" s="1"/>
  <c r="AA12" i="22" s="1"/>
  <c r="L12" i="22"/>
  <c r="S12" i="22" s="1"/>
  <c r="Z12" i="22" s="1"/>
  <c r="K12" i="22"/>
  <c r="R12" i="22" s="1"/>
  <c r="Y12" i="22" s="1"/>
  <c r="Q11" i="22"/>
  <c r="X11" i="22" s="1"/>
  <c r="AE11" i="22" s="1"/>
  <c r="P11" i="22"/>
  <c r="W11" i="22" s="1"/>
  <c r="AD11" i="22" s="1"/>
  <c r="O11" i="22"/>
  <c r="V11" i="22" s="1"/>
  <c r="AC11" i="22" s="1"/>
  <c r="N11" i="22"/>
  <c r="U11" i="22" s="1"/>
  <c r="AB11" i="22" s="1"/>
  <c r="M11" i="22"/>
  <c r="T11" i="22" s="1"/>
  <c r="AA11" i="22" s="1"/>
  <c r="L11" i="22"/>
  <c r="S11" i="22" s="1"/>
  <c r="Z11" i="22" s="1"/>
  <c r="K11" i="22"/>
  <c r="R11" i="22" s="1"/>
  <c r="Y11" i="22" s="1"/>
  <c r="Q10" i="22"/>
  <c r="X10" i="22" s="1"/>
  <c r="AE10" i="22" s="1"/>
  <c r="P10" i="22"/>
  <c r="W10" i="22" s="1"/>
  <c r="AD10" i="22" s="1"/>
  <c r="O10" i="22"/>
  <c r="V10" i="22" s="1"/>
  <c r="AC10" i="22" s="1"/>
  <c r="N10" i="22"/>
  <c r="U10" i="22" s="1"/>
  <c r="AB10" i="22" s="1"/>
  <c r="M10" i="22"/>
  <c r="T10" i="22" s="1"/>
  <c r="AA10" i="22" s="1"/>
  <c r="L10" i="22"/>
  <c r="S10" i="22" s="1"/>
  <c r="Z10" i="22" s="1"/>
  <c r="K10" i="22"/>
  <c r="R10" i="22" s="1"/>
  <c r="Y10" i="22" s="1"/>
  <c r="Q9" i="22"/>
  <c r="X9" i="22" s="1"/>
  <c r="AE9" i="22" s="1"/>
  <c r="P9" i="22"/>
  <c r="W9" i="22" s="1"/>
  <c r="AD9" i="22" s="1"/>
  <c r="O9" i="22"/>
  <c r="V9" i="22" s="1"/>
  <c r="AC9" i="22" s="1"/>
  <c r="N9" i="22"/>
  <c r="U9" i="22" s="1"/>
  <c r="AB9" i="22" s="1"/>
  <c r="M9" i="22"/>
  <c r="T9" i="22" s="1"/>
  <c r="AA9" i="22" s="1"/>
  <c r="L9" i="22"/>
  <c r="S9" i="22" s="1"/>
  <c r="Z9" i="22" s="1"/>
  <c r="K9" i="22"/>
  <c r="R9" i="22" s="1"/>
  <c r="Y9" i="22" s="1"/>
  <c r="Q8" i="22"/>
  <c r="X8" i="22" s="1"/>
  <c r="AE8" i="22" s="1"/>
  <c r="P8" i="22"/>
  <c r="W8" i="22" s="1"/>
  <c r="AD8" i="22" s="1"/>
  <c r="O8" i="22"/>
  <c r="V8" i="22" s="1"/>
  <c r="AC8" i="22" s="1"/>
  <c r="N8" i="22"/>
  <c r="U8" i="22" s="1"/>
  <c r="AB8" i="22" s="1"/>
  <c r="M8" i="22"/>
  <c r="T8" i="22" s="1"/>
  <c r="AA8" i="22" s="1"/>
  <c r="L8" i="22"/>
  <c r="S8" i="22" s="1"/>
  <c r="Z8" i="22" s="1"/>
  <c r="K8" i="22"/>
  <c r="R8" i="22" s="1"/>
  <c r="Y8" i="22" s="1"/>
  <c r="Q7" i="22"/>
  <c r="X7" i="22" s="1"/>
  <c r="AE7" i="22" s="1"/>
  <c r="P7" i="22"/>
  <c r="W7" i="22" s="1"/>
  <c r="AD7" i="22" s="1"/>
  <c r="O7" i="22"/>
  <c r="V7" i="22" s="1"/>
  <c r="AC7" i="22" s="1"/>
  <c r="N7" i="22"/>
  <c r="U7" i="22" s="1"/>
  <c r="AB7" i="22" s="1"/>
  <c r="M7" i="22"/>
  <c r="T7" i="22" s="1"/>
  <c r="AA7" i="22" s="1"/>
  <c r="L7" i="22"/>
  <c r="S7" i="22" s="1"/>
  <c r="Z7" i="22" s="1"/>
  <c r="K7" i="22"/>
  <c r="R7" i="22" s="1"/>
  <c r="Y7" i="22" s="1"/>
  <c r="Q6" i="22"/>
  <c r="X6" i="22" s="1"/>
  <c r="AE6" i="22" s="1"/>
  <c r="P6" i="22"/>
  <c r="W6" i="22" s="1"/>
  <c r="AD6" i="22" s="1"/>
  <c r="O6" i="22"/>
  <c r="V6" i="22" s="1"/>
  <c r="AC6" i="22" s="1"/>
  <c r="N6" i="22"/>
  <c r="U6" i="22" s="1"/>
  <c r="AB6" i="22" s="1"/>
  <c r="M6" i="22"/>
  <c r="T6" i="22" s="1"/>
  <c r="AA6" i="22" s="1"/>
  <c r="L6" i="22"/>
  <c r="S6" i="22" s="1"/>
  <c r="Z6" i="22" s="1"/>
  <c r="K6" i="22"/>
  <c r="R6" i="22" s="1"/>
  <c r="Y6" i="22" s="1"/>
  <c r="Q5" i="22"/>
  <c r="X5" i="22" s="1"/>
  <c r="AE5" i="22" s="1"/>
  <c r="P5" i="22"/>
  <c r="W5" i="22" s="1"/>
  <c r="AD5" i="22" s="1"/>
  <c r="O5" i="22"/>
  <c r="V5" i="22" s="1"/>
  <c r="AC5" i="22" s="1"/>
  <c r="N5" i="22"/>
  <c r="U5" i="22" s="1"/>
  <c r="AB5" i="22" s="1"/>
  <c r="M5" i="22"/>
  <c r="T5" i="22" s="1"/>
  <c r="AA5" i="22" s="1"/>
  <c r="L5" i="22"/>
  <c r="S5" i="22" s="1"/>
  <c r="Z5" i="22" s="1"/>
  <c r="K5" i="22"/>
  <c r="R5" i="22" s="1"/>
  <c r="Y5" i="22" s="1"/>
  <c r="Q4" i="22"/>
  <c r="X4" i="22" s="1"/>
  <c r="AE4" i="22" s="1"/>
  <c r="P4" i="22"/>
  <c r="W4" i="22" s="1"/>
  <c r="AD4" i="22" s="1"/>
  <c r="O4" i="22"/>
  <c r="V4" i="22" s="1"/>
  <c r="AC4" i="22" s="1"/>
  <c r="N4" i="22"/>
  <c r="U4" i="22" s="1"/>
  <c r="AB4" i="22" s="1"/>
  <c r="M4" i="22"/>
  <c r="T4" i="22" s="1"/>
  <c r="AA4" i="22" s="1"/>
  <c r="L4" i="22"/>
  <c r="S4" i="22" s="1"/>
  <c r="Z4" i="22" s="1"/>
  <c r="K4" i="22"/>
  <c r="R4" i="22" s="1"/>
  <c r="Y4" i="22" s="1"/>
  <c r="Q103" i="21"/>
  <c r="X103" i="21" s="1"/>
  <c r="AE103" i="21" s="1"/>
  <c r="P103" i="21"/>
  <c r="W103" i="21" s="1"/>
  <c r="AD103" i="21" s="1"/>
  <c r="O103" i="21"/>
  <c r="V103" i="21" s="1"/>
  <c r="AC103" i="21" s="1"/>
  <c r="N103" i="21"/>
  <c r="U103" i="21" s="1"/>
  <c r="AB103" i="21" s="1"/>
  <c r="M103" i="21"/>
  <c r="T103" i="21" s="1"/>
  <c r="AA103" i="21" s="1"/>
  <c r="L103" i="21"/>
  <c r="S103" i="21" s="1"/>
  <c r="Z103" i="21" s="1"/>
  <c r="K103" i="21"/>
  <c r="R103" i="21" s="1"/>
  <c r="Y103" i="21" s="1"/>
  <c r="Q102" i="21"/>
  <c r="X102" i="21" s="1"/>
  <c r="AE102" i="21" s="1"/>
  <c r="P102" i="21"/>
  <c r="W102" i="21" s="1"/>
  <c r="AD102" i="21" s="1"/>
  <c r="O102" i="21"/>
  <c r="V102" i="21" s="1"/>
  <c r="AC102" i="21" s="1"/>
  <c r="N102" i="21"/>
  <c r="U102" i="21" s="1"/>
  <c r="AB102" i="21" s="1"/>
  <c r="M102" i="21"/>
  <c r="T102" i="21" s="1"/>
  <c r="AA102" i="21" s="1"/>
  <c r="L102" i="21"/>
  <c r="S102" i="21" s="1"/>
  <c r="Z102" i="21" s="1"/>
  <c r="K102" i="21"/>
  <c r="R102" i="21" s="1"/>
  <c r="Y102" i="21" s="1"/>
  <c r="Q101" i="21"/>
  <c r="X101" i="21" s="1"/>
  <c r="AE101" i="21" s="1"/>
  <c r="P101" i="21"/>
  <c r="W101" i="21" s="1"/>
  <c r="AD101" i="21" s="1"/>
  <c r="O101" i="21"/>
  <c r="V101" i="21" s="1"/>
  <c r="AC101" i="21" s="1"/>
  <c r="N101" i="21"/>
  <c r="U101" i="21" s="1"/>
  <c r="AB101" i="21" s="1"/>
  <c r="M101" i="21"/>
  <c r="T101" i="21" s="1"/>
  <c r="AA101" i="21" s="1"/>
  <c r="L101" i="21"/>
  <c r="S101" i="21" s="1"/>
  <c r="Z101" i="21" s="1"/>
  <c r="K101" i="21"/>
  <c r="R101" i="21" s="1"/>
  <c r="Y101" i="21" s="1"/>
  <c r="Q100" i="21"/>
  <c r="X100" i="21" s="1"/>
  <c r="AE100" i="21" s="1"/>
  <c r="P100" i="21"/>
  <c r="W100" i="21" s="1"/>
  <c r="AD100" i="21" s="1"/>
  <c r="O100" i="21"/>
  <c r="V100" i="21" s="1"/>
  <c r="AC100" i="21" s="1"/>
  <c r="N100" i="21"/>
  <c r="U100" i="21" s="1"/>
  <c r="AB100" i="21" s="1"/>
  <c r="M100" i="21"/>
  <c r="T100" i="21" s="1"/>
  <c r="AA100" i="21" s="1"/>
  <c r="L100" i="21"/>
  <c r="S100" i="21" s="1"/>
  <c r="Z100" i="21" s="1"/>
  <c r="K100" i="21"/>
  <c r="R100" i="21" s="1"/>
  <c r="Y100" i="21" s="1"/>
  <c r="Q99" i="21"/>
  <c r="X99" i="21" s="1"/>
  <c r="AE99" i="21" s="1"/>
  <c r="P99" i="21"/>
  <c r="W99" i="21" s="1"/>
  <c r="AD99" i="21" s="1"/>
  <c r="O99" i="21"/>
  <c r="V99" i="21" s="1"/>
  <c r="AC99" i="21" s="1"/>
  <c r="N99" i="21"/>
  <c r="U99" i="21" s="1"/>
  <c r="AB99" i="21" s="1"/>
  <c r="M99" i="21"/>
  <c r="T99" i="21" s="1"/>
  <c r="AA99" i="21" s="1"/>
  <c r="L99" i="21"/>
  <c r="S99" i="21" s="1"/>
  <c r="Z99" i="21" s="1"/>
  <c r="K99" i="21"/>
  <c r="R99" i="21" s="1"/>
  <c r="Y99" i="21" s="1"/>
  <c r="Q98" i="21"/>
  <c r="X98" i="21" s="1"/>
  <c r="AE98" i="21" s="1"/>
  <c r="P98" i="21"/>
  <c r="W98" i="21" s="1"/>
  <c r="AD98" i="21" s="1"/>
  <c r="O98" i="21"/>
  <c r="V98" i="21" s="1"/>
  <c r="AC98" i="21" s="1"/>
  <c r="N98" i="21"/>
  <c r="U98" i="21" s="1"/>
  <c r="AB98" i="21" s="1"/>
  <c r="M98" i="21"/>
  <c r="T98" i="21" s="1"/>
  <c r="AA98" i="21" s="1"/>
  <c r="L98" i="21"/>
  <c r="S98" i="21" s="1"/>
  <c r="Z98" i="21" s="1"/>
  <c r="K98" i="21"/>
  <c r="R98" i="21" s="1"/>
  <c r="Y98" i="21" s="1"/>
  <c r="Q97" i="21"/>
  <c r="X97" i="21" s="1"/>
  <c r="AE97" i="21" s="1"/>
  <c r="P97" i="21"/>
  <c r="W97" i="21" s="1"/>
  <c r="AD97" i="21" s="1"/>
  <c r="O97" i="21"/>
  <c r="V97" i="21" s="1"/>
  <c r="AC97" i="21" s="1"/>
  <c r="N97" i="21"/>
  <c r="U97" i="21" s="1"/>
  <c r="AB97" i="21" s="1"/>
  <c r="M97" i="21"/>
  <c r="T97" i="21" s="1"/>
  <c r="AA97" i="21" s="1"/>
  <c r="L97" i="21"/>
  <c r="S97" i="21" s="1"/>
  <c r="Z97" i="21" s="1"/>
  <c r="K97" i="21"/>
  <c r="R97" i="21" s="1"/>
  <c r="Y97" i="21" s="1"/>
  <c r="Q96" i="21"/>
  <c r="X96" i="21" s="1"/>
  <c r="AE96" i="21" s="1"/>
  <c r="P96" i="21"/>
  <c r="W96" i="21" s="1"/>
  <c r="AD96" i="21" s="1"/>
  <c r="O96" i="21"/>
  <c r="V96" i="21" s="1"/>
  <c r="AC96" i="21" s="1"/>
  <c r="N96" i="21"/>
  <c r="U96" i="21" s="1"/>
  <c r="AB96" i="21" s="1"/>
  <c r="M96" i="21"/>
  <c r="T96" i="21" s="1"/>
  <c r="AA96" i="21" s="1"/>
  <c r="L96" i="21"/>
  <c r="S96" i="21" s="1"/>
  <c r="Z96" i="21" s="1"/>
  <c r="K96" i="21"/>
  <c r="R96" i="21" s="1"/>
  <c r="Y96" i="21" s="1"/>
  <c r="Q95" i="21"/>
  <c r="X95" i="21" s="1"/>
  <c r="AE95" i="21" s="1"/>
  <c r="P95" i="21"/>
  <c r="W95" i="21" s="1"/>
  <c r="AD95" i="21" s="1"/>
  <c r="O95" i="21"/>
  <c r="V95" i="21" s="1"/>
  <c r="AC95" i="21" s="1"/>
  <c r="N95" i="21"/>
  <c r="U95" i="21" s="1"/>
  <c r="AB95" i="21" s="1"/>
  <c r="M95" i="21"/>
  <c r="T95" i="21" s="1"/>
  <c r="AA95" i="21" s="1"/>
  <c r="L95" i="21"/>
  <c r="S95" i="21" s="1"/>
  <c r="Z95" i="21" s="1"/>
  <c r="K95" i="21"/>
  <c r="R95" i="21" s="1"/>
  <c r="Y95" i="21" s="1"/>
  <c r="Q94" i="21"/>
  <c r="X94" i="21" s="1"/>
  <c r="AE94" i="21" s="1"/>
  <c r="P94" i="21"/>
  <c r="W94" i="21" s="1"/>
  <c r="AD94" i="21" s="1"/>
  <c r="O94" i="21"/>
  <c r="V94" i="21" s="1"/>
  <c r="AC94" i="21" s="1"/>
  <c r="N94" i="21"/>
  <c r="U94" i="21" s="1"/>
  <c r="AB94" i="21" s="1"/>
  <c r="M94" i="21"/>
  <c r="T94" i="21" s="1"/>
  <c r="AA94" i="21" s="1"/>
  <c r="L94" i="21"/>
  <c r="S94" i="21" s="1"/>
  <c r="Z94" i="21" s="1"/>
  <c r="K94" i="21"/>
  <c r="R94" i="21" s="1"/>
  <c r="Y94" i="21" s="1"/>
  <c r="Q93" i="21"/>
  <c r="X93" i="21" s="1"/>
  <c r="AE93" i="21" s="1"/>
  <c r="P93" i="21"/>
  <c r="W93" i="21" s="1"/>
  <c r="AD93" i="21" s="1"/>
  <c r="O93" i="21"/>
  <c r="V93" i="21" s="1"/>
  <c r="AC93" i="21" s="1"/>
  <c r="N93" i="21"/>
  <c r="U93" i="21" s="1"/>
  <c r="AB93" i="21" s="1"/>
  <c r="M93" i="21"/>
  <c r="T93" i="21" s="1"/>
  <c r="AA93" i="21" s="1"/>
  <c r="L93" i="21"/>
  <c r="S93" i="21" s="1"/>
  <c r="Z93" i="21" s="1"/>
  <c r="K93" i="21"/>
  <c r="R93" i="21" s="1"/>
  <c r="Y93" i="21" s="1"/>
  <c r="Q92" i="21"/>
  <c r="X92" i="21" s="1"/>
  <c r="AE92" i="21" s="1"/>
  <c r="P92" i="21"/>
  <c r="W92" i="21" s="1"/>
  <c r="AD92" i="21" s="1"/>
  <c r="O92" i="21"/>
  <c r="V92" i="21" s="1"/>
  <c r="AC92" i="21" s="1"/>
  <c r="N92" i="21"/>
  <c r="U92" i="21" s="1"/>
  <c r="AB92" i="21" s="1"/>
  <c r="M92" i="21"/>
  <c r="T92" i="21" s="1"/>
  <c r="AA92" i="21" s="1"/>
  <c r="L92" i="21"/>
  <c r="S92" i="21" s="1"/>
  <c r="Z92" i="21" s="1"/>
  <c r="K92" i="21"/>
  <c r="R92" i="21" s="1"/>
  <c r="Y92" i="21" s="1"/>
  <c r="Q91" i="21"/>
  <c r="P91" i="21"/>
  <c r="W91" i="21" s="1"/>
  <c r="AD91" i="21" s="1"/>
  <c r="O91" i="21"/>
  <c r="V91" i="21" s="1"/>
  <c r="AC91" i="21" s="1"/>
  <c r="N91" i="21"/>
  <c r="U91" i="21" s="1"/>
  <c r="AB91" i="21" s="1"/>
  <c r="M91" i="21"/>
  <c r="T91" i="21" s="1"/>
  <c r="AA91" i="21" s="1"/>
  <c r="L91" i="21"/>
  <c r="S91" i="21" s="1"/>
  <c r="Z91" i="21" s="1"/>
  <c r="K91" i="21"/>
  <c r="R91" i="21" s="1"/>
  <c r="Y91" i="21" s="1"/>
  <c r="Q90" i="21"/>
  <c r="X90" i="21" s="1"/>
  <c r="AE90" i="21" s="1"/>
  <c r="P90" i="21"/>
  <c r="W90" i="21" s="1"/>
  <c r="AD90" i="21" s="1"/>
  <c r="O90" i="21"/>
  <c r="V90" i="21" s="1"/>
  <c r="AC90" i="21" s="1"/>
  <c r="N90" i="21"/>
  <c r="U90" i="21" s="1"/>
  <c r="AB90" i="21" s="1"/>
  <c r="M90" i="21"/>
  <c r="T90" i="21" s="1"/>
  <c r="AA90" i="21" s="1"/>
  <c r="L90" i="21"/>
  <c r="S90" i="21" s="1"/>
  <c r="Z90" i="21" s="1"/>
  <c r="K90" i="21"/>
  <c r="R90" i="21" s="1"/>
  <c r="Y90" i="21" s="1"/>
  <c r="Q89" i="21"/>
  <c r="X89" i="21" s="1"/>
  <c r="AE89" i="21" s="1"/>
  <c r="P89" i="21"/>
  <c r="W89" i="21" s="1"/>
  <c r="AD89" i="21" s="1"/>
  <c r="O89" i="21"/>
  <c r="V89" i="21" s="1"/>
  <c r="AC89" i="21" s="1"/>
  <c r="N89" i="21"/>
  <c r="U89" i="21" s="1"/>
  <c r="AB89" i="21" s="1"/>
  <c r="M89" i="21"/>
  <c r="T89" i="21" s="1"/>
  <c r="AA89" i="21" s="1"/>
  <c r="L89" i="21"/>
  <c r="S89" i="21" s="1"/>
  <c r="Z89" i="21" s="1"/>
  <c r="K89" i="21"/>
  <c r="R89" i="21" s="1"/>
  <c r="Y89" i="21" s="1"/>
  <c r="Q88" i="21"/>
  <c r="X88" i="21" s="1"/>
  <c r="AE88" i="21" s="1"/>
  <c r="P88" i="21"/>
  <c r="W88" i="21" s="1"/>
  <c r="AD88" i="21" s="1"/>
  <c r="O88" i="21"/>
  <c r="V88" i="21" s="1"/>
  <c r="AC88" i="21" s="1"/>
  <c r="N88" i="21"/>
  <c r="U88" i="21" s="1"/>
  <c r="AB88" i="21" s="1"/>
  <c r="M88" i="21"/>
  <c r="T88" i="21" s="1"/>
  <c r="AA88" i="21" s="1"/>
  <c r="L88" i="21"/>
  <c r="S88" i="21" s="1"/>
  <c r="Z88" i="21" s="1"/>
  <c r="K88" i="21"/>
  <c r="R88" i="21" s="1"/>
  <c r="Y88" i="21" s="1"/>
  <c r="Q87" i="21"/>
  <c r="X87" i="21" s="1"/>
  <c r="AE87" i="21" s="1"/>
  <c r="P87" i="21"/>
  <c r="W87" i="21" s="1"/>
  <c r="AD87" i="21" s="1"/>
  <c r="O87" i="21"/>
  <c r="V87" i="21" s="1"/>
  <c r="AC87" i="21" s="1"/>
  <c r="N87" i="21"/>
  <c r="U87" i="21" s="1"/>
  <c r="AB87" i="21" s="1"/>
  <c r="M87" i="21"/>
  <c r="T87" i="21" s="1"/>
  <c r="AA87" i="21" s="1"/>
  <c r="L87" i="21"/>
  <c r="S87" i="21" s="1"/>
  <c r="Z87" i="21" s="1"/>
  <c r="K87" i="21"/>
  <c r="R87" i="21" s="1"/>
  <c r="Y87" i="21" s="1"/>
  <c r="Q86" i="21"/>
  <c r="X86" i="21" s="1"/>
  <c r="AE86" i="21" s="1"/>
  <c r="P86" i="21"/>
  <c r="W86" i="21" s="1"/>
  <c r="AD86" i="21" s="1"/>
  <c r="O86" i="21"/>
  <c r="V86" i="21" s="1"/>
  <c r="AC86" i="21" s="1"/>
  <c r="N86" i="21"/>
  <c r="U86" i="21" s="1"/>
  <c r="AB86" i="21" s="1"/>
  <c r="M86" i="21"/>
  <c r="T86" i="21" s="1"/>
  <c r="AA86" i="21" s="1"/>
  <c r="L86" i="21"/>
  <c r="S86" i="21" s="1"/>
  <c r="Z86" i="21" s="1"/>
  <c r="K86" i="21"/>
  <c r="R86" i="21" s="1"/>
  <c r="Y86" i="21" s="1"/>
  <c r="Q85" i="21"/>
  <c r="X85" i="21" s="1"/>
  <c r="AE85" i="21" s="1"/>
  <c r="P85" i="21"/>
  <c r="W85" i="21" s="1"/>
  <c r="AD85" i="21" s="1"/>
  <c r="O85" i="21"/>
  <c r="V85" i="21" s="1"/>
  <c r="AC85" i="21" s="1"/>
  <c r="N85" i="21"/>
  <c r="U85" i="21" s="1"/>
  <c r="AB85" i="21" s="1"/>
  <c r="M85" i="21"/>
  <c r="T85" i="21" s="1"/>
  <c r="AA85" i="21" s="1"/>
  <c r="L85" i="21"/>
  <c r="S85" i="21" s="1"/>
  <c r="Z85" i="21" s="1"/>
  <c r="K85" i="21"/>
  <c r="R85" i="21" s="1"/>
  <c r="Y85" i="21" s="1"/>
  <c r="Q84" i="21"/>
  <c r="X84" i="21" s="1"/>
  <c r="AE84" i="21" s="1"/>
  <c r="P84" i="21"/>
  <c r="W84" i="21" s="1"/>
  <c r="AD84" i="21" s="1"/>
  <c r="O84" i="21"/>
  <c r="V84" i="21" s="1"/>
  <c r="AC84" i="21" s="1"/>
  <c r="N84" i="21"/>
  <c r="U84" i="21" s="1"/>
  <c r="AB84" i="21" s="1"/>
  <c r="M84" i="21"/>
  <c r="T84" i="21" s="1"/>
  <c r="AA84" i="21" s="1"/>
  <c r="L84" i="21"/>
  <c r="S84" i="21" s="1"/>
  <c r="Z84" i="21" s="1"/>
  <c r="K84" i="21"/>
  <c r="R84" i="21" s="1"/>
  <c r="Y84" i="21" s="1"/>
  <c r="Q83" i="21"/>
  <c r="X83" i="21" s="1"/>
  <c r="AE83" i="21" s="1"/>
  <c r="P83" i="21"/>
  <c r="W83" i="21" s="1"/>
  <c r="AD83" i="21" s="1"/>
  <c r="O83" i="21"/>
  <c r="V83" i="21" s="1"/>
  <c r="AC83" i="21" s="1"/>
  <c r="N83" i="21"/>
  <c r="U83" i="21" s="1"/>
  <c r="AB83" i="21" s="1"/>
  <c r="M83" i="21"/>
  <c r="T83" i="21" s="1"/>
  <c r="AA83" i="21" s="1"/>
  <c r="L83" i="21"/>
  <c r="S83" i="21" s="1"/>
  <c r="Z83" i="21" s="1"/>
  <c r="K83" i="21"/>
  <c r="R83" i="21" s="1"/>
  <c r="Y83" i="21" s="1"/>
  <c r="Q82" i="21"/>
  <c r="X82" i="21" s="1"/>
  <c r="AE82" i="21" s="1"/>
  <c r="P82" i="21"/>
  <c r="W82" i="21" s="1"/>
  <c r="AD82" i="21" s="1"/>
  <c r="O82" i="21"/>
  <c r="V82" i="21" s="1"/>
  <c r="AC82" i="21" s="1"/>
  <c r="N82" i="21"/>
  <c r="U82" i="21" s="1"/>
  <c r="AB82" i="21" s="1"/>
  <c r="M82" i="21"/>
  <c r="T82" i="21" s="1"/>
  <c r="AA82" i="21" s="1"/>
  <c r="L82" i="21"/>
  <c r="S82" i="21" s="1"/>
  <c r="Z82" i="21" s="1"/>
  <c r="K82" i="21"/>
  <c r="R82" i="21" s="1"/>
  <c r="Y82" i="21" s="1"/>
  <c r="Q81" i="21"/>
  <c r="X81" i="21" s="1"/>
  <c r="AE81" i="21" s="1"/>
  <c r="P81" i="21"/>
  <c r="W81" i="21" s="1"/>
  <c r="AD81" i="21" s="1"/>
  <c r="O81" i="21"/>
  <c r="V81" i="21" s="1"/>
  <c r="AC81" i="21" s="1"/>
  <c r="N81" i="21"/>
  <c r="U81" i="21" s="1"/>
  <c r="AB81" i="21" s="1"/>
  <c r="M81" i="21"/>
  <c r="T81" i="21" s="1"/>
  <c r="AA81" i="21" s="1"/>
  <c r="L81" i="21"/>
  <c r="S81" i="21" s="1"/>
  <c r="Z81" i="21" s="1"/>
  <c r="K81" i="21"/>
  <c r="R81" i="21" s="1"/>
  <c r="Y81" i="21" s="1"/>
  <c r="Q80" i="21"/>
  <c r="X80" i="21" s="1"/>
  <c r="AE80" i="21" s="1"/>
  <c r="P80" i="21"/>
  <c r="W80" i="21" s="1"/>
  <c r="AD80" i="21" s="1"/>
  <c r="O80" i="21"/>
  <c r="V80" i="21" s="1"/>
  <c r="AC80" i="21" s="1"/>
  <c r="N80" i="21"/>
  <c r="U80" i="21" s="1"/>
  <c r="AB80" i="21" s="1"/>
  <c r="M80" i="21"/>
  <c r="T80" i="21" s="1"/>
  <c r="AA80" i="21" s="1"/>
  <c r="L80" i="21"/>
  <c r="S80" i="21" s="1"/>
  <c r="Z80" i="21" s="1"/>
  <c r="K80" i="21"/>
  <c r="R80" i="21" s="1"/>
  <c r="Y80" i="21" s="1"/>
  <c r="Q79" i="21"/>
  <c r="X79" i="21" s="1"/>
  <c r="AE79" i="21" s="1"/>
  <c r="P79" i="21"/>
  <c r="W79" i="21" s="1"/>
  <c r="AD79" i="21" s="1"/>
  <c r="O79" i="21"/>
  <c r="V79" i="21" s="1"/>
  <c r="AC79" i="21" s="1"/>
  <c r="N79" i="21"/>
  <c r="U79" i="21" s="1"/>
  <c r="AB79" i="21" s="1"/>
  <c r="M79" i="21"/>
  <c r="T79" i="21" s="1"/>
  <c r="AA79" i="21" s="1"/>
  <c r="L79" i="21"/>
  <c r="S79" i="21" s="1"/>
  <c r="Z79" i="21" s="1"/>
  <c r="K79" i="21"/>
  <c r="R79" i="21" s="1"/>
  <c r="Y79" i="21" s="1"/>
  <c r="Q78" i="21"/>
  <c r="X78" i="21" s="1"/>
  <c r="AE78" i="21" s="1"/>
  <c r="P78" i="21"/>
  <c r="W78" i="21" s="1"/>
  <c r="AD78" i="21" s="1"/>
  <c r="O78" i="21"/>
  <c r="V78" i="21" s="1"/>
  <c r="AC78" i="21" s="1"/>
  <c r="N78" i="21"/>
  <c r="U78" i="21" s="1"/>
  <c r="AB78" i="21" s="1"/>
  <c r="M78" i="21"/>
  <c r="T78" i="21" s="1"/>
  <c r="AA78" i="21" s="1"/>
  <c r="L78" i="21"/>
  <c r="S78" i="21" s="1"/>
  <c r="Z78" i="21" s="1"/>
  <c r="K78" i="21"/>
  <c r="R78" i="21" s="1"/>
  <c r="Y78" i="21" s="1"/>
  <c r="Q77" i="21"/>
  <c r="X77" i="21" s="1"/>
  <c r="AE77" i="21" s="1"/>
  <c r="P77" i="21"/>
  <c r="W77" i="21" s="1"/>
  <c r="AD77" i="21" s="1"/>
  <c r="O77" i="21"/>
  <c r="V77" i="21" s="1"/>
  <c r="AC77" i="21" s="1"/>
  <c r="N77" i="21"/>
  <c r="U77" i="21" s="1"/>
  <c r="AB77" i="21" s="1"/>
  <c r="M77" i="21"/>
  <c r="T77" i="21" s="1"/>
  <c r="AA77" i="21" s="1"/>
  <c r="L77" i="21"/>
  <c r="S77" i="21" s="1"/>
  <c r="Z77" i="21" s="1"/>
  <c r="K77" i="21"/>
  <c r="R77" i="21" s="1"/>
  <c r="Y77" i="21" s="1"/>
  <c r="Q76" i="21"/>
  <c r="X76" i="21" s="1"/>
  <c r="AE76" i="21" s="1"/>
  <c r="P76" i="21"/>
  <c r="W76" i="21" s="1"/>
  <c r="AD76" i="21" s="1"/>
  <c r="O76" i="21"/>
  <c r="V76" i="21" s="1"/>
  <c r="AC76" i="21" s="1"/>
  <c r="N76" i="21"/>
  <c r="U76" i="21" s="1"/>
  <c r="AB76" i="21" s="1"/>
  <c r="M76" i="21"/>
  <c r="T76" i="21" s="1"/>
  <c r="AA76" i="21" s="1"/>
  <c r="L76" i="21"/>
  <c r="S76" i="21" s="1"/>
  <c r="Z76" i="21" s="1"/>
  <c r="K76" i="21"/>
  <c r="R76" i="21" s="1"/>
  <c r="Y76" i="21" s="1"/>
  <c r="Q75" i="21"/>
  <c r="X75" i="21" s="1"/>
  <c r="AE75" i="21" s="1"/>
  <c r="P75" i="21"/>
  <c r="W75" i="21" s="1"/>
  <c r="AD75" i="21" s="1"/>
  <c r="O75" i="21"/>
  <c r="V75" i="21" s="1"/>
  <c r="AC75" i="21" s="1"/>
  <c r="N75" i="21"/>
  <c r="U75" i="21" s="1"/>
  <c r="AB75" i="21" s="1"/>
  <c r="M75" i="21"/>
  <c r="T75" i="21" s="1"/>
  <c r="AA75" i="21" s="1"/>
  <c r="L75" i="21"/>
  <c r="S75" i="21" s="1"/>
  <c r="Z75" i="21" s="1"/>
  <c r="K75" i="21"/>
  <c r="R75" i="21" s="1"/>
  <c r="Y75" i="21" s="1"/>
  <c r="Q74" i="21"/>
  <c r="X74" i="21" s="1"/>
  <c r="AE74" i="21" s="1"/>
  <c r="P74" i="21"/>
  <c r="W74" i="21" s="1"/>
  <c r="AD74" i="21" s="1"/>
  <c r="O74" i="21"/>
  <c r="V74" i="21" s="1"/>
  <c r="AC74" i="21" s="1"/>
  <c r="N74" i="21"/>
  <c r="U74" i="21" s="1"/>
  <c r="AB74" i="21" s="1"/>
  <c r="M74" i="21"/>
  <c r="T74" i="21" s="1"/>
  <c r="AA74" i="21" s="1"/>
  <c r="L74" i="21"/>
  <c r="S74" i="21" s="1"/>
  <c r="Z74" i="21" s="1"/>
  <c r="K74" i="21"/>
  <c r="R74" i="21" s="1"/>
  <c r="Y74" i="21" s="1"/>
  <c r="Q73" i="21"/>
  <c r="X73" i="21" s="1"/>
  <c r="AE73" i="21" s="1"/>
  <c r="P73" i="21"/>
  <c r="W73" i="21" s="1"/>
  <c r="AD73" i="21" s="1"/>
  <c r="O73" i="21"/>
  <c r="V73" i="21" s="1"/>
  <c r="AC73" i="21" s="1"/>
  <c r="N73" i="21"/>
  <c r="U73" i="21" s="1"/>
  <c r="AB73" i="21" s="1"/>
  <c r="M73" i="21"/>
  <c r="T73" i="21" s="1"/>
  <c r="AA73" i="21" s="1"/>
  <c r="L73" i="21"/>
  <c r="S73" i="21" s="1"/>
  <c r="Z73" i="21" s="1"/>
  <c r="K73" i="21"/>
  <c r="R73" i="21" s="1"/>
  <c r="Y73" i="21" s="1"/>
  <c r="Q72" i="21"/>
  <c r="X72" i="21" s="1"/>
  <c r="AE72" i="21" s="1"/>
  <c r="P72" i="21"/>
  <c r="W72" i="21" s="1"/>
  <c r="AD72" i="21" s="1"/>
  <c r="O72" i="21"/>
  <c r="V72" i="21" s="1"/>
  <c r="AC72" i="21" s="1"/>
  <c r="N72" i="21"/>
  <c r="U72" i="21" s="1"/>
  <c r="AB72" i="21" s="1"/>
  <c r="M72" i="21"/>
  <c r="T72" i="21" s="1"/>
  <c r="AA72" i="21" s="1"/>
  <c r="L72" i="21"/>
  <c r="S72" i="21" s="1"/>
  <c r="Z72" i="21" s="1"/>
  <c r="K72" i="21"/>
  <c r="R72" i="21" s="1"/>
  <c r="Y72" i="21" s="1"/>
  <c r="Q71" i="21"/>
  <c r="X71" i="21" s="1"/>
  <c r="AE71" i="21" s="1"/>
  <c r="P71" i="21"/>
  <c r="W71" i="21" s="1"/>
  <c r="AD71" i="21" s="1"/>
  <c r="O71" i="21"/>
  <c r="V71" i="21" s="1"/>
  <c r="AC71" i="21" s="1"/>
  <c r="N71" i="21"/>
  <c r="U71" i="21" s="1"/>
  <c r="AB71" i="21" s="1"/>
  <c r="M71" i="21"/>
  <c r="T71" i="21" s="1"/>
  <c r="AA71" i="21" s="1"/>
  <c r="L71" i="21"/>
  <c r="S71" i="21" s="1"/>
  <c r="Z71" i="21" s="1"/>
  <c r="K71" i="21"/>
  <c r="R71" i="21" s="1"/>
  <c r="Y71" i="21" s="1"/>
  <c r="Q70" i="21"/>
  <c r="X70" i="21" s="1"/>
  <c r="AE70" i="21" s="1"/>
  <c r="P70" i="21"/>
  <c r="W70" i="21" s="1"/>
  <c r="AD70" i="21" s="1"/>
  <c r="O70" i="21"/>
  <c r="V70" i="21" s="1"/>
  <c r="AC70" i="21" s="1"/>
  <c r="N70" i="21"/>
  <c r="U70" i="21" s="1"/>
  <c r="AB70" i="21" s="1"/>
  <c r="M70" i="21"/>
  <c r="T70" i="21" s="1"/>
  <c r="AA70" i="21" s="1"/>
  <c r="L70" i="21"/>
  <c r="S70" i="21" s="1"/>
  <c r="Z70" i="21" s="1"/>
  <c r="K70" i="21"/>
  <c r="R70" i="21" s="1"/>
  <c r="Y70" i="21" s="1"/>
  <c r="Q69" i="21"/>
  <c r="X69" i="21" s="1"/>
  <c r="AE69" i="21" s="1"/>
  <c r="P69" i="21"/>
  <c r="W69" i="21" s="1"/>
  <c r="AD69" i="21" s="1"/>
  <c r="O69" i="21"/>
  <c r="V69" i="21" s="1"/>
  <c r="AC69" i="21" s="1"/>
  <c r="N69" i="21"/>
  <c r="U69" i="21" s="1"/>
  <c r="AB69" i="21" s="1"/>
  <c r="M69" i="21"/>
  <c r="T69" i="21" s="1"/>
  <c r="AA69" i="21" s="1"/>
  <c r="L69" i="21"/>
  <c r="S69" i="21" s="1"/>
  <c r="Z69" i="21" s="1"/>
  <c r="K69" i="21"/>
  <c r="R69" i="21" s="1"/>
  <c r="Y69" i="21" s="1"/>
  <c r="Q68" i="21"/>
  <c r="X68" i="21" s="1"/>
  <c r="AE68" i="21" s="1"/>
  <c r="P68" i="21"/>
  <c r="W68" i="21" s="1"/>
  <c r="AD68" i="21" s="1"/>
  <c r="O68" i="21"/>
  <c r="V68" i="21" s="1"/>
  <c r="AC68" i="21" s="1"/>
  <c r="N68" i="21"/>
  <c r="U68" i="21" s="1"/>
  <c r="AB68" i="21" s="1"/>
  <c r="M68" i="21"/>
  <c r="T68" i="21" s="1"/>
  <c r="AA68" i="21" s="1"/>
  <c r="L68" i="21"/>
  <c r="S68" i="21" s="1"/>
  <c r="Z68" i="21" s="1"/>
  <c r="K68" i="21"/>
  <c r="R68" i="21" s="1"/>
  <c r="Y68" i="21" s="1"/>
  <c r="Q67" i="21"/>
  <c r="X67" i="21" s="1"/>
  <c r="AE67" i="21" s="1"/>
  <c r="P67" i="21"/>
  <c r="W67" i="21" s="1"/>
  <c r="AD67" i="21" s="1"/>
  <c r="O67" i="21"/>
  <c r="V67" i="21" s="1"/>
  <c r="AC67" i="21" s="1"/>
  <c r="N67" i="21"/>
  <c r="U67" i="21" s="1"/>
  <c r="AB67" i="21" s="1"/>
  <c r="M67" i="21"/>
  <c r="T67" i="21" s="1"/>
  <c r="AA67" i="21" s="1"/>
  <c r="L67" i="21"/>
  <c r="S67" i="21" s="1"/>
  <c r="Z67" i="21" s="1"/>
  <c r="K67" i="21"/>
  <c r="R67" i="21" s="1"/>
  <c r="Y67" i="21" s="1"/>
  <c r="Q66" i="21"/>
  <c r="X66" i="21" s="1"/>
  <c r="AE66" i="21" s="1"/>
  <c r="P66" i="21"/>
  <c r="W66" i="21" s="1"/>
  <c r="AD66" i="21" s="1"/>
  <c r="O66" i="21"/>
  <c r="V66" i="21" s="1"/>
  <c r="AC66" i="21" s="1"/>
  <c r="N66" i="21"/>
  <c r="U66" i="21" s="1"/>
  <c r="AB66" i="21" s="1"/>
  <c r="M66" i="21"/>
  <c r="T66" i="21" s="1"/>
  <c r="AA66" i="21" s="1"/>
  <c r="L66" i="21"/>
  <c r="S66" i="21" s="1"/>
  <c r="Z66" i="21" s="1"/>
  <c r="K66" i="21"/>
  <c r="R66" i="21" s="1"/>
  <c r="Y66" i="21" s="1"/>
  <c r="Q65" i="21"/>
  <c r="X65" i="21" s="1"/>
  <c r="AE65" i="21" s="1"/>
  <c r="P65" i="21"/>
  <c r="W65" i="21" s="1"/>
  <c r="AD65" i="21" s="1"/>
  <c r="O65" i="21"/>
  <c r="V65" i="21" s="1"/>
  <c r="AC65" i="21" s="1"/>
  <c r="N65" i="21"/>
  <c r="U65" i="21" s="1"/>
  <c r="AB65" i="21" s="1"/>
  <c r="M65" i="21"/>
  <c r="T65" i="21" s="1"/>
  <c r="AA65" i="21" s="1"/>
  <c r="L65" i="21"/>
  <c r="S65" i="21" s="1"/>
  <c r="Z65" i="21" s="1"/>
  <c r="K65" i="21"/>
  <c r="R65" i="21" s="1"/>
  <c r="Y65" i="21" s="1"/>
  <c r="Q64" i="21"/>
  <c r="X64" i="21" s="1"/>
  <c r="AE64" i="21" s="1"/>
  <c r="P64" i="21"/>
  <c r="W64" i="21" s="1"/>
  <c r="AD64" i="21" s="1"/>
  <c r="O64" i="21"/>
  <c r="V64" i="21" s="1"/>
  <c r="AC64" i="21" s="1"/>
  <c r="N64" i="21"/>
  <c r="U64" i="21" s="1"/>
  <c r="AB64" i="21" s="1"/>
  <c r="M64" i="21"/>
  <c r="T64" i="21" s="1"/>
  <c r="AA64" i="21" s="1"/>
  <c r="L64" i="21"/>
  <c r="S64" i="21" s="1"/>
  <c r="Z64" i="21" s="1"/>
  <c r="K64" i="21"/>
  <c r="R64" i="21" s="1"/>
  <c r="Y64" i="21" s="1"/>
  <c r="Q63" i="21"/>
  <c r="X63" i="21" s="1"/>
  <c r="AE63" i="21" s="1"/>
  <c r="P63" i="21"/>
  <c r="W63" i="21" s="1"/>
  <c r="AD63" i="21" s="1"/>
  <c r="O63" i="21"/>
  <c r="V63" i="21" s="1"/>
  <c r="AC63" i="21" s="1"/>
  <c r="N63" i="21"/>
  <c r="U63" i="21" s="1"/>
  <c r="AB63" i="21" s="1"/>
  <c r="M63" i="21"/>
  <c r="T63" i="21" s="1"/>
  <c r="AA63" i="21" s="1"/>
  <c r="L63" i="21"/>
  <c r="S63" i="21" s="1"/>
  <c r="Z63" i="21" s="1"/>
  <c r="K63" i="21"/>
  <c r="R63" i="21" s="1"/>
  <c r="Y63" i="21" s="1"/>
  <c r="Q62" i="21"/>
  <c r="X62" i="21" s="1"/>
  <c r="AE62" i="21" s="1"/>
  <c r="P62" i="21"/>
  <c r="W62" i="21" s="1"/>
  <c r="AD62" i="21" s="1"/>
  <c r="O62" i="21"/>
  <c r="V62" i="21" s="1"/>
  <c r="AC62" i="21" s="1"/>
  <c r="N62" i="21"/>
  <c r="U62" i="21" s="1"/>
  <c r="AB62" i="21" s="1"/>
  <c r="M62" i="21"/>
  <c r="T62" i="21" s="1"/>
  <c r="AA62" i="21" s="1"/>
  <c r="L62" i="21"/>
  <c r="S62" i="21" s="1"/>
  <c r="Z62" i="21" s="1"/>
  <c r="K62" i="21"/>
  <c r="R62" i="21" s="1"/>
  <c r="Y62" i="21" s="1"/>
  <c r="Q61" i="21"/>
  <c r="X61" i="21" s="1"/>
  <c r="AE61" i="21" s="1"/>
  <c r="P61" i="21"/>
  <c r="W61" i="21" s="1"/>
  <c r="AD61" i="21" s="1"/>
  <c r="O61" i="21"/>
  <c r="V61" i="21" s="1"/>
  <c r="AC61" i="21" s="1"/>
  <c r="N61" i="21"/>
  <c r="U61" i="21" s="1"/>
  <c r="AB61" i="21" s="1"/>
  <c r="M61" i="21"/>
  <c r="T61" i="21" s="1"/>
  <c r="AA61" i="21" s="1"/>
  <c r="L61" i="21"/>
  <c r="S61" i="21" s="1"/>
  <c r="Z61" i="21" s="1"/>
  <c r="K61" i="21"/>
  <c r="R61" i="21" s="1"/>
  <c r="Y61" i="21" s="1"/>
  <c r="Q60" i="21"/>
  <c r="X60" i="21" s="1"/>
  <c r="AE60" i="21" s="1"/>
  <c r="P60" i="21"/>
  <c r="W60" i="21" s="1"/>
  <c r="AD60" i="21" s="1"/>
  <c r="O60" i="21"/>
  <c r="V60" i="21" s="1"/>
  <c r="AC60" i="21" s="1"/>
  <c r="N60" i="21"/>
  <c r="U60" i="21" s="1"/>
  <c r="AB60" i="21" s="1"/>
  <c r="M60" i="21"/>
  <c r="T60" i="21" s="1"/>
  <c r="AA60" i="21" s="1"/>
  <c r="L60" i="21"/>
  <c r="S60" i="21" s="1"/>
  <c r="Z60" i="21" s="1"/>
  <c r="K60" i="21"/>
  <c r="R60" i="21" s="1"/>
  <c r="Y60" i="21" s="1"/>
  <c r="Q59" i="21"/>
  <c r="X59" i="21" s="1"/>
  <c r="AE59" i="21" s="1"/>
  <c r="P59" i="21"/>
  <c r="W59" i="21" s="1"/>
  <c r="AD59" i="21" s="1"/>
  <c r="O59" i="21"/>
  <c r="V59" i="21" s="1"/>
  <c r="AC59" i="21" s="1"/>
  <c r="N59" i="21"/>
  <c r="U59" i="21" s="1"/>
  <c r="AB59" i="21" s="1"/>
  <c r="M59" i="21"/>
  <c r="T59" i="21" s="1"/>
  <c r="AA59" i="21" s="1"/>
  <c r="L59" i="21"/>
  <c r="S59" i="21" s="1"/>
  <c r="Z59" i="21" s="1"/>
  <c r="K59" i="21"/>
  <c r="R59" i="21" s="1"/>
  <c r="Y59" i="21" s="1"/>
  <c r="Q58" i="21"/>
  <c r="X58" i="21" s="1"/>
  <c r="AE58" i="21" s="1"/>
  <c r="P58" i="21"/>
  <c r="W58" i="21" s="1"/>
  <c r="AD58" i="21" s="1"/>
  <c r="O58" i="21"/>
  <c r="V58" i="21" s="1"/>
  <c r="AC58" i="21" s="1"/>
  <c r="N58" i="21"/>
  <c r="U58" i="21" s="1"/>
  <c r="AB58" i="21" s="1"/>
  <c r="M58" i="21"/>
  <c r="T58" i="21" s="1"/>
  <c r="AA58" i="21" s="1"/>
  <c r="L58" i="21"/>
  <c r="S58" i="21" s="1"/>
  <c r="Z58" i="21" s="1"/>
  <c r="K58" i="21"/>
  <c r="R58" i="21" s="1"/>
  <c r="Y58" i="21" s="1"/>
  <c r="Q57" i="21"/>
  <c r="X57" i="21" s="1"/>
  <c r="AE57" i="21" s="1"/>
  <c r="P57" i="21"/>
  <c r="W57" i="21" s="1"/>
  <c r="AD57" i="21" s="1"/>
  <c r="O57" i="21"/>
  <c r="V57" i="21" s="1"/>
  <c r="AC57" i="21" s="1"/>
  <c r="N57" i="21"/>
  <c r="U57" i="21" s="1"/>
  <c r="AB57" i="21" s="1"/>
  <c r="M57" i="21"/>
  <c r="T57" i="21" s="1"/>
  <c r="AA57" i="21" s="1"/>
  <c r="L57" i="21"/>
  <c r="S57" i="21" s="1"/>
  <c r="Z57" i="21" s="1"/>
  <c r="K57" i="21"/>
  <c r="R57" i="21" s="1"/>
  <c r="Y57" i="21" s="1"/>
  <c r="Q56" i="21"/>
  <c r="X56" i="21" s="1"/>
  <c r="AE56" i="21" s="1"/>
  <c r="P56" i="21"/>
  <c r="W56" i="21" s="1"/>
  <c r="AD56" i="21" s="1"/>
  <c r="O56" i="21"/>
  <c r="V56" i="21" s="1"/>
  <c r="AC56" i="21" s="1"/>
  <c r="N56" i="21"/>
  <c r="U56" i="21" s="1"/>
  <c r="AB56" i="21" s="1"/>
  <c r="M56" i="21"/>
  <c r="T56" i="21" s="1"/>
  <c r="AA56" i="21" s="1"/>
  <c r="L56" i="21"/>
  <c r="S56" i="21" s="1"/>
  <c r="Z56" i="21" s="1"/>
  <c r="K56" i="21"/>
  <c r="R56" i="21" s="1"/>
  <c r="Y56" i="21" s="1"/>
  <c r="Q55" i="21"/>
  <c r="X55" i="21" s="1"/>
  <c r="AE55" i="21" s="1"/>
  <c r="P55" i="21"/>
  <c r="W55" i="21" s="1"/>
  <c r="AD55" i="21" s="1"/>
  <c r="O55" i="21"/>
  <c r="V55" i="21" s="1"/>
  <c r="AC55" i="21" s="1"/>
  <c r="N55" i="21"/>
  <c r="U55" i="21" s="1"/>
  <c r="AB55" i="21" s="1"/>
  <c r="M55" i="21"/>
  <c r="T55" i="21" s="1"/>
  <c r="AA55" i="21" s="1"/>
  <c r="L55" i="21"/>
  <c r="S55" i="21" s="1"/>
  <c r="Z55" i="21" s="1"/>
  <c r="K55" i="21"/>
  <c r="R55" i="21" s="1"/>
  <c r="Y55" i="21" s="1"/>
  <c r="Q54" i="21"/>
  <c r="X54" i="21" s="1"/>
  <c r="AE54" i="21" s="1"/>
  <c r="P54" i="21"/>
  <c r="W54" i="21" s="1"/>
  <c r="AD54" i="21" s="1"/>
  <c r="O54" i="21"/>
  <c r="V54" i="21" s="1"/>
  <c r="AC54" i="21" s="1"/>
  <c r="N54" i="21"/>
  <c r="U54" i="21" s="1"/>
  <c r="AB54" i="21" s="1"/>
  <c r="M54" i="21"/>
  <c r="T54" i="21" s="1"/>
  <c r="AA54" i="21" s="1"/>
  <c r="L54" i="21"/>
  <c r="S54" i="21" s="1"/>
  <c r="Z54" i="21" s="1"/>
  <c r="K54" i="21"/>
  <c r="R54" i="21" s="1"/>
  <c r="Y54" i="21" s="1"/>
  <c r="Q53" i="21"/>
  <c r="X53" i="21" s="1"/>
  <c r="AE53" i="21" s="1"/>
  <c r="P53" i="21"/>
  <c r="W53" i="21" s="1"/>
  <c r="AD53" i="21" s="1"/>
  <c r="O53" i="21"/>
  <c r="V53" i="21" s="1"/>
  <c r="AC53" i="21" s="1"/>
  <c r="N53" i="21"/>
  <c r="U53" i="21" s="1"/>
  <c r="AB53" i="21" s="1"/>
  <c r="M53" i="21"/>
  <c r="T53" i="21" s="1"/>
  <c r="AA53" i="21" s="1"/>
  <c r="L53" i="21"/>
  <c r="S53" i="21" s="1"/>
  <c r="Z53" i="21" s="1"/>
  <c r="K53" i="21"/>
  <c r="R53" i="21" s="1"/>
  <c r="Y53" i="21" s="1"/>
  <c r="Q52" i="21"/>
  <c r="X52" i="21" s="1"/>
  <c r="AE52" i="21" s="1"/>
  <c r="P52" i="21"/>
  <c r="W52" i="21" s="1"/>
  <c r="AD52" i="21" s="1"/>
  <c r="O52" i="21"/>
  <c r="V52" i="21" s="1"/>
  <c r="AC52" i="21" s="1"/>
  <c r="N52" i="21"/>
  <c r="U52" i="21" s="1"/>
  <c r="AB52" i="21" s="1"/>
  <c r="M52" i="21"/>
  <c r="T52" i="21" s="1"/>
  <c r="AA52" i="21" s="1"/>
  <c r="L52" i="21"/>
  <c r="S52" i="21" s="1"/>
  <c r="Z52" i="21" s="1"/>
  <c r="K52" i="21"/>
  <c r="R52" i="21" s="1"/>
  <c r="Y52" i="21" s="1"/>
  <c r="Q51" i="21"/>
  <c r="X51" i="21" s="1"/>
  <c r="AE51" i="21" s="1"/>
  <c r="P51" i="21"/>
  <c r="W51" i="21" s="1"/>
  <c r="AD51" i="21" s="1"/>
  <c r="O51" i="21"/>
  <c r="V51" i="21" s="1"/>
  <c r="AC51" i="21" s="1"/>
  <c r="N51" i="21"/>
  <c r="U51" i="21" s="1"/>
  <c r="AB51" i="21" s="1"/>
  <c r="M51" i="21"/>
  <c r="T51" i="21" s="1"/>
  <c r="AA51" i="21" s="1"/>
  <c r="L51" i="21"/>
  <c r="S51" i="21" s="1"/>
  <c r="Z51" i="21" s="1"/>
  <c r="K51" i="21"/>
  <c r="R51" i="21" s="1"/>
  <c r="Y51" i="21" s="1"/>
  <c r="Q50" i="21"/>
  <c r="X50" i="21" s="1"/>
  <c r="AE50" i="21" s="1"/>
  <c r="P50" i="21"/>
  <c r="W50" i="21" s="1"/>
  <c r="AD50" i="21" s="1"/>
  <c r="O50" i="21"/>
  <c r="V50" i="21" s="1"/>
  <c r="AC50" i="21" s="1"/>
  <c r="N50" i="21"/>
  <c r="U50" i="21" s="1"/>
  <c r="AB50" i="21" s="1"/>
  <c r="M50" i="21"/>
  <c r="L50" i="21"/>
  <c r="S50" i="21" s="1"/>
  <c r="Z50" i="21" s="1"/>
  <c r="K50" i="21"/>
  <c r="R50" i="21" s="1"/>
  <c r="Y50" i="21" s="1"/>
  <c r="Q49" i="21"/>
  <c r="X49" i="21" s="1"/>
  <c r="AE49" i="21" s="1"/>
  <c r="P49" i="21"/>
  <c r="W49" i="21" s="1"/>
  <c r="AD49" i="21" s="1"/>
  <c r="O49" i="21"/>
  <c r="V49" i="21" s="1"/>
  <c r="AC49" i="21" s="1"/>
  <c r="N49" i="21"/>
  <c r="U49" i="21" s="1"/>
  <c r="AB49" i="21" s="1"/>
  <c r="M49" i="21"/>
  <c r="T49" i="21" s="1"/>
  <c r="AA49" i="21" s="1"/>
  <c r="L49" i="21"/>
  <c r="S49" i="21" s="1"/>
  <c r="Z49" i="21" s="1"/>
  <c r="K49" i="21"/>
  <c r="R49" i="21" s="1"/>
  <c r="Y49" i="21" s="1"/>
  <c r="Q48" i="21"/>
  <c r="X48" i="21" s="1"/>
  <c r="AE48" i="21" s="1"/>
  <c r="P48" i="21"/>
  <c r="W48" i="21" s="1"/>
  <c r="AD48" i="21" s="1"/>
  <c r="O48" i="21"/>
  <c r="V48" i="21" s="1"/>
  <c r="AC48" i="21" s="1"/>
  <c r="N48" i="21"/>
  <c r="U48" i="21" s="1"/>
  <c r="AB48" i="21" s="1"/>
  <c r="M48" i="21"/>
  <c r="T48" i="21" s="1"/>
  <c r="AA48" i="21" s="1"/>
  <c r="L48" i="21"/>
  <c r="S48" i="21" s="1"/>
  <c r="Z48" i="21" s="1"/>
  <c r="K48" i="21"/>
  <c r="Q47" i="21"/>
  <c r="X47" i="21" s="1"/>
  <c r="AE47" i="21" s="1"/>
  <c r="P47" i="21"/>
  <c r="W47" i="21" s="1"/>
  <c r="AD47" i="21" s="1"/>
  <c r="O47" i="21"/>
  <c r="V47" i="21" s="1"/>
  <c r="AC47" i="21" s="1"/>
  <c r="N47" i="21"/>
  <c r="U47" i="21" s="1"/>
  <c r="AB47" i="21" s="1"/>
  <c r="M47" i="21"/>
  <c r="T47" i="21" s="1"/>
  <c r="AA47" i="21" s="1"/>
  <c r="L47" i="21"/>
  <c r="S47" i="21" s="1"/>
  <c r="Z47" i="21" s="1"/>
  <c r="K47" i="21"/>
  <c r="R47" i="21" s="1"/>
  <c r="Y47" i="21" s="1"/>
  <c r="Q46" i="21"/>
  <c r="X46" i="21" s="1"/>
  <c r="AE46" i="21" s="1"/>
  <c r="P46" i="21"/>
  <c r="W46" i="21" s="1"/>
  <c r="AD46" i="21" s="1"/>
  <c r="O46" i="21"/>
  <c r="V46" i="21" s="1"/>
  <c r="AC46" i="21" s="1"/>
  <c r="N46" i="21"/>
  <c r="U46" i="21" s="1"/>
  <c r="AB46" i="21" s="1"/>
  <c r="M46" i="21"/>
  <c r="T46" i="21" s="1"/>
  <c r="AA46" i="21" s="1"/>
  <c r="L46" i="21"/>
  <c r="S46" i="21" s="1"/>
  <c r="Z46" i="21" s="1"/>
  <c r="K46" i="21"/>
  <c r="R46" i="21" s="1"/>
  <c r="Y46" i="21" s="1"/>
  <c r="Q45" i="21"/>
  <c r="X45" i="21" s="1"/>
  <c r="AE45" i="21" s="1"/>
  <c r="P45" i="21"/>
  <c r="W45" i="21" s="1"/>
  <c r="AD45" i="21" s="1"/>
  <c r="O45" i="21"/>
  <c r="V45" i="21" s="1"/>
  <c r="AC45" i="21" s="1"/>
  <c r="N45" i="21"/>
  <c r="U45" i="21" s="1"/>
  <c r="AB45" i="21" s="1"/>
  <c r="M45" i="21"/>
  <c r="L45" i="21"/>
  <c r="S45" i="21" s="1"/>
  <c r="Z45" i="21" s="1"/>
  <c r="K45" i="21"/>
  <c r="R45" i="21" s="1"/>
  <c r="Y45" i="21" s="1"/>
  <c r="Q44" i="21"/>
  <c r="X44" i="21" s="1"/>
  <c r="AE44" i="21" s="1"/>
  <c r="P44" i="21"/>
  <c r="W44" i="21" s="1"/>
  <c r="AD44" i="21" s="1"/>
  <c r="O44" i="21"/>
  <c r="V44" i="21" s="1"/>
  <c r="AC44" i="21" s="1"/>
  <c r="N44" i="21"/>
  <c r="U44" i="21" s="1"/>
  <c r="AB44" i="21" s="1"/>
  <c r="M44" i="21"/>
  <c r="T44" i="21" s="1"/>
  <c r="AA44" i="21" s="1"/>
  <c r="L44" i="21"/>
  <c r="S44" i="21" s="1"/>
  <c r="Z44" i="21" s="1"/>
  <c r="K44" i="21"/>
  <c r="R44" i="21" s="1"/>
  <c r="Y44" i="21" s="1"/>
  <c r="Q43" i="21"/>
  <c r="X43" i="21" s="1"/>
  <c r="AE43" i="21" s="1"/>
  <c r="P43" i="21"/>
  <c r="W43" i="21" s="1"/>
  <c r="AD43" i="21" s="1"/>
  <c r="O43" i="21"/>
  <c r="V43" i="21" s="1"/>
  <c r="AC43" i="21" s="1"/>
  <c r="N43" i="21"/>
  <c r="U43" i="21" s="1"/>
  <c r="AB43" i="21" s="1"/>
  <c r="M43" i="21"/>
  <c r="T43" i="21" s="1"/>
  <c r="AA43" i="21" s="1"/>
  <c r="L43" i="21"/>
  <c r="S43" i="21" s="1"/>
  <c r="Z43" i="21" s="1"/>
  <c r="K43" i="21"/>
  <c r="R43" i="21" s="1"/>
  <c r="Y43" i="21" s="1"/>
  <c r="Q42" i="21"/>
  <c r="X42" i="21" s="1"/>
  <c r="AE42" i="21" s="1"/>
  <c r="P42" i="21"/>
  <c r="W42" i="21" s="1"/>
  <c r="AD42" i="21" s="1"/>
  <c r="O42" i="21"/>
  <c r="V42" i="21" s="1"/>
  <c r="AC42" i="21" s="1"/>
  <c r="N42" i="21"/>
  <c r="U42" i="21" s="1"/>
  <c r="AB42" i="21" s="1"/>
  <c r="M42" i="21"/>
  <c r="T42" i="21" s="1"/>
  <c r="AA42" i="21" s="1"/>
  <c r="L42" i="21"/>
  <c r="S42" i="21" s="1"/>
  <c r="Z42" i="21" s="1"/>
  <c r="K42" i="21"/>
  <c r="R42" i="21" s="1"/>
  <c r="Y42" i="21" s="1"/>
  <c r="Q41" i="21"/>
  <c r="X41" i="21" s="1"/>
  <c r="AE41" i="21" s="1"/>
  <c r="P41" i="21"/>
  <c r="W41" i="21" s="1"/>
  <c r="AD41" i="21" s="1"/>
  <c r="O41" i="21"/>
  <c r="V41" i="21" s="1"/>
  <c r="AC41" i="21" s="1"/>
  <c r="N41" i="21"/>
  <c r="U41" i="21" s="1"/>
  <c r="AB41" i="21" s="1"/>
  <c r="M41" i="21"/>
  <c r="T41" i="21" s="1"/>
  <c r="AA41" i="21" s="1"/>
  <c r="L41" i="21"/>
  <c r="S41" i="21" s="1"/>
  <c r="Z41" i="21" s="1"/>
  <c r="K41" i="21"/>
  <c r="R41" i="21" s="1"/>
  <c r="Y41" i="21" s="1"/>
  <c r="Q40" i="21"/>
  <c r="X40" i="21" s="1"/>
  <c r="AE40" i="21" s="1"/>
  <c r="P40" i="21"/>
  <c r="W40" i="21" s="1"/>
  <c r="AD40" i="21" s="1"/>
  <c r="O40" i="21"/>
  <c r="V40" i="21" s="1"/>
  <c r="AC40" i="21" s="1"/>
  <c r="N40" i="21"/>
  <c r="U40" i="21" s="1"/>
  <c r="AB40" i="21" s="1"/>
  <c r="M40" i="21"/>
  <c r="T40" i="21" s="1"/>
  <c r="AA40" i="21" s="1"/>
  <c r="L40" i="21"/>
  <c r="S40" i="21" s="1"/>
  <c r="Z40" i="21" s="1"/>
  <c r="K40" i="21"/>
  <c r="R40" i="21" s="1"/>
  <c r="Y40" i="21" s="1"/>
  <c r="Q39" i="21"/>
  <c r="X39" i="21" s="1"/>
  <c r="AE39" i="21" s="1"/>
  <c r="P39" i="21"/>
  <c r="W39" i="21" s="1"/>
  <c r="AD39" i="21" s="1"/>
  <c r="O39" i="21"/>
  <c r="V39" i="21" s="1"/>
  <c r="AC39" i="21" s="1"/>
  <c r="N39" i="21"/>
  <c r="U39" i="21" s="1"/>
  <c r="AB39" i="21" s="1"/>
  <c r="M39" i="21"/>
  <c r="T39" i="21" s="1"/>
  <c r="AA39" i="21" s="1"/>
  <c r="L39" i="21"/>
  <c r="S39" i="21" s="1"/>
  <c r="Z39" i="21" s="1"/>
  <c r="K39" i="21"/>
  <c r="R39" i="21" s="1"/>
  <c r="Y39" i="21" s="1"/>
  <c r="Q38" i="21"/>
  <c r="X38" i="21" s="1"/>
  <c r="AE38" i="21" s="1"/>
  <c r="P38" i="21"/>
  <c r="O38" i="21"/>
  <c r="V38" i="21" s="1"/>
  <c r="AC38" i="21" s="1"/>
  <c r="N38" i="21"/>
  <c r="U38" i="21" s="1"/>
  <c r="AB38" i="21" s="1"/>
  <c r="M38" i="21"/>
  <c r="T38" i="21" s="1"/>
  <c r="AA38" i="21" s="1"/>
  <c r="L38" i="21"/>
  <c r="S38" i="21" s="1"/>
  <c r="Z38" i="21" s="1"/>
  <c r="K38" i="21"/>
  <c r="R38" i="21" s="1"/>
  <c r="Y38" i="21" s="1"/>
  <c r="Q37" i="21"/>
  <c r="X37" i="21" s="1"/>
  <c r="AE37" i="21" s="1"/>
  <c r="P37" i="21"/>
  <c r="W37" i="21" s="1"/>
  <c r="AD37" i="21" s="1"/>
  <c r="O37" i="21"/>
  <c r="V37" i="21" s="1"/>
  <c r="AC37" i="21" s="1"/>
  <c r="N37" i="21"/>
  <c r="U37" i="21" s="1"/>
  <c r="AB37" i="21" s="1"/>
  <c r="M37" i="21"/>
  <c r="T37" i="21" s="1"/>
  <c r="AA37" i="21" s="1"/>
  <c r="L37" i="21"/>
  <c r="S37" i="21" s="1"/>
  <c r="Z37" i="21" s="1"/>
  <c r="K37" i="21"/>
  <c r="R37" i="21" s="1"/>
  <c r="Y37" i="21" s="1"/>
  <c r="Q36" i="21"/>
  <c r="X36" i="21" s="1"/>
  <c r="AE36" i="21" s="1"/>
  <c r="P36" i="21"/>
  <c r="W36" i="21" s="1"/>
  <c r="AD36" i="21" s="1"/>
  <c r="O36" i="21"/>
  <c r="V36" i="21" s="1"/>
  <c r="AC36" i="21" s="1"/>
  <c r="N36" i="21"/>
  <c r="U36" i="21" s="1"/>
  <c r="AB36" i="21" s="1"/>
  <c r="M36" i="21"/>
  <c r="T36" i="21" s="1"/>
  <c r="AA36" i="21" s="1"/>
  <c r="L36" i="21"/>
  <c r="S36" i="21" s="1"/>
  <c r="Z36" i="21" s="1"/>
  <c r="K36" i="21"/>
  <c r="R36" i="21" s="1"/>
  <c r="Y36" i="21" s="1"/>
  <c r="Q35" i="21"/>
  <c r="X35" i="21" s="1"/>
  <c r="AE35" i="21" s="1"/>
  <c r="P35" i="21"/>
  <c r="W35" i="21" s="1"/>
  <c r="AD35" i="21" s="1"/>
  <c r="O35" i="21"/>
  <c r="V35" i="21" s="1"/>
  <c r="AC35" i="21" s="1"/>
  <c r="N35" i="21"/>
  <c r="U35" i="21" s="1"/>
  <c r="AB35" i="21" s="1"/>
  <c r="M35" i="21"/>
  <c r="T35" i="21" s="1"/>
  <c r="AA35" i="21" s="1"/>
  <c r="L35" i="21"/>
  <c r="S35" i="21" s="1"/>
  <c r="Z35" i="21" s="1"/>
  <c r="K35" i="21"/>
  <c r="R35" i="21" s="1"/>
  <c r="Y35" i="21" s="1"/>
  <c r="Q34" i="21"/>
  <c r="X34" i="21" s="1"/>
  <c r="AE34" i="21" s="1"/>
  <c r="P34" i="21"/>
  <c r="W34" i="21" s="1"/>
  <c r="AD34" i="21" s="1"/>
  <c r="O34" i="21"/>
  <c r="V34" i="21" s="1"/>
  <c r="AC34" i="21" s="1"/>
  <c r="N34" i="21"/>
  <c r="U34" i="21" s="1"/>
  <c r="AB34" i="21" s="1"/>
  <c r="M34" i="21"/>
  <c r="T34" i="21" s="1"/>
  <c r="AA34" i="21" s="1"/>
  <c r="L34" i="21"/>
  <c r="S34" i="21" s="1"/>
  <c r="Z34" i="21" s="1"/>
  <c r="K34" i="21"/>
  <c r="R34" i="21" s="1"/>
  <c r="Y34" i="21" s="1"/>
  <c r="Q33" i="21"/>
  <c r="X33" i="21" s="1"/>
  <c r="AE33" i="21" s="1"/>
  <c r="P33" i="21"/>
  <c r="W33" i="21" s="1"/>
  <c r="AD33" i="21" s="1"/>
  <c r="O33" i="21"/>
  <c r="V33" i="21" s="1"/>
  <c r="AC33" i="21" s="1"/>
  <c r="N33" i="21"/>
  <c r="U33" i="21" s="1"/>
  <c r="AB33" i="21" s="1"/>
  <c r="M33" i="21"/>
  <c r="T33" i="21" s="1"/>
  <c r="AA33" i="21" s="1"/>
  <c r="L33" i="21"/>
  <c r="S33" i="21" s="1"/>
  <c r="Z33" i="21" s="1"/>
  <c r="K33" i="21"/>
  <c r="R33" i="21" s="1"/>
  <c r="Y33" i="21" s="1"/>
  <c r="Q32" i="21"/>
  <c r="X32" i="21" s="1"/>
  <c r="AE32" i="21" s="1"/>
  <c r="P32" i="21"/>
  <c r="W32" i="21" s="1"/>
  <c r="AD32" i="21" s="1"/>
  <c r="O32" i="21"/>
  <c r="V32" i="21" s="1"/>
  <c r="AC32" i="21" s="1"/>
  <c r="N32" i="21"/>
  <c r="U32" i="21" s="1"/>
  <c r="AB32" i="21" s="1"/>
  <c r="M32" i="21"/>
  <c r="T32" i="21" s="1"/>
  <c r="AA32" i="21" s="1"/>
  <c r="L32" i="21"/>
  <c r="S32" i="21" s="1"/>
  <c r="Z32" i="21" s="1"/>
  <c r="K32" i="21"/>
  <c r="R32" i="21" s="1"/>
  <c r="Y32" i="21" s="1"/>
  <c r="Q31" i="21"/>
  <c r="X31" i="21" s="1"/>
  <c r="AE31" i="21" s="1"/>
  <c r="P31" i="21"/>
  <c r="W31" i="21" s="1"/>
  <c r="AD31" i="21" s="1"/>
  <c r="O31" i="21"/>
  <c r="V31" i="21" s="1"/>
  <c r="AC31" i="21" s="1"/>
  <c r="N31" i="21"/>
  <c r="U31" i="21" s="1"/>
  <c r="AB31" i="21" s="1"/>
  <c r="M31" i="21"/>
  <c r="T31" i="21" s="1"/>
  <c r="AA31" i="21" s="1"/>
  <c r="L31" i="21"/>
  <c r="S31" i="21" s="1"/>
  <c r="Z31" i="21" s="1"/>
  <c r="K31" i="21"/>
  <c r="R31" i="21" s="1"/>
  <c r="Y31" i="21" s="1"/>
  <c r="Q30" i="21"/>
  <c r="X30" i="21" s="1"/>
  <c r="AE30" i="21" s="1"/>
  <c r="P30" i="21"/>
  <c r="W30" i="21" s="1"/>
  <c r="AD30" i="21" s="1"/>
  <c r="O30" i="21"/>
  <c r="V30" i="21" s="1"/>
  <c r="AC30" i="21" s="1"/>
  <c r="N30" i="21"/>
  <c r="U30" i="21" s="1"/>
  <c r="AB30" i="21" s="1"/>
  <c r="M30" i="21"/>
  <c r="T30" i="21" s="1"/>
  <c r="AA30" i="21" s="1"/>
  <c r="L30" i="21"/>
  <c r="S30" i="21" s="1"/>
  <c r="Z30" i="21" s="1"/>
  <c r="K30" i="21"/>
  <c r="R30" i="21" s="1"/>
  <c r="Y30" i="21" s="1"/>
  <c r="Q29" i="21"/>
  <c r="X29" i="21" s="1"/>
  <c r="AE29" i="21" s="1"/>
  <c r="P29" i="21"/>
  <c r="W29" i="21" s="1"/>
  <c r="AD29" i="21" s="1"/>
  <c r="O29" i="21"/>
  <c r="V29" i="21" s="1"/>
  <c r="AC29" i="21" s="1"/>
  <c r="N29" i="21"/>
  <c r="U29" i="21" s="1"/>
  <c r="AB29" i="21" s="1"/>
  <c r="M29" i="21"/>
  <c r="T29" i="21" s="1"/>
  <c r="AA29" i="21" s="1"/>
  <c r="L29" i="21"/>
  <c r="S29" i="21" s="1"/>
  <c r="Z29" i="21" s="1"/>
  <c r="K29" i="21"/>
  <c r="R29" i="21" s="1"/>
  <c r="Y29" i="21" s="1"/>
  <c r="Q28" i="21"/>
  <c r="X28" i="21" s="1"/>
  <c r="AE28" i="21" s="1"/>
  <c r="P28" i="21"/>
  <c r="W28" i="21" s="1"/>
  <c r="AD28" i="21" s="1"/>
  <c r="O28" i="21"/>
  <c r="V28" i="21" s="1"/>
  <c r="AC28" i="21" s="1"/>
  <c r="N28" i="21"/>
  <c r="U28" i="21" s="1"/>
  <c r="AB28" i="21" s="1"/>
  <c r="M28" i="21"/>
  <c r="T28" i="21" s="1"/>
  <c r="AA28" i="21" s="1"/>
  <c r="L28" i="21"/>
  <c r="S28" i="21" s="1"/>
  <c r="Z28" i="21" s="1"/>
  <c r="K28" i="21"/>
  <c r="R28" i="21" s="1"/>
  <c r="Y28" i="21" s="1"/>
  <c r="Q27" i="21"/>
  <c r="X27" i="21" s="1"/>
  <c r="AE27" i="21" s="1"/>
  <c r="P27" i="21"/>
  <c r="W27" i="21" s="1"/>
  <c r="AD27" i="21" s="1"/>
  <c r="O27" i="21"/>
  <c r="V27" i="21" s="1"/>
  <c r="AC27" i="21" s="1"/>
  <c r="N27" i="21"/>
  <c r="U27" i="21" s="1"/>
  <c r="AB27" i="21" s="1"/>
  <c r="M27" i="21"/>
  <c r="T27" i="21" s="1"/>
  <c r="AA27" i="21" s="1"/>
  <c r="L27" i="21"/>
  <c r="S27" i="21" s="1"/>
  <c r="Z27" i="21" s="1"/>
  <c r="K27" i="21"/>
  <c r="R27" i="21" s="1"/>
  <c r="Y27" i="21" s="1"/>
  <c r="Q26" i="21"/>
  <c r="X26" i="21" s="1"/>
  <c r="AE26" i="21" s="1"/>
  <c r="P26" i="21"/>
  <c r="W26" i="21" s="1"/>
  <c r="AD26" i="21" s="1"/>
  <c r="O26" i="21"/>
  <c r="V26" i="21" s="1"/>
  <c r="AC26" i="21" s="1"/>
  <c r="N26" i="21"/>
  <c r="U26" i="21" s="1"/>
  <c r="AB26" i="21" s="1"/>
  <c r="M26" i="21"/>
  <c r="T26" i="21" s="1"/>
  <c r="AA26" i="21" s="1"/>
  <c r="L26" i="21"/>
  <c r="S26" i="21" s="1"/>
  <c r="Z26" i="21" s="1"/>
  <c r="K26" i="21"/>
  <c r="R26" i="21" s="1"/>
  <c r="Y26" i="21" s="1"/>
  <c r="Q25" i="21"/>
  <c r="X25" i="21" s="1"/>
  <c r="AE25" i="21" s="1"/>
  <c r="P25" i="21"/>
  <c r="W25" i="21" s="1"/>
  <c r="AD25" i="21" s="1"/>
  <c r="O25" i="21"/>
  <c r="V25" i="21" s="1"/>
  <c r="AC25" i="21" s="1"/>
  <c r="N25" i="21"/>
  <c r="U25" i="21" s="1"/>
  <c r="AB25" i="21" s="1"/>
  <c r="M25" i="21"/>
  <c r="T25" i="21" s="1"/>
  <c r="AA25" i="21" s="1"/>
  <c r="L25" i="21"/>
  <c r="S25" i="21" s="1"/>
  <c r="Z25" i="21" s="1"/>
  <c r="K25" i="21"/>
  <c r="R25" i="21" s="1"/>
  <c r="Y25" i="21" s="1"/>
  <c r="Q24" i="21"/>
  <c r="X24" i="21" s="1"/>
  <c r="AE24" i="21" s="1"/>
  <c r="P24" i="21"/>
  <c r="W24" i="21" s="1"/>
  <c r="AD24" i="21" s="1"/>
  <c r="O24" i="21"/>
  <c r="V24" i="21" s="1"/>
  <c r="AC24" i="21" s="1"/>
  <c r="N24" i="21"/>
  <c r="U24" i="21" s="1"/>
  <c r="AB24" i="21" s="1"/>
  <c r="M24" i="21"/>
  <c r="T24" i="21" s="1"/>
  <c r="AA24" i="21" s="1"/>
  <c r="L24" i="21"/>
  <c r="S24" i="21" s="1"/>
  <c r="Z24" i="21" s="1"/>
  <c r="K24" i="21"/>
  <c r="R24" i="21" s="1"/>
  <c r="Y24" i="21" s="1"/>
  <c r="Q23" i="21"/>
  <c r="X23" i="21" s="1"/>
  <c r="AE23" i="21" s="1"/>
  <c r="P23" i="21"/>
  <c r="W23" i="21" s="1"/>
  <c r="AD23" i="21" s="1"/>
  <c r="O23" i="21"/>
  <c r="V23" i="21" s="1"/>
  <c r="AC23" i="21" s="1"/>
  <c r="N23" i="21"/>
  <c r="U23" i="21" s="1"/>
  <c r="AB23" i="21" s="1"/>
  <c r="M23" i="21"/>
  <c r="T23" i="21" s="1"/>
  <c r="AA23" i="21" s="1"/>
  <c r="L23" i="21"/>
  <c r="S23" i="21" s="1"/>
  <c r="Z23" i="21" s="1"/>
  <c r="K23" i="21"/>
  <c r="R23" i="21" s="1"/>
  <c r="Y23" i="21" s="1"/>
  <c r="Q22" i="21"/>
  <c r="X22" i="21" s="1"/>
  <c r="AE22" i="21" s="1"/>
  <c r="P22" i="21"/>
  <c r="W22" i="21" s="1"/>
  <c r="AD22" i="21" s="1"/>
  <c r="O22" i="21"/>
  <c r="V22" i="21" s="1"/>
  <c r="AC22" i="21" s="1"/>
  <c r="N22" i="21"/>
  <c r="U22" i="21" s="1"/>
  <c r="AB22" i="21" s="1"/>
  <c r="M22" i="21"/>
  <c r="T22" i="21" s="1"/>
  <c r="AA22" i="21" s="1"/>
  <c r="L22" i="21"/>
  <c r="S22" i="21" s="1"/>
  <c r="Z22" i="21" s="1"/>
  <c r="K22" i="21"/>
  <c r="R22" i="21" s="1"/>
  <c r="Y22" i="21" s="1"/>
  <c r="Q21" i="21"/>
  <c r="X21" i="21" s="1"/>
  <c r="AE21" i="21" s="1"/>
  <c r="P21" i="21"/>
  <c r="W21" i="21" s="1"/>
  <c r="AD21" i="21" s="1"/>
  <c r="O21" i="21"/>
  <c r="V21" i="21" s="1"/>
  <c r="AC21" i="21" s="1"/>
  <c r="N21" i="21"/>
  <c r="U21" i="21" s="1"/>
  <c r="AB21" i="21" s="1"/>
  <c r="M21" i="21"/>
  <c r="T21" i="21" s="1"/>
  <c r="AA21" i="21" s="1"/>
  <c r="L21" i="21"/>
  <c r="S21" i="21" s="1"/>
  <c r="Z21" i="21" s="1"/>
  <c r="K21" i="21"/>
  <c r="R21" i="21" s="1"/>
  <c r="Y21" i="21" s="1"/>
  <c r="Q20" i="21"/>
  <c r="X20" i="21" s="1"/>
  <c r="AE20" i="21" s="1"/>
  <c r="P20" i="21"/>
  <c r="W20" i="21" s="1"/>
  <c r="AD20" i="21" s="1"/>
  <c r="O20" i="21"/>
  <c r="V20" i="21" s="1"/>
  <c r="AC20" i="21" s="1"/>
  <c r="N20" i="21"/>
  <c r="U20" i="21" s="1"/>
  <c r="AB20" i="21" s="1"/>
  <c r="M20" i="21"/>
  <c r="T20" i="21" s="1"/>
  <c r="AA20" i="21" s="1"/>
  <c r="L20" i="21"/>
  <c r="S20" i="21" s="1"/>
  <c r="Z20" i="21" s="1"/>
  <c r="K20" i="21"/>
  <c r="R20" i="21" s="1"/>
  <c r="Y20" i="21" s="1"/>
  <c r="Q19" i="21"/>
  <c r="X19" i="21" s="1"/>
  <c r="AE19" i="21" s="1"/>
  <c r="P19" i="21"/>
  <c r="W19" i="21" s="1"/>
  <c r="AD19" i="21" s="1"/>
  <c r="O19" i="21"/>
  <c r="V19" i="21" s="1"/>
  <c r="AC19" i="21" s="1"/>
  <c r="N19" i="21"/>
  <c r="U19" i="21" s="1"/>
  <c r="AB19" i="21" s="1"/>
  <c r="M19" i="21"/>
  <c r="T19" i="21" s="1"/>
  <c r="AA19" i="21" s="1"/>
  <c r="L19" i="21"/>
  <c r="S19" i="21" s="1"/>
  <c r="Z19" i="21" s="1"/>
  <c r="K19" i="21"/>
  <c r="R19" i="21" s="1"/>
  <c r="Y19" i="21" s="1"/>
  <c r="Q18" i="21"/>
  <c r="X18" i="21" s="1"/>
  <c r="AE18" i="21" s="1"/>
  <c r="P18" i="21"/>
  <c r="W18" i="21" s="1"/>
  <c r="AD18" i="21" s="1"/>
  <c r="O18" i="21"/>
  <c r="V18" i="21" s="1"/>
  <c r="AC18" i="21" s="1"/>
  <c r="N18" i="21"/>
  <c r="U18" i="21" s="1"/>
  <c r="AB18" i="21" s="1"/>
  <c r="M18" i="21"/>
  <c r="T18" i="21" s="1"/>
  <c r="AA18" i="21" s="1"/>
  <c r="L18" i="21"/>
  <c r="S18" i="21" s="1"/>
  <c r="Z18" i="21" s="1"/>
  <c r="K18" i="21"/>
  <c r="R18" i="21" s="1"/>
  <c r="Y18" i="21" s="1"/>
  <c r="Q17" i="21"/>
  <c r="X17" i="21" s="1"/>
  <c r="AE17" i="21" s="1"/>
  <c r="P17" i="21"/>
  <c r="W17" i="21" s="1"/>
  <c r="AD17" i="21" s="1"/>
  <c r="O17" i="21"/>
  <c r="V17" i="21" s="1"/>
  <c r="AC17" i="21" s="1"/>
  <c r="N17" i="21"/>
  <c r="U17" i="21" s="1"/>
  <c r="AB17" i="21" s="1"/>
  <c r="M17" i="21"/>
  <c r="T17" i="21" s="1"/>
  <c r="AA17" i="21" s="1"/>
  <c r="L17" i="21"/>
  <c r="S17" i="21" s="1"/>
  <c r="Z17" i="21" s="1"/>
  <c r="K17" i="21"/>
  <c r="R17" i="21" s="1"/>
  <c r="Y17" i="21" s="1"/>
  <c r="Q16" i="21"/>
  <c r="X16" i="21" s="1"/>
  <c r="AE16" i="21" s="1"/>
  <c r="P16" i="21"/>
  <c r="W16" i="21" s="1"/>
  <c r="AD16" i="21" s="1"/>
  <c r="O16" i="21"/>
  <c r="V16" i="21" s="1"/>
  <c r="AC16" i="21" s="1"/>
  <c r="N16" i="21"/>
  <c r="U16" i="21" s="1"/>
  <c r="AB16" i="21" s="1"/>
  <c r="M16" i="21"/>
  <c r="T16" i="21" s="1"/>
  <c r="AA16" i="21" s="1"/>
  <c r="L16" i="21"/>
  <c r="S16" i="21" s="1"/>
  <c r="Z16" i="21" s="1"/>
  <c r="K16" i="21"/>
  <c r="R16" i="21" s="1"/>
  <c r="Y16" i="21" s="1"/>
  <c r="Q15" i="21"/>
  <c r="X15" i="21" s="1"/>
  <c r="AE15" i="21" s="1"/>
  <c r="P15" i="21"/>
  <c r="W15" i="21" s="1"/>
  <c r="AD15" i="21" s="1"/>
  <c r="O15" i="21"/>
  <c r="V15" i="21" s="1"/>
  <c r="AC15" i="21" s="1"/>
  <c r="N15" i="21"/>
  <c r="U15" i="21" s="1"/>
  <c r="AB15" i="21" s="1"/>
  <c r="M15" i="21"/>
  <c r="T15" i="21" s="1"/>
  <c r="AA15" i="21" s="1"/>
  <c r="L15" i="21"/>
  <c r="S15" i="21" s="1"/>
  <c r="Z15" i="21" s="1"/>
  <c r="K15" i="21"/>
  <c r="R15" i="21" s="1"/>
  <c r="Y15" i="21" s="1"/>
  <c r="Q14" i="21"/>
  <c r="X14" i="21" s="1"/>
  <c r="AE14" i="21" s="1"/>
  <c r="P14" i="21"/>
  <c r="W14" i="21" s="1"/>
  <c r="AD14" i="21" s="1"/>
  <c r="O14" i="21"/>
  <c r="V14" i="21" s="1"/>
  <c r="AC14" i="21" s="1"/>
  <c r="N14" i="21"/>
  <c r="U14" i="21" s="1"/>
  <c r="AB14" i="21" s="1"/>
  <c r="M14" i="21"/>
  <c r="T14" i="21" s="1"/>
  <c r="AA14" i="21" s="1"/>
  <c r="L14" i="21"/>
  <c r="S14" i="21" s="1"/>
  <c r="Z14" i="21" s="1"/>
  <c r="K14" i="21"/>
  <c r="R14" i="21" s="1"/>
  <c r="Y14" i="21" s="1"/>
  <c r="Q13" i="21"/>
  <c r="X13" i="21" s="1"/>
  <c r="AE13" i="21" s="1"/>
  <c r="P13" i="21"/>
  <c r="W13" i="21" s="1"/>
  <c r="AD13" i="21" s="1"/>
  <c r="O13" i="21"/>
  <c r="V13" i="21" s="1"/>
  <c r="AC13" i="21" s="1"/>
  <c r="N13" i="21"/>
  <c r="U13" i="21" s="1"/>
  <c r="AB13" i="21" s="1"/>
  <c r="M13" i="21"/>
  <c r="T13" i="21" s="1"/>
  <c r="AA13" i="21" s="1"/>
  <c r="L13" i="21"/>
  <c r="S13" i="21" s="1"/>
  <c r="Z13" i="21" s="1"/>
  <c r="K13" i="21"/>
  <c r="R13" i="21" s="1"/>
  <c r="Y13" i="21" s="1"/>
  <c r="Q12" i="21"/>
  <c r="X12" i="21" s="1"/>
  <c r="AE12" i="21" s="1"/>
  <c r="P12" i="21"/>
  <c r="W12" i="21" s="1"/>
  <c r="AD12" i="21" s="1"/>
  <c r="O12" i="21"/>
  <c r="V12" i="21" s="1"/>
  <c r="AC12" i="21" s="1"/>
  <c r="N12" i="21"/>
  <c r="U12" i="21" s="1"/>
  <c r="AB12" i="21" s="1"/>
  <c r="M12" i="21"/>
  <c r="T12" i="21" s="1"/>
  <c r="AA12" i="21" s="1"/>
  <c r="L12" i="21"/>
  <c r="S12" i="21" s="1"/>
  <c r="Z12" i="21" s="1"/>
  <c r="K12" i="21"/>
  <c r="R12" i="21" s="1"/>
  <c r="Y12" i="21" s="1"/>
  <c r="Q11" i="21"/>
  <c r="X11" i="21" s="1"/>
  <c r="AE11" i="21" s="1"/>
  <c r="P11" i="21"/>
  <c r="O11" i="21"/>
  <c r="V11" i="21" s="1"/>
  <c r="AC11" i="21" s="1"/>
  <c r="N11" i="21"/>
  <c r="U11" i="21" s="1"/>
  <c r="AB11" i="21" s="1"/>
  <c r="M11" i="21"/>
  <c r="T11" i="21" s="1"/>
  <c r="AA11" i="21" s="1"/>
  <c r="L11" i="21"/>
  <c r="S11" i="21" s="1"/>
  <c r="Z11" i="21" s="1"/>
  <c r="K11" i="21"/>
  <c r="R11" i="21" s="1"/>
  <c r="Y11" i="21" s="1"/>
  <c r="Q10" i="21"/>
  <c r="X10" i="21" s="1"/>
  <c r="AE10" i="21" s="1"/>
  <c r="P10" i="21"/>
  <c r="W10" i="21" s="1"/>
  <c r="AD10" i="21" s="1"/>
  <c r="O10" i="21"/>
  <c r="V10" i="21" s="1"/>
  <c r="AC10" i="21" s="1"/>
  <c r="N10" i="21"/>
  <c r="U10" i="21" s="1"/>
  <c r="AB10" i="21" s="1"/>
  <c r="M10" i="21"/>
  <c r="T10" i="21" s="1"/>
  <c r="AA10" i="21" s="1"/>
  <c r="L10" i="21"/>
  <c r="S10" i="21" s="1"/>
  <c r="Z10" i="21" s="1"/>
  <c r="K10" i="21"/>
  <c r="R10" i="21" s="1"/>
  <c r="Y10" i="21" s="1"/>
  <c r="Q9" i="21"/>
  <c r="X9" i="21" s="1"/>
  <c r="AE9" i="21" s="1"/>
  <c r="P9" i="21"/>
  <c r="W9" i="21" s="1"/>
  <c r="AD9" i="21" s="1"/>
  <c r="O9" i="21"/>
  <c r="V9" i="21" s="1"/>
  <c r="AC9" i="21" s="1"/>
  <c r="N9" i="21"/>
  <c r="U9" i="21" s="1"/>
  <c r="AB9" i="21" s="1"/>
  <c r="M9" i="21"/>
  <c r="T9" i="21" s="1"/>
  <c r="AA9" i="21" s="1"/>
  <c r="L9" i="21"/>
  <c r="S9" i="21" s="1"/>
  <c r="Z9" i="21" s="1"/>
  <c r="K9" i="21"/>
  <c r="R9" i="21" s="1"/>
  <c r="Y9" i="21" s="1"/>
  <c r="Q8" i="21"/>
  <c r="X8" i="21" s="1"/>
  <c r="AE8" i="21" s="1"/>
  <c r="P8" i="21"/>
  <c r="W8" i="21" s="1"/>
  <c r="AD8" i="21" s="1"/>
  <c r="O8" i="21"/>
  <c r="V8" i="21" s="1"/>
  <c r="AC8" i="21" s="1"/>
  <c r="N8" i="21"/>
  <c r="U8" i="21" s="1"/>
  <c r="AB8" i="21" s="1"/>
  <c r="M8" i="21"/>
  <c r="T8" i="21" s="1"/>
  <c r="AA8" i="21" s="1"/>
  <c r="L8" i="21"/>
  <c r="S8" i="21" s="1"/>
  <c r="Z8" i="21" s="1"/>
  <c r="K8" i="21"/>
  <c r="R8" i="21" s="1"/>
  <c r="Y8" i="21" s="1"/>
  <c r="Q7" i="21"/>
  <c r="X7" i="21" s="1"/>
  <c r="AE7" i="21" s="1"/>
  <c r="P7" i="21"/>
  <c r="W7" i="21" s="1"/>
  <c r="AD7" i="21" s="1"/>
  <c r="O7" i="21"/>
  <c r="V7" i="21" s="1"/>
  <c r="AC7" i="21" s="1"/>
  <c r="N7" i="21"/>
  <c r="U7" i="21" s="1"/>
  <c r="AB7" i="21" s="1"/>
  <c r="M7" i="21"/>
  <c r="T7" i="21" s="1"/>
  <c r="AA7" i="21" s="1"/>
  <c r="L7" i="21"/>
  <c r="S7" i="21" s="1"/>
  <c r="Z7" i="21" s="1"/>
  <c r="K7" i="21"/>
  <c r="R7" i="21" s="1"/>
  <c r="Y7" i="21" s="1"/>
  <c r="Q6" i="21"/>
  <c r="X6" i="21" s="1"/>
  <c r="AE6" i="21" s="1"/>
  <c r="P6" i="21"/>
  <c r="W6" i="21" s="1"/>
  <c r="AD6" i="21" s="1"/>
  <c r="O6" i="21"/>
  <c r="V6" i="21" s="1"/>
  <c r="AC6" i="21" s="1"/>
  <c r="N6" i="21"/>
  <c r="U6" i="21" s="1"/>
  <c r="AB6" i="21" s="1"/>
  <c r="M6" i="21"/>
  <c r="T6" i="21" s="1"/>
  <c r="AA6" i="21" s="1"/>
  <c r="L6" i="21"/>
  <c r="S6" i="21" s="1"/>
  <c r="Z6" i="21" s="1"/>
  <c r="K6" i="21"/>
  <c r="R6" i="21" s="1"/>
  <c r="Y6" i="21" s="1"/>
  <c r="Q5" i="21"/>
  <c r="X5" i="21" s="1"/>
  <c r="AE5" i="21" s="1"/>
  <c r="P5" i="21"/>
  <c r="W5" i="21" s="1"/>
  <c r="AD5" i="21" s="1"/>
  <c r="O5" i="21"/>
  <c r="V5" i="21" s="1"/>
  <c r="AC5" i="21" s="1"/>
  <c r="N5" i="21"/>
  <c r="U5" i="21" s="1"/>
  <c r="AB5" i="21" s="1"/>
  <c r="M5" i="21"/>
  <c r="T5" i="21" s="1"/>
  <c r="AA5" i="21" s="1"/>
  <c r="L5" i="21"/>
  <c r="S5" i="21" s="1"/>
  <c r="Z5" i="21" s="1"/>
  <c r="K5" i="21"/>
  <c r="R5" i="21" s="1"/>
  <c r="Y5" i="21" s="1"/>
  <c r="Q4" i="21"/>
  <c r="X4" i="21" s="1"/>
  <c r="AE4" i="21" s="1"/>
  <c r="P4" i="21"/>
  <c r="W4" i="21" s="1"/>
  <c r="AD4" i="21" s="1"/>
  <c r="O4" i="21"/>
  <c r="V4" i="21" s="1"/>
  <c r="AC4" i="21" s="1"/>
  <c r="N4" i="21"/>
  <c r="U4" i="21" s="1"/>
  <c r="AB4" i="21" s="1"/>
  <c r="M4" i="21"/>
  <c r="T4" i="21" s="1"/>
  <c r="AA4" i="21" s="1"/>
  <c r="L4" i="21"/>
  <c r="S4" i="21" s="1"/>
  <c r="Z4" i="21" s="1"/>
  <c r="K4" i="21"/>
  <c r="R4" i="21" s="1"/>
  <c r="Y4" i="21" s="1"/>
  <c r="K103" i="9"/>
  <c r="R103" i="9" s="1"/>
  <c r="Y103" i="9" s="1"/>
  <c r="L103" i="9"/>
  <c r="S103" i="9" s="1"/>
  <c r="Z103" i="9" s="1"/>
  <c r="M103" i="9"/>
  <c r="T103" i="9" s="1"/>
  <c r="AA103" i="9" s="1"/>
  <c r="N103" i="9"/>
  <c r="U103" i="9" s="1"/>
  <c r="AB103" i="9" s="1"/>
  <c r="O103" i="9"/>
  <c r="V103" i="9" s="1"/>
  <c r="AC103" i="9" s="1"/>
  <c r="P103" i="9"/>
  <c r="W103" i="9" s="1"/>
  <c r="AD103" i="9" s="1"/>
  <c r="Q103" i="9"/>
  <c r="X103" i="9" s="1"/>
  <c r="AE103" i="9" s="1"/>
  <c r="K54" i="9"/>
  <c r="R54" i="9" s="1"/>
  <c r="Y54" i="9" s="1"/>
  <c r="L54" i="9"/>
  <c r="S54" i="9" s="1"/>
  <c r="Z54" i="9" s="1"/>
  <c r="M54" i="9"/>
  <c r="T54" i="9" s="1"/>
  <c r="AA54" i="9" s="1"/>
  <c r="N54" i="9"/>
  <c r="U54" i="9" s="1"/>
  <c r="AB54" i="9" s="1"/>
  <c r="O54" i="9"/>
  <c r="V54" i="9" s="1"/>
  <c r="AC54" i="9" s="1"/>
  <c r="P54" i="9"/>
  <c r="W54" i="9" s="1"/>
  <c r="AD54" i="9" s="1"/>
  <c r="Q54" i="9"/>
  <c r="X54" i="9" s="1"/>
  <c r="AE54" i="9" s="1"/>
  <c r="K55" i="9"/>
  <c r="R55" i="9" s="1"/>
  <c r="Y55" i="9" s="1"/>
  <c r="L55" i="9"/>
  <c r="S55" i="9" s="1"/>
  <c r="Z55" i="9" s="1"/>
  <c r="M55" i="9"/>
  <c r="T55" i="9" s="1"/>
  <c r="AA55" i="9" s="1"/>
  <c r="N55" i="9"/>
  <c r="U55" i="9" s="1"/>
  <c r="AB55" i="9" s="1"/>
  <c r="O55" i="9"/>
  <c r="V55" i="9" s="1"/>
  <c r="AC55" i="9" s="1"/>
  <c r="P55" i="9"/>
  <c r="W55" i="9" s="1"/>
  <c r="AD55" i="9" s="1"/>
  <c r="Q55" i="9"/>
  <c r="X55" i="9" s="1"/>
  <c r="AE55" i="9" s="1"/>
  <c r="K56" i="9"/>
  <c r="R56" i="9" s="1"/>
  <c r="Y56" i="9" s="1"/>
  <c r="L56" i="9"/>
  <c r="S56" i="9" s="1"/>
  <c r="Z56" i="9" s="1"/>
  <c r="M56" i="9"/>
  <c r="T56" i="9" s="1"/>
  <c r="AA56" i="9" s="1"/>
  <c r="N56" i="9"/>
  <c r="O56" i="9"/>
  <c r="V56" i="9" s="1"/>
  <c r="AC56" i="9" s="1"/>
  <c r="P56" i="9"/>
  <c r="W56" i="9" s="1"/>
  <c r="AD56" i="9" s="1"/>
  <c r="Q56" i="9"/>
  <c r="X56" i="9" s="1"/>
  <c r="AE56" i="9" s="1"/>
  <c r="U56" i="9"/>
  <c r="AB56" i="9" s="1"/>
  <c r="K57" i="9"/>
  <c r="R57" i="9" s="1"/>
  <c r="Y57" i="9" s="1"/>
  <c r="L57" i="9"/>
  <c r="S57" i="9" s="1"/>
  <c r="Z57" i="9" s="1"/>
  <c r="M57" i="9"/>
  <c r="T57" i="9" s="1"/>
  <c r="AA57" i="9" s="1"/>
  <c r="N57" i="9"/>
  <c r="U57" i="9" s="1"/>
  <c r="AB57" i="9" s="1"/>
  <c r="O57" i="9"/>
  <c r="V57" i="9" s="1"/>
  <c r="AC57" i="9" s="1"/>
  <c r="P57" i="9"/>
  <c r="W57" i="9" s="1"/>
  <c r="AD57" i="9" s="1"/>
  <c r="Q57" i="9"/>
  <c r="X57" i="9" s="1"/>
  <c r="AE57" i="9" s="1"/>
  <c r="K58" i="9"/>
  <c r="R58" i="9" s="1"/>
  <c r="Y58" i="9" s="1"/>
  <c r="L58" i="9"/>
  <c r="S58" i="9" s="1"/>
  <c r="Z58" i="9" s="1"/>
  <c r="M58" i="9"/>
  <c r="T58" i="9" s="1"/>
  <c r="AA58" i="9" s="1"/>
  <c r="N58" i="9"/>
  <c r="U58" i="9" s="1"/>
  <c r="AB58" i="9" s="1"/>
  <c r="O58" i="9"/>
  <c r="V58" i="9" s="1"/>
  <c r="AC58" i="9" s="1"/>
  <c r="P58" i="9"/>
  <c r="W58" i="9" s="1"/>
  <c r="AD58" i="9" s="1"/>
  <c r="Q58" i="9"/>
  <c r="X58" i="9" s="1"/>
  <c r="AE58" i="9" s="1"/>
  <c r="K59" i="9"/>
  <c r="R59" i="9" s="1"/>
  <c r="Y59" i="9" s="1"/>
  <c r="L59" i="9"/>
  <c r="S59" i="9" s="1"/>
  <c r="Z59" i="9" s="1"/>
  <c r="M59" i="9"/>
  <c r="T59" i="9" s="1"/>
  <c r="AA59" i="9" s="1"/>
  <c r="N59" i="9"/>
  <c r="U59" i="9" s="1"/>
  <c r="AB59" i="9" s="1"/>
  <c r="O59" i="9"/>
  <c r="V59" i="9" s="1"/>
  <c r="AC59" i="9" s="1"/>
  <c r="P59" i="9"/>
  <c r="W59" i="9" s="1"/>
  <c r="AD59" i="9" s="1"/>
  <c r="Q59" i="9"/>
  <c r="X59" i="9" s="1"/>
  <c r="AE59" i="9" s="1"/>
  <c r="K60" i="9"/>
  <c r="R60" i="9" s="1"/>
  <c r="L60" i="9"/>
  <c r="S60" i="9" s="1"/>
  <c r="Z60" i="9" s="1"/>
  <c r="M60" i="9"/>
  <c r="T60" i="9" s="1"/>
  <c r="AA60" i="9" s="1"/>
  <c r="N60" i="9"/>
  <c r="U60" i="9" s="1"/>
  <c r="AB60" i="9" s="1"/>
  <c r="O60" i="9"/>
  <c r="V60" i="9" s="1"/>
  <c r="P60" i="9"/>
  <c r="W60" i="9" s="1"/>
  <c r="AD60" i="9" s="1"/>
  <c r="Q60" i="9"/>
  <c r="X60" i="9" s="1"/>
  <c r="AE60" i="9" s="1"/>
  <c r="Y60" i="9"/>
  <c r="AC60" i="9"/>
  <c r="K61" i="9"/>
  <c r="R61" i="9" s="1"/>
  <c r="Y61" i="9" s="1"/>
  <c r="L61" i="9"/>
  <c r="S61" i="9" s="1"/>
  <c r="Z61" i="9" s="1"/>
  <c r="M61" i="9"/>
  <c r="T61" i="9" s="1"/>
  <c r="AA61" i="9" s="1"/>
  <c r="N61" i="9"/>
  <c r="U61" i="9" s="1"/>
  <c r="AB61" i="9" s="1"/>
  <c r="O61" i="9"/>
  <c r="V61" i="9" s="1"/>
  <c r="AC61" i="9" s="1"/>
  <c r="P61" i="9"/>
  <c r="W61" i="9" s="1"/>
  <c r="AD61" i="9" s="1"/>
  <c r="Q61" i="9"/>
  <c r="X61" i="9" s="1"/>
  <c r="AE61" i="9" s="1"/>
  <c r="K62" i="9"/>
  <c r="R62" i="9" s="1"/>
  <c r="Y62" i="9" s="1"/>
  <c r="L62" i="9"/>
  <c r="S62" i="9" s="1"/>
  <c r="Z62" i="9" s="1"/>
  <c r="M62" i="9"/>
  <c r="T62" i="9" s="1"/>
  <c r="AA62" i="9" s="1"/>
  <c r="N62" i="9"/>
  <c r="U62" i="9" s="1"/>
  <c r="AB62" i="9" s="1"/>
  <c r="O62" i="9"/>
  <c r="V62" i="9" s="1"/>
  <c r="AC62" i="9" s="1"/>
  <c r="P62" i="9"/>
  <c r="W62" i="9" s="1"/>
  <c r="AD62" i="9" s="1"/>
  <c r="Q62" i="9"/>
  <c r="X62" i="9" s="1"/>
  <c r="AE62" i="9" s="1"/>
  <c r="K63" i="9"/>
  <c r="R63" i="9" s="1"/>
  <c r="Y63" i="9" s="1"/>
  <c r="L63" i="9"/>
  <c r="S63" i="9" s="1"/>
  <c r="Z63" i="9" s="1"/>
  <c r="M63" i="9"/>
  <c r="T63" i="9" s="1"/>
  <c r="AA63" i="9" s="1"/>
  <c r="N63" i="9"/>
  <c r="U63" i="9" s="1"/>
  <c r="AB63" i="9" s="1"/>
  <c r="O63" i="9"/>
  <c r="V63" i="9" s="1"/>
  <c r="AC63" i="9" s="1"/>
  <c r="P63" i="9"/>
  <c r="W63" i="9" s="1"/>
  <c r="AD63" i="9" s="1"/>
  <c r="Q63" i="9"/>
  <c r="X63" i="9" s="1"/>
  <c r="AE63" i="9" s="1"/>
  <c r="K64" i="9"/>
  <c r="R64" i="9" s="1"/>
  <c r="Y64" i="9" s="1"/>
  <c r="L64" i="9"/>
  <c r="S64" i="9" s="1"/>
  <c r="Z64" i="9" s="1"/>
  <c r="M64" i="9"/>
  <c r="T64" i="9" s="1"/>
  <c r="AA64" i="9" s="1"/>
  <c r="N64" i="9"/>
  <c r="U64" i="9" s="1"/>
  <c r="AB64" i="9" s="1"/>
  <c r="O64" i="9"/>
  <c r="V64" i="9" s="1"/>
  <c r="AC64" i="9" s="1"/>
  <c r="P64" i="9"/>
  <c r="W64" i="9" s="1"/>
  <c r="AD64" i="9" s="1"/>
  <c r="Q64" i="9"/>
  <c r="X64" i="9" s="1"/>
  <c r="AE64" i="9" s="1"/>
  <c r="K65" i="9"/>
  <c r="R65" i="9" s="1"/>
  <c r="Y65" i="9" s="1"/>
  <c r="L65" i="9"/>
  <c r="S65" i="9" s="1"/>
  <c r="Z65" i="9" s="1"/>
  <c r="M65" i="9"/>
  <c r="T65" i="9" s="1"/>
  <c r="AA65" i="9" s="1"/>
  <c r="N65" i="9"/>
  <c r="U65" i="9" s="1"/>
  <c r="AB65" i="9" s="1"/>
  <c r="O65" i="9"/>
  <c r="V65" i="9" s="1"/>
  <c r="AC65" i="9" s="1"/>
  <c r="P65" i="9"/>
  <c r="W65" i="9" s="1"/>
  <c r="AD65" i="9" s="1"/>
  <c r="Q65" i="9"/>
  <c r="X65" i="9"/>
  <c r="AE65" i="9" s="1"/>
  <c r="K66" i="9"/>
  <c r="R66" i="9" s="1"/>
  <c r="Y66" i="9" s="1"/>
  <c r="L66" i="9"/>
  <c r="S66" i="9" s="1"/>
  <c r="Z66" i="9" s="1"/>
  <c r="M66" i="9"/>
  <c r="T66" i="9" s="1"/>
  <c r="AA66" i="9" s="1"/>
  <c r="N66" i="9"/>
  <c r="U66" i="9" s="1"/>
  <c r="AB66" i="9" s="1"/>
  <c r="O66" i="9"/>
  <c r="V66" i="9" s="1"/>
  <c r="AC66" i="9" s="1"/>
  <c r="P66" i="9"/>
  <c r="W66" i="9" s="1"/>
  <c r="AD66" i="9" s="1"/>
  <c r="Q66" i="9"/>
  <c r="X66" i="9" s="1"/>
  <c r="AE66" i="9" s="1"/>
  <c r="K67" i="9"/>
  <c r="R67" i="9" s="1"/>
  <c r="Y67" i="9" s="1"/>
  <c r="L67" i="9"/>
  <c r="S67" i="9" s="1"/>
  <c r="Z67" i="9" s="1"/>
  <c r="M67" i="9"/>
  <c r="T67" i="9" s="1"/>
  <c r="AA67" i="9" s="1"/>
  <c r="N67" i="9"/>
  <c r="U67" i="9" s="1"/>
  <c r="AB67" i="9" s="1"/>
  <c r="O67" i="9"/>
  <c r="V67" i="9" s="1"/>
  <c r="AC67" i="9" s="1"/>
  <c r="P67" i="9"/>
  <c r="W67" i="9" s="1"/>
  <c r="AD67" i="9" s="1"/>
  <c r="Q67" i="9"/>
  <c r="X67" i="9" s="1"/>
  <c r="AE67" i="9" s="1"/>
  <c r="K68" i="9"/>
  <c r="R68" i="9" s="1"/>
  <c r="L68" i="9"/>
  <c r="S68" i="9" s="1"/>
  <c r="Z68" i="9" s="1"/>
  <c r="M68" i="9"/>
  <c r="T68" i="9" s="1"/>
  <c r="AA68" i="9" s="1"/>
  <c r="N68" i="9"/>
  <c r="U68" i="9" s="1"/>
  <c r="AB68" i="9" s="1"/>
  <c r="O68" i="9"/>
  <c r="V68" i="9" s="1"/>
  <c r="AC68" i="9" s="1"/>
  <c r="P68" i="9"/>
  <c r="W68" i="9" s="1"/>
  <c r="AD68" i="9" s="1"/>
  <c r="Q68" i="9"/>
  <c r="X68" i="9" s="1"/>
  <c r="AE68" i="9" s="1"/>
  <c r="Y68" i="9"/>
  <c r="K69" i="9"/>
  <c r="R69" i="9" s="1"/>
  <c r="Y69" i="9" s="1"/>
  <c r="L69" i="9"/>
  <c r="S69" i="9" s="1"/>
  <c r="Z69" i="9" s="1"/>
  <c r="M69" i="9"/>
  <c r="T69" i="9" s="1"/>
  <c r="AA69" i="9" s="1"/>
  <c r="N69" i="9"/>
  <c r="U69" i="9" s="1"/>
  <c r="AB69" i="9" s="1"/>
  <c r="O69" i="9"/>
  <c r="V69" i="9" s="1"/>
  <c r="AC69" i="9" s="1"/>
  <c r="P69" i="9"/>
  <c r="W69" i="9" s="1"/>
  <c r="AD69" i="9" s="1"/>
  <c r="Q69" i="9"/>
  <c r="X69" i="9" s="1"/>
  <c r="AE69" i="9" s="1"/>
  <c r="K70" i="9"/>
  <c r="R70" i="9" s="1"/>
  <c r="Y70" i="9" s="1"/>
  <c r="L70" i="9"/>
  <c r="S70" i="9" s="1"/>
  <c r="Z70" i="9" s="1"/>
  <c r="M70" i="9"/>
  <c r="T70" i="9" s="1"/>
  <c r="AA70" i="9" s="1"/>
  <c r="N70" i="9"/>
  <c r="U70" i="9" s="1"/>
  <c r="AB70" i="9" s="1"/>
  <c r="O70" i="9"/>
  <c r="V70" i="9" s="1"/>
  <c r="AC70" i="9" s="1"/>
  <c r="P70" i="9"/>
  <c r="W70" i="9" s="1"/>
  <c r="AD70" i="9" s="1"/>
  <c r="Q70" i="9"/>
  <c r="X70" i="9" s="1"/>
  <c r="AE70" i="9" s="1"/>
  <c r="K71" i="9"/>
  <c r="R71" i="9" s="1"/>
  <c r="Y71" i="9" s="1"/>
  <c r="L71" i="9"/>
  <c r="S71" i="9" s="1"/>
  <c r="M71" i="9"/>
  <c r="T71" i="9" s="1"/>
  <c r="AA71" i="9" s="1"/>
  <c r="N71" i="9"/>
  <c r="U71" i="9" s="1"/>
  <c r="AB71" i="9" s="1"/>
  <c r="O71" i="9"/>
  <c r="V71" i="9" s="1"/>
  <c r="AC71" i="9" s="1"/>
  <c r="P71" i="9"/>
  <c r="W71" i="9" s="1"/>
  <c r="AD71" i="9" s="1"/>
  <c r="Q71" i="9"/>
  <c r="X71" i="9" s="1"/>
  <c r="AE71" i="9" s="1"/>
  <c r="Z71" i="9"/>
  <c r="K72" i="9"/>
  <c r="R72" i="9" s="1"/>
  <c r="L72" i="9"/>
  <c r="S72" i="9" s="1"/>
  <c r="Z72" i="9" s="1"/>
  <c r="M72" i="9"/>
  <c r="T72" i="9" s="1"/>
  <c r="AA72" i="9" s="1"/>
  <c r="N72" i="9"/>
  <c r="O72" i="9"/>
  <c r="V72" i="9" s="1"/>
  <c r="AC72" i="9" s="1"/>
  <c r="P72" i="9"/>
  <c r="W72" i="9" s="1"/>
  <c r="AD72" i="9" s="1"/>
  <c r="Q72" i="9"/>
  <c r="X72" i="9" s="1"/>
  <c r="AE72" i="9" s="1"/>
  <c r="U72" i="9"/>
  <c r="AB72" i="9" s="1"/>
  <c r="Y72" i="9"/>
  <c r="K73" i="9"/>
  <c r="R73" i="9" s="1"/>
  <c r="Y73" i="9" s="1"/>
  <c r="L73" i="9"/>
  <c r="S73" i="9" s="1"/>
  <c r="Z73" i="9" s="1"/>
  <c r="M73" i="9"/>
  <c r="T73" i="9" s="1"/>
  <c r="AA73" i="9" s="1"/>
  <c r="N73" i="9"/>
  <c r="U73" i="9" s="1"/>
  <c r="AB73" i="9" s="1"/>
  <c r="O73" i="9"/>
  <c r="V73" i="9" s="1"/>
  <c r="AC73" i="9" s="1"/>
  <c r="P73" i="9"/>
  <c r="W73" i="9" s="1"/>
  <c r="AD73" i="9" s="1"/>
  <c r="Q73" i="9"/>
  <c r="X73" i="9" s="1"/>
  <c r="AE73" i="9" s="1"/>
  <c r="K74" i="9"/>
  <c r="R74" i="9" s="1"/>
  <c r="Y74" i="9" s="1"/>
  <c r="L74" i="9"/>
  <c r="S74" i="9" s="1"/>
  <c r="Z74" i="9" s="1"/>
  <c r="M74" i="9"/>
  <c r="T74" i="9" s="1"/>
  <c r="AA74" i="9" s="1"/>
  <c r="N74" i="9"/>
  <c r="U74" i="9" s="1"/>
  <c r="AB74" i="9" s="1"/>
  <c r="O74" i="9"/>
  <c r="V74" i="9" s="1"/>
  <c r="AC74" i="9" s="1"/>
  <c r="P74" i="9"/>
  <c r="W74" i="9" s="1"/>
  <c r="AD74" i="9" s="1"/>
  <c r="Q74" i="9"/>
  <c r="X74" i="9" s="1"/>
  <c r="AE74" i="9" s="1"/>
  <c r="K75" i="9"/>
  <c r="R75" i="9" s="1"/>
  <c r="Y75" i="9" s="1"/>
  <c r="L75" i="9"/>
  <c r="S75" i="9" s="1"/>
  <c r="Z75" i="9" s="1"/>
  <c r="M75" i="9"/>
  <c r="N75" i="9"/>
  <c r="U75" i="9" s="1"/>
  <c r="AB75" i="9" s="1"/>
  <c r="O75" i="9"/>
  <c r="V75" i="9" s="1"/>
  <c r="AC75" i="9" s="1"/>
  <c r="P75" i="9"/>
  <c r="W75" i="9" s="1"/>
  <c r="AD75" i="9" s="1"/>
  <c r="Q75" i="9"/>
  <c r="X75" i="9" s="1"/>
  <c r="AE75" i="9" s="1"/>
  <c r="T75" i="9"/>
  <c r="AA75" i="9" s="1"/>
  <c r="K76" i="9"/>
  <c r="R76" i="9" s="1"/>
  <c r="L76" i="9"/>
  <c r="S76" i="9" s="1"/>
  <c r="Z76" i="9" s="1"/>
  <c r="M76" i="9"/>
  <c r="T76" i="9" s="1"/>
  <c r="AA76" i="9" s="1"/>
  <c r="N76" i="9"/>
  <c r="O76" i="9"/>
  <c r="V76" i="9" s="1"/>
  <c r="AC76" i="9" s="1"/>
  <c r="P76" i="9"/>
  <c r="W76" i="9" s="1"/>
  <c r="AD76" i="9" s="1"/>
  <c r="Q76" i="9"/>
  <c r="X76" i="9" s="1"/>
  <c r="AE76" i="9" s="1"/>
  <c r="U76" i="9"/>
  <c r="AB76" i="9" s="1"/>
  <c r="Y76" i="9"/>
  <c r="K77" i="9"/>
  <c r="R77" i="9" s="1"/>
  <c r="Y77" i="9" s="1"/>
  <c r="L77" i="9"/>
  <c r="S77" i="9" s="1"/>
  <c r="Z77" i="9" s="1"/>
  <c r="M77" i="9"/>
  <c r="T77" i="9" s="1"/>
  <c r="AA77" i="9" s="1"/>
  <c r="N77" i="9"/>
  <c r="U77" i="9" s="1"/>
  <c r="AB77" i="9" s="1"/>
  <c r="O77" i="9"/>
  <c r="V77" i="9" s="1"/>
  <c r="AC77" i="9" s="1"/>
  <c r="P77" i="9"/>
  <c r="W77" i="9" s="1"/>
  <c r="AD77" i="9" s="1"/>
  <c r="Q77" i="9"/>
  <c r="X77" i="9" s="1"/>
  <c r="AE77" i="9" s="1"/>
  <c r="K78" i="9"/>
  <c r="R78" i="9" s="1"/>
  <c r="Y78" i="9" s="1"/>
  <c r="L78" i="9"/>
  <c r="S78" i="9" s="1"/>
  <c r="Z78" i="9" s="1"/>
  <c r="M78" i="9"/>
  <c r="T78" i="9" s="1"/>
  <c r="AA78" i="9" s="1"/>
  <c r="N78" i="9"/>
  <c r="U78" i="9" s="1"/>
  <c r="AB78" i="9" s="1"/>
  <c r="O78" i="9"/>
  <c r="V78" i="9" s="1"/>
  <c r="AC78" i="9" s="1"/>
  <c r="P78" i="9"/>
  <c r="W78" i="9" s="1"/>
  <c r="AD78" i="9" s="1"/>
  <c r="Q78" i="9"/>
  <c r="X78" i="9" s="1"/>
  <c r="AE78" i="9" s="1"/>
  <c r="K79" i="9"/>
  <c r="R79" i="9" s="1"/>
  <c r="Y79" i="9" s="1"/>
  <c r="L79" i="9"/>
  <c r="S79" i="9" s="1"/>
  <c r="Z79" i="9" s="1"/>
  <c r="M79" i="9"/>
  <c r="T79" i="9" s="1"/>
  <c r="AA79" i="9" s="1"/>
  <c r="N79" i="9"/>
  <c r="U79" i="9" s="1"/>
  <c r="AB79" i="9" s="1"/>
  <c r="O79" i="9"/>
  <c r="V79" i="9" s="1"/>
  <c r="AC79" i="9" s="1"/>
  <c r="P79" i="9"/>
  <c r="W79" i="9" s="1"/>
  <c r="AD79" i="9" s="1"/>
  <c r="Q79" i="9"/>
  <c r="X79" i="9" s="1"/>
  <c r="AE79" i="9" s="1"/>
  <c r="K80" i="9"/>
  <c r="R80" i="9" s="1"/>
  <c r="Y80" i="9" s="1"/>
  <c r="L80" i="9"/>
  <c r="S80" i="9" s="1"/>
  <c r="Z80" i="9" s="1"/>
  <c r="M80" i="9"/>
  <c r="T80" i="9" s="1"/>
  <c r="AA80" i="9" s="1"/>
  <c r="N80" i="9"/>
  <c r="U80" i="9" s="1"/>
  <c r="AB80" i="9" s="1"/>
  <c r="O80" i="9"/>
  <c r="V80" i="9" s="1"/>
  <c r="AC80" i="9" s="1"/>
  <c r="P80" i="9"/>
  <c r="W80" i="9" s="1"/>
  <c r="AD80" i="9" s="1"/>
  <c r="Q80" i="9"/>
  <c r="X80" i="9" s="1"/>
  <c r="AE80" i="9" s="1"/>
  <c r="K81" i="9"/>
  <c r="R81" i="9" s="1"/>
  <c r="Y81" i="9" s="1"/>
  <c r="L81" i="9"/>
  <c r="S81" i="9" s="1"/>
  <c r="Z81" i="9" s="1"/>
  <c r="M81" i="9"/>
  <c r="T81" i="9" s="1"/>
  <c r="AA81" i="9" s="1"/>
  <c r="N81" i="9"/>
  <c r="U81" i="9" s="1"/>
  <c r="AB81" i="9" s="1"/>
  <c r="O81" i="9"/>
  <c r="V81" i="9" s="1"/>
  <c r="AC81" i="9" s="1"/>
  <c r="P81" i="9"/>
  <c r="W81" i="9" s="1"/>
  <c r="AD81" i="9" s="1"/>
  <c r="Q81" i="9"/>
  <c r="X81" i="9" s="1"/>
  <c r="AE81" i="9" s="1"/>
  <c r="K82" i="9"/>
  <c r="R82" i="9" s="1"/>
  <c r="Y82" i="9" s="1"/>
  <c r="L82" i="9"/>
  <c r="S82" i="9" s="1"/>
  <c r="Z82" i="9" s="1"/>
  <c r="M82" i="9"/>
  <c r="T82" i="9" s="1"/>
  <c r="AA82" i="9" s="1"/>
  <c r="N82" i="9"/>
  <c r="U82" i="9" s="1"/>
  <c r="AB82" i="9" s="1"/>
  <c r="O82" i="9"/>
  <c r="V82" i="9" s="1"/>
  <c r="AC82" i="9" s="1"/>
  <c r="P82" i="9"/>
  <c r="W82" i="9" s="1"/>
  <c r="AD82" i="9" s="1"/>
  <c r="Q82" i="9"/>
  <c r="X82" i="9" s="1"/>
  <c r="AE82" i="9" s="1"/>
  <c r="K83" i="9"/>
  <c r="R83" i="9" s="1"/>
  <c r="Y83" i="9" s="1"/>
  <c r="L83" i="9"/>
  <c r="S83" i="9" s="1"/>
  <c r="Z83" i="9" s="1"/>
  <c r="M83" i="9"/>
  <c r="T83" i="9" s="1"/>
  <c r="AA83" i="9" s="1"/>
  <c r="N83" i="9"/>
  <c r="U83" i="9" s="1"/>
  <c r="AB83" i="9" s="1"/>
  <c r="O83" i="9"/>
  <c r="V83" i="9" s="1"/>
  <c r="AC83" i="9" s="1"/>
  <c r="P83" i="9"/>
  <c r="W83" i="9" s="1"/>
  <c r="AD83" i="9" s="1"/>
  <c r="Q83" i="9"/>
  <c r="X83" i="9" s="1"/>
  <c r="AE83" i="9" s="1"/>
  <c r="K84" i="9"/>
  <c r="R84" i="9" s="1"/>
  <c r="Y84" i="9" s="1"/>
  <c r="L84" i="9"/>
  <c r="S84" i="9" s="1"/>
  <c r="Z84" i="9" s="1"/>
  <c r="M84" i="9"/>
  <c r="T84" i="9" s="1"/>
  <c r="AA84" i="9" s="1"/>
  <c r="N84" i="9"/>
  <c r="U84" i="9" s="1"/>
  <c r="AB84" i="9" s="1"/>
  <c r="O84" i="9"/>
  <c r="V84" i="9" s="1"/>
  <c r="AC84" i="9" s="1"/>
  <c r="P84" i="9"/>
  <c r="W84" i="9" s="1"/>
  <c r="AD84" i="9" s="1"/>
  <c r="Q84" i="9"/>
  <c r="X84" i="9" s="1"/>
  <c r="AE84" i="9" s="1"/>
  <c r="K85" i="9"/>
  <c r="R85" i="9" s="1"/>
  <c r="Y85" i="9" s="1"/>
  <c r="L85" i="9"/>
  <c r="S85" i="9" s="1"/>
  <c r="Z85" i="9" s="1"/>
  <c r="M85" i="9"/>
  <c r="T85" i="9" s="1"/>
  <c r="AA85" i="9" s="1"/>
  <c r="N85" i="9"/>
  <c r="U85" i="9" s="1"/>
  <c r="AB85" i="9" s="1"/>
  <c r="O85" i="9"/>
  <c r="V85" i="9" s="1"/>
  <c r="AC85" i="9" s="1"/>
  <c r="P85" i="9"/>
  <c r="W85" i="9" s="1"/>
  <c r="AD85" i="9" s="1"/>
  <c r="Q85" i="9"/>
  <c r="X85" i="9" s="1"/>
  <c r="AE85" i="9" s="1"/>
  <c r="K86" i="9"/>
  <c r="R86" i="9" s="1"/>
  <c r="Y86" i="9" s="1"/>
  <c r="L86" i="9"/>
  <c r="S86" i="9" s="1"/>
  <c r="Z86" i="9" s="1"/>
  <c r="M86" i="9"/>
  <c r="T86" i="9" s="1"/>
  <c r="AA86" i="9" s="1"/>
  <c r="N86" i="9"/>
  <c r="U86" i="9" s="1"/>
  <c r="AB86" i="9" s="1"/>
  <c r="O86" i="9"/>
  <c r="V86" i="9" s="1"/>
  <c r="AC86" i="9" s="1"/>
  <c r="P86" i="9"/>
  <c r="W86" i="9" s="1"/>
  <c r="AD86" i="9" s="1"/>
  <c r="Q86" i="9"/>
  <c r="X86" i="9" s="1"/>
  <c r="AE86" i="9" s="1"/>
  <c r="K87" i="9"/>
  <c r="R87" i="9" s="1"/>
  <c r="Y87" i="9" s="1"/>
  <c r="L87" i="9"/>
  <c r="S87" i="9" s="1"/>
  <c r="Z87" i="9" s="1"/>
  <c r="M87" i="9"/>
  <c r="T87" i="9" s="1"/>
  <c r="AA87" i="9" s="1"/>
  <c r="N87" i="9"/>
  <c r="U87" i="9" s="1"/>
  <c r="AB87" i="9" s="1"/>
  <c r="O87" i="9"/>
  <c r="V87" i="9" s="1"/>
  <c r="AC87" i="9" s="1"/>
  <c r="P87" i="9"/>
  <c r="W87" i="9" s="1"/>
  <c r="AD87" i="9" s="1"/>
  <c r="Q87" i="9"/>
  <c r="X87" i="9" s="1"/>
  <c r="AE87" i="9" s="1"/>
  <c r="K88" i="9"/>
  <c r="R88" i="9" s="1"/>
  <c r="Y88" i="9" s="1"/>
  <c r="L88" i="9"/>
  <c r="S88" i="9" s="1"/>
  <c r="Z88" i="9" s="1"/>
  <c r="M88" i="9"/>
  <c r="T88" i="9" s="1"/>
  <c r="AA88" i="9" s="1"/>
  <c r="N88" i="9"/>
  <c r="U88" i="9" s="1"/>
  <c r="AB88" i="9" s="1"/>
  <c r="O88" i="9"/>
  <c r="V88" i="9" s="1"/>
  <c r="AC88" i="9" s="1"/>
  <c r="P88" i="9"/>
  <c r="W88" i="9" s="1"/>
  <c r="AD88" i="9" s="1"/>
  <c r="Q88" i="9"/>
  <c r="X88" i="9" s="1"/>
  <c r="AE88" i="9" s="1"/>
  <c r="K89" i="9"/>
  <c r="R89" i="9" s="1"/>
  <c r="Y89" i="9" s="1"/>
  <c r="L89" i="9"/>
  <c r="S89" i="9" s="1"/>
  <c r="Z89" i="9" s="1"/>
  <c r="M89" i="9"/>
  <c r="T89" i="9" s="1"/>
  <c r="AA89" i="9" s="1"/>
  <c r="N89" i="9"/>
  <c r="U89" i="9" s="1"/>
  <c r="AB89" i="9" s="1"/>
  <c r="O89" i="9"/>
  <c r="V89" i="9" s="1"/>
  <c r="AC89" i="9" s="1"/>
  <c r="P89" i="9"/>
  <c r="W89" i="9" s="1"/>
  <c r="AD89" i="9" s="1"/>
  <c r="Q89" i="9"/>
  <c r="X89" i="9" s="1"/>
  <c r="AE89" i="9" s="1"/>
  <c r="K90" i="9"/>
  <c r="R90" i="9" s="1"/>
  <c r="Y90" i="9" s="1"/>
  <c r="L90" i="9"/>
  <c r="S90" i="9" s="1"/>
  <c r="Z90" i="9" s="1"/>
  <c r="M90" i="9"/>
  <c r="T90" i="9" s="1"/>
  <c r="AA90" i="9" s="1"/>
  <c r="N90" i="9"/>
  <c r="U90" i="9" s="1"/>
  <c r="AB90" i="9" s="1"/>
  <c r="O90" i="9"/>
  <c r="V90" i="9" s="1"/>
  <c r="AC90" i="9" s="1"/>
  <c r="P90" i="9"/>
  <c r="W90" i="9" s="1"/>
  <c r="AD90" i="9" s="1"/>
  <c r="Q90" i="9"/>
  <c r="X90" i="9" s="1"/>
  <c r="AE90" i="9" s="1"/>
  <c r="K91" i="9"/>
  <c r="R91" i="9" s="1"/>
  <c r="Y91" i="9" s="1"/>
  <c r="L91" i="9"/>
  <c r="S91" i="9" s="1"/>
  <c r="Z91" i="9" s="1"/>
  <c r="M91" i="9"/>
  <c r="T91" i="9" s="1"/>
  <c r="AA91" i="9" s="1"/>
  <c r="N91" i="9"/>
  <c r="U91" i="9" s="1"/>
  <c r="AB91" i="9" s="1"/>
  <c r="O91" i="9"/>
  <c r="V91" i="9" s="1"/>
  <c r="AC91" i="9" s="1"/>
  <c r="P91" i="9"/>
  <c r="W91" i="9" s="1"/>
  <c r="AD91" i="9" s="1"/>
  <c r="Q91" i="9"/>
  <c r="X91" i="9" s="1"/>
  <c r="AE91" i="9" s="1"/>
  <c r="K92" i="9"/>
  <c r="R92" i="9" s="1"/>
  <c r="Y92" i="9" s="1"/>
  <c r="L92" i="9"/>
  <c r="S92" i="9" s="1"/>
  <c r="Z92" i="9" s="1"/>
  <c r="M92" i="9"/>
  <c r="T92" i="9" s="1"/>
  <c r="AA92" i="9" s="1"/>
  <c r="N92" i="9"/>
  <c r="U92" i="9" s="1"/>
  <c r="AB92" i="9" s="1"/>
  <c r="O92" i="9"/>
  <c r="V92" i="9" s="1"/>
  <c r="AC92" i="9" s="1"/>
  <c r="P92" i="9"/>
  <c r="W92" i="9" s="1"/>
  <c r="AD92" i="9" s="1"/>
  <c r="Q92" i="9"/>
  <c r="X92" i="9" s="1"/>
  <c r="AE92" i="9" s="1"/>
  <c r="K93" i="9"/>
  <c r="R93" i="9" s="1"/>
  <c r="Y93" i="9" s="1"/>
  <c r="L93" i="9"/>
  <c r="S93" i="9" s="1"/>
  <c r="Z93" i="9" s="1"/>
  <c r="M93" i="9"/>
  <c r="T93" i="9" s="1"/>
  <c r="AA93" i="9" s="1"/>
  <c r="N93" i="9"/>
  <c r="U93" i="9" s="1"/>
  <c r="AB93" i="9" s="1"/>
  <c r="O93" i="9"/>
  <c r="V93" i="9" s="1"/>
  <c r="AC93" i="9" s="1"/>
  <c r="P93" i="9"/>
  <c r="W93" i="9" s="1"/>
  <c r="AD93" i="9" s="1"/>
  <c r="Q93" i="9"/>
  <c r="X93" i="9" s="1"/>
  <c r="AE93" i="9" s="1"/>
  <c r="K94" i="9"/>
  <c r="R94" i="9" s="1"/>
  <c r="Y94" i="9" s="1"/>
  <c r="L94" i="9"/>
  <c r="S94" i="9" s="1"/>
  <c r="Z94" i="9" s="1"/>
  <c r="M94" i="9"/>
  <c r="T94" i="9" s="1"/>
  <c r="AA94" i="9" s="1"/>
  <c r="N94" i="9"/>
  <c r="U94" i="9" s="1"/>
  <c r="AB94" i="9" s="1"/>
  <c r="O94" i="9"/>
  <c r="V94" i="9" s="1"/>
  <c r="AC94" i="9" s="1"/>
  <c r="P94" i="9"/>
  <c r="W94" i="9" s="1"/>
  <c r="AD94" i="9" s="1"/>
  <c r="Q94" i="9"/>
  <c r="X94" i="9" s="1"/>
  <c r="AE94" i="9" s="1"/>
  <c r="K95" i="9"/>
  <c r="R95" i="9" s="1"/>
  <c r="Y95" i="9" s="1"/>
  <c r="L95" i="9"/>
  <c r="S95" i="9" s="1"/>
  <c r="Z95" i="9" s="1"/>
  <c r="M95" i="9"/>
  <c r="T95" i="9" s="1"/>
  <c r="AA95" i="9" s="1"/>
  <c r="N95" i="9"/>
  <c r="U95" i="9" s="1"/>
  <c r="AB95" i="9" s="1"/>
  <c r="O95" i="9"/>
  <c r="V95" i="9" s="1"/>
  <c r="AC95" i="9" s="1"/>
  <c r="P95" i="9"/>
  <c r="W95" i="9" s="1"/>
  <c r="AD95" i="9" s="1"/>
  <c r="Q95" i="9"/>
  <c r="X95" i="9" s="1"/>
  <c r="AE95" i="9" s="1"/>
  <c r="K96" i="9"/>
  <c r="R96" i="9" s="1"/>
  <c r="Y96" i="9" s="1"/>
  <c r="L96" i="9"/>
  <c r="S96" i="9" s="1"/>
  <c r="Z96" i="9" s="1"/>
  <c r="M96" i="9"/>
  <c r="T96" i="9" s="1"/>
  <c r="AA96" i="9" s="1"/>
  <c r="N96" i="9"/>
  <c r="O96" i="9"/>
  <c r="V96" i="9" s="1"/>
  <c r="AC96" i="9" s="1"/>
  <c r="P96" i="9"/>
  <c r="W96" i="9" s="1"/>
  <c r="AD96" i="9" s="1"/>
  <c r="Q96" i="9"/>
  <c r="X96" i="9" s="1"/>
  <c r="AE96" i="9" s="1"/>
  <c r="U96" i="9"/>
  <c r="AB96" i="9" s="1"/>
  <c r="K97" i="9"/>
  <c r="R97" i="9" s="1"/>
  <c r="Y97" i="9" s="1"/>
  <c r="L97" i="9"/>
  <c r="S97" i="9" s="1"/>
  <c r="Z97" i="9" s="1"/>
  <c r="M97" i="9"/>
  <c r="T97" i="9" s="1"/>
  <c r="AA97" i="9" s="1"/>
  <c r="N97" i="9"/>
  <c r="U97" i="9" s="1"/>
  <c r="AB97" i="9" s="1"/>
  <c r="O97" i="9"/>
  <c r="V97" i="9" s="1"/>
  <c r="AC97" i="9" s="1"/>
  <c r="P97" i="9"/>
  <c r="W97" i="9" s="1"/>
  <c r="AD97" i="9" s="1"/>
  <c r="Q97" i="9"/>
  <c r="X97" i="9" s="1"/>
  <c r="AE97" i="9" s="1"/>
  <c r="K98" i="9"/>
  <c r="R98" i="9" s="1"/>
  <c r="Y98" i="9" s="1"/>
  <c r="L98" i="9"/>
  <c r="S98" i="9" s="1"/>
  <c r="Z98" i="9" s="1"/>
  <c r="M98" i="9"/>
  <c r="T98" i="9" s="1"/>
  <c r="AA98" i="9" s="1"/>
  <c r="N98" i="9"/>
  <c r="U98" i="9" s="1"/>
  <c r="AB98" i="9" s="1"/>
  <c r="O98" i="9"/>
  <c r="V98" i="9" s="1"/>
  <c r="AC98" i="9" s="1"/>
  <c r="P98" i="9"/>
  <c r="W98" i="9" s="1"/>
  <c r="AD98" i="9" s="1"/>
  <c r="Q98" i="9"/>
  <c r="X98" i="9" s="1"/>
  <c r="AE98" i="9" s="1"/>
  <c r="K99" i="9"/>
  <c r="R99" i="9" s="1"/>
  <c r="Y99" i="9" s="1"/>
  <c r="L99" i="9"/>
  <c r="S99" i="9" s="1"/>
  <c r="Z99" i="9" s="1"/>
  <c r="M99" i="9"/>
  <c r="T99" i="9" s="1"/>
  <c r="AA99" i="9" s="1"/>
  <c r="N99" i="9"/>
  <c r="U99" i="9" s="1"/>
  <c r="AB99" i="9" s="1"/>
  <c r="O99" i="9"/>
  <c r="V99" i="9" s="1"/>
  <c r="AC99" i="9" s="1"/>
  <c r="P99" i="9"/>
  <c r="W99" i="9" s="1"/>
  <c r="AD99" i="9" s="1"/>
  <c r="Q99" i="9"/>
  <c r="X99" i="9" s="1"/>
  <c r="AE99" i="9" s="1"/>
  <c r="K100" i="9"/>
  <c r="R100" i="9" s="1"/>
  <c r="Y100" i="9" s="1"/>
  <c r="L100" i="9"/>
  <c r="S100" i="9" s="1"/>
  <c r="Z100" i="9" s="1"/>
  <c r="M100" i="9"/>
  <c r="T100" i="9" s="1"/>
  <c r="AA100" i="9" s="1"/>
  <c r="N100" i="9"/>
  <c r="U100" i="9" s="1"/>
  <c r="AB100" i="9" s="1"/>
  <c r="O100" i="9"/>
  <c r="V100" i="9" s="1"/>
  <c r="AC100" i="9" s="1"/>
  <c r="P100" i="9"/>
  <c r="W100" i="9" s="1"/>
  <c r="AD100" i="9" s="1"/>
  <c r="Q100" i="9"/>
  <c r="X100" i="9" s="1"/>
  <c r="AE100" i="9" s="1"/>
  <c r="K101" i="9"/>
  <c r="R101" i="9" s="1"/>
  <c r="Y101" i="9" s="1"/>
  <c r="L101" i="9"/>
  <c r="S101" i="9" s="1"/>
  <c r="Z101" i="9" s="1"/>
  <c r="M101" i="9"/>
  <c r="T101" i="9" s="1"/>
  <c r="AA101" i="9" s="1"/>
  <c r="N101" i="9"/>
  <c r="O101" i="9"/>
  <c r="P101" i="9"/>
  <c r="W101" i="9" s="1"/>
  <c r="AD101" i="9" s="1"/>
  <c r="Q101" i="9"/>
  <c r="X101" i="9" s="1"/>
  <c r="AE101" i="9" s="1"/>
  <c r="U101" i="9"/>
  <c r="AB101" i="9" s="1"/>
  <c r="V101" i="9"/>
  <c r="AC101" i="9" s="1"/>
  <c r="K102" i="9"/>
  <c r="R102" i="9" s="1"/>
  <c r="Y102" i="9" s="1"/>
  <c r="L102" i="9"/>
  <c r="S102" i="9" s="1"/>
  <c r="Z102" i="9" s="1"/>
  <c r="M102" i="9"/>
  <c r="T102" i="9" s="1"/>
  <c r="AA102" i="9" s="1"/>
  <c r="N102" i="9"/>
  <c r="U102" i="9" s="1"/>
  <c r="AB102" i="9" s="1"/>
  <c r="O102" i="9"/>
  <c r="V102" i="9" s="1"/>
  <c r="AC102" i="9" s="1"/>
  <c r="P102" i="9"/>
  <c r="W102" i="9" s="1"/>
  <c r="AD102" i="9" s="1"/>
  <c r="Q102" i="9"/>
  <c r="X102" i="9" s="1"/>
  <c r="AE102" i="9" s="1"/>
  <c r="R48" i="21" l="1"/>
  <c r="Y48" i="21" s="1"/>
  <c r="X91" i="21"/>
  <c r="AE91" i="21" s="1"/>
  <c r="W38" i="21"/>
  <c r="AD38" i="21" s="1"/>
  <c r="T50" i="21"/>
  <c r="AA50" i="21" s="1"/>
  <c r="T45" i="21"/>
  <c r="AA45" i="21" s="1"/>
  <c r="W11" i="21"/>
  <c r="AD11" i="21" s="1"/>
  <c r="Q44" i="9"/>
  <c r="X44" i="9" s="1"/>
  <c r="AE44" i="9" s="1"/>
  <c r="Q45" i="9"/>
  <c r="X45" i="9" s="1"/>
  <c r="AE45" i="9" s="1"/>
  <c r="Q46" i="9"/>
  <c r="X46" i="9" s="1"/>
  <c r="AE46" i="9" s="1"/>
  <c r="Q47" i="9"/>
  <c r="X47" i="9" s="1"/>
  <c r="AE47" i="9" s="1"/>
  <c r="Q48" i="9"/>
  <c r="X48" i="9" s="1"/>
  <c r="AE48" i="9" s="1"/>
  <c r="Q49" i="9"/>
  <c r="X49" i="9" s="1"/>
  <c r="AE49" i="9" s="1"/>
  <c r="Q50" i="9"/>
  <c r="X50" i="9" s="1"/>
  <c r="AE50" i="9" s="1"/>
  <c r="Q51" i="9"/>
  <c r="X51" i="9" s="1"/>
  <c r="AE51" i="9" s="1"/>
  <c r="Q52" i="9"/>
  <c r="X52" i="9" s="1"/>
  <c r="AE52" i="9" s="1"/>
  <c r="Q53" i="9"/>
  <c r="X53" i="9" s="1"/>
  <c r="AE53" i="9" s="1"/>
  <c r="P44" i="9"/>
  <c r="W44" i="9" s="1"/>
  <c r="AD44" i="9" s="1"/>
  <c r="P45" i="9"/>
  <c r="W45" i="9" s="1"/>
  <c r="AD45" i="9" s="1"/>
  <c r="P46" i="9"/>
  <c r="W46" i="9" s="1"/>
  <c r="AD46" i="9" s="1"/>
  <c r="P47" i="9"/>
  <c r="W47" i="9" s="1"/>
  <c r="AD47" i="9" s="1"/>
  <c r="P48" i="9"/>
  <c r="W48" i="9" s="1"/>
  <c r="AD48" i="9" s="1"/>
  <c r="P49" i="9"/>
  <c r="W49" i="9" s="1"/>
  <c r="AD49" i="9" s="1"/>
  <c r="P50" i="9"/>
  <c r="W50" i="9" s="1"/>
  <c r="AD50" i="9" s="1"/>
  <c r="P51" i="9"/>
  <c r="W51" i="9" s="1"/>
  <c r="AD51" i="9" s="1"/>
  <c r="P52" i="9"/>
  <c r="W52" i="9" s="1"/>
  <c r="AD52" i="9" s="1"/>
  <c r="P53" i="9"/>
  <c r="W53" i="9" s="1"/>
  <c r="AD53" i="9" s="1"/>
  <c r="O45" i="9"/>
  <c r="V45" i="9" s="1"/>
  <c r="AC45" i="9" s="1"/>
  <c r="O46" i="9"/>
  <c r="V46" i="9" s="1"/>
  <c r="AC46" i="9" s="1"/>
  <c r="O47" i="9"/>
  <c r="V47" i="9" s="1"/>
  <c r="AC47" i="9" s="1"/>
  <c r="O48" i="9"/>
  <c r="V48" i="9" s="1"/>
  <c r="AC48" i="9" s="1"/>
  <c r="O49" i="9"/>
  <c r="V49" i="9" s="1"/>
  <c r="AC49" i="9" s="1"/>
  <c r="O50" i="9"/>
  <c r="V50" i="9" s="1"/>
  <c r="AC50" i="9" s="1"/>
  <c r="O51" i="9"/>
  <c r="V51" i="9" s="1"/>
  <c r="AC51" i="9" s="1"/>
  <c r="O52" i="9"/>
  <c r="V52" i="9" s="1"/>
  <c r="AC52" i="9" s="1"/>
  <c r="O53" i="9"/>
  <c r="V53" i="9" s="1"/>
  <c r="AC53" i="9" s="1"/>
  <c r="O44" i="9"/>
  <c r="V44" i="9" s="1"/>
  <c r="AC44" i="9" s="1"/>
  <c r="N44" i="9"/>
  <c r="U44" i="9" s="1"/>
  <c r="AB44" i="9" s="1"/>
  <c r="N45" i="9"/>
  <c r="U45" i="9" s="1"/>
  <c r="AB45" i="9" s="1"/>
  <c r="N46" i="9"/>
  <c r="U46" i="9" s="1"/>
  <c r="AB46" i="9" s="1"/>
  <c r="N47" i="9"/>
  <c r="U47" i="9" s="1"/>
  <c r="AB47" i="9" s="1"/>
  <c r="N48" i="9"/>
  <c r="U48" i="9" s="1"/>
  <c r="AB48" i="9" s="1"/>
  <c r="N49" i="9"/>
  <c r="U49" i="9" s="1"/>
  <c r="AB49" i="9" s="1"/>
  <c r="N50" i="9"/>
  <c r="U50" i="9" s="1"/>
  <c r="AB50" i="9" s="1"/>
  <c r="N51" i="9"/>
  <c r="U51" i="9" s="1"/>
  <c r="AB51" i="9" s="1"/>
  <c r="N52" i="9"/>
  <c r="U52" i="9" s="1"/>
  <c r="AB52" i="9" s="1"/>
  <c r="N53" i="9"/>
  <c r="U53" i="9" s="1"/>
  <c r="AB53" i="9" s="1"/>
  <c r="M44" i="9"/>
  <c r="T44" i="9" s="1"/>
  <c r="AA44" i="9" s="1"/>
  <c r="M45" i="9"/>
  <c r="T45" i="9" s="1"/>
  <c r="AA45" i="9" s="1"/>
  <c r="M46" i="9"/>
  <c r="T46" i="9" s="1"/>
  <c r="AA46" i="9" s="1"/>
  <c r="M47" i="9"/>
  <c r="T47" i="9" s="1"/>
  <c r="AA47" i="9" s="1"/>
  <c r="M48" i="9"/>
  <c r="T48" i="9" s="1"/>
  <c r="AA48" i="9" s="1"/>
  <c r="M49" i="9"/>
  <c r="T49" i="9" s="1"/>
  <c r="AA49" i="9" s="1"/>
  <c r="M50" i="9"/>
  <c r="T50" i="9" s="1"/>
  <c r="AA50" i="9" s="1"/>
  <c r="M51" i="9"/>
  <c r="T51" i="9" s="1"/>
  <c r="AA51" i="9" s="1"/>
  <c r="M52" i="9"/>
  <c r="T52" i="9" s="1"/>
  <c r="AA52" i="9" s="1"/>
  <c r="M53" i="9"/>
  <c r="T53" i="9" s="1"/>
  <c r="AA53" i="9" s="1"/>
  <c r="L47" i="9"/>
  <c r="S47" i="9" s="1"/>
  <c r="Z47" i="9" s="1"/>
  <c r="L48" i="9"/>
  <c r="S48" i="9" s="1"/>
  <c r="Z48" i="9" s="1"/>
  <c r="L49" i="9"/>
  <c r="S49" i="9" s="1"/>
  <c r="Z49" i="9" s="1"/>
  <c r="L50" i="9"/>
  <c r="S50" i="9" s="1"/>
  <c r="Z50" i="9" s="1"/>
  <c r="L51" i="9"/>
  <c r="S51" i="9" s="1"/>
  <c r="Z51" i="9" s="1"/>
  <c r="L52" i="9"/>
  <c r="S52" i="9" s="1"/>
  <c r="Z52" i="9" s="1"/>
  <c r="L53" i="9"/>
  <c r="S53" i="9" s="1"/>
  <c r="Z53" i="9" s="1"/>
  <c r="L46" i="9"/>
  <c r="S46" i="9" s="1"/>
  <c r="Z46" i="9" s="1"/>
  <c r="L44" i="9"/>
  <c r="S44" i="9" s="1"/>
  <c r="Z44" i="9" s="1"/>
  <c r="L45" i="9"/>
  <c r="S45" i="9" s="1"/>
  <c r="Z45" i="9" s="1"/>
  <c r="K4" i="9"/>
  <c r="R4" i="9" s="1"/>
  <c r="K5" i="9"/>
  <c r="R5" i="9" s="1"/>
  <c r="Y5" i="9" s="1"/>
  <c r="K6" i="9"/>
  <c r="R6" i="9" s="1"/>
  <c r="Y6" i="9" s="1"/>
  <c r="K7" i="9"/>
  <c r="R7" i="9" s="1"/>
  <c r="Y7" i="9" s="1"/>
  <c r="K8" i="9"/>
  <c r="R8" i="9" s="1"/>
  <c r="Y8" i="9" s="1"/>
  <c r="K9" i="9"/>
  <c r="R9" i="9" s="1"/>
  <c r="Y9" i="9" s="1"/>
  <c r="K10" i="9"/>
  <c r="R10" i="9" s="1"/>
  <c r="Y10" i="9" s="1"/>
  <c r="K11" i="9"/>
  <c r="R11" i="9" s="1"/>
  <c r="Y11" i="9" s="1"/>
  <c r="K12" i="9"/>
  <c r="R12" i="9" s="1"/>
  <c r="Y12" i="9" s="1"/>
  <c r="K13" i="9"/>
  <c r="R13" i="9" s="1"/>
  <c r="Y13" i="9" s="1"/>
  <c r="K14" i="9"/>
  <c r="R14" i="9" s="1"/>
  <c r="Y14" i="9" s="1"/>
  <c r="K15" i="9"/>
  <c r="R15" i="9" s="1"/>
  <c r="Y15" i="9" s="1"/>
  <c r="K16" i="9"/>
  <c r="R16" i="9" s="1"/>
  <c r="Y16" i="9" s="1"/>
  <c r="K17" i="9"/>
  <c r="R17" i="9" s="1"/>
  <c r="Y17" i="9" s="1"/>
  <c r="K18" i="9"/>
  <c r="R18" i="9" s="1"/>
  <c r="Y18" i="9" s="1"/>
  <c r="K19" i="9"/>
  <c r="R19" i="9" s="1"/>
  <c r="Y19" i="9" s="1"/>
  <c r="K20" i="9"/>
  <c r="R20" i="9" s="1"/>
  <c r="Y20" i="9" s="1"/>
  <c r="K21" i="9"/>
  <c r="R21" i="9" s="1"/>
  <c r="Y21" i="9" s="1"/>
  <c r="K22" i="9"/>
  <c r="R22" i="9" s="1"/>
  <c r="Y22" i="9" s="1"/>
  <c r="K23" i="9"/>
  <c r="R23" i="9" s="1"/>
  <c r="Y23" i="9" s="1"/>
  <c r="K24" i="9"/>
  <c r="R24" i="9" s="1"/>
  <c r="Y24" i="9" s="1"/>
  <c r="K25" i="9"/>
  <c r="R25" i="9" s="1"/>
  <c r="Y25" i="9" s="1"/>
  <c r="K26" i="9"/>
  <c r="R26" i="9" s="1"/>
  <c r="Y26" i="9" s="1"/>
  <c r="K27" i="9"/>
  <c r="R27" i="9" s="1"/>
  <c r="Y27" i="9" s="1"/>
  <c r="K28" i="9"/>
  <c r="R28" i="9" s="1"/>
  <c r="Y28" i="9" s="1"/>
  <c r="K29" i="9"/>
  <c r="R29" i="9" s="1"/>
  <c r="Y29" i="9" s="1"/>
  <c r="K30" i="9"/>
  <c r="R30" i="9" s="1"/>
  <c r="Y30" i="9" s="1"/>
  <c r="K31" i="9"/>
  <c r="R31" i="9" s="1"/>
  <c r="Y31" i="9" s="1"/>
  <c r="K32" i="9"/>
  <c r="R32" i="9" s="1"/>
  <c r="Y32" i="9" s="1"/>
  <c r="K33" i="9"/>
  <c r="R33" i="9" s="1"/>
  <c r="Y33" i="9" s="1"/>
  <c r="K34" i="9"/>
  <c r="R34" i="9" s="1"/>
  <c r="Y34" i="9" s="1"/>
  <c r="K35" i="9"/>
  <c r="R35" i="9" s="1"/>
  <c r="Y35" i="9" s="1"/>
  <c r="K36" i="9"/>
  <c r="R36" i="9" s="1"/>
  <c r="Y36" i="9" s="1"/>
  <c r="K37" i="9"/>
  <c r="R37" i="9" s="1"/>
  <c r="Y37" i="9" s="1"/>
  <c r="K38" i="9"/>
  <c r="R38" i="9" s="1"/>
  <c r="Y38" i="9" s="1"/>
  <c r="K39" i="9"/>
  <c r="R39" i="9" s="1"/>
  <c r="Y39" i="9" s="1"/>
  <c r="K40" i="9"/>
  <c r="R40" i="9" s="1"/>
  <c r="Y40" i="9" s="1"/>
  <c r="K41" i="9"/>
  <c r="R41" i="9" s="1"/>
  <c r="Y41" i="9" s="1"/>
  <c r="K42" i="9"/>
  <c r="R42" i="9" s="1"/>
  <c r="Y42" i="9" s="1"/>
  <c r="K43" i="9"/>
  <c r="R43" i="9" s="1"/>
  <c r="Y43" i="9" s="1"/>
  <c r="K44" i="9"/>
  <c r="R44" i="9" s="1"/>
  <c r="Y44" i="9" s="1"/>
  <c r="K45" i="9"/>
  <c r="R45" i="9" s="1"/>
  <c r="Y45" i="9" s="1"/>
  <c r="K46" i="9"/>
  <c r="R46" i="9" s="1"/>
  <c r="Y46" i="9" s="1"/>
  <c r="K47" i="9"/>
  <c r="R47" i="9" s="1"/>
  <c r="Y47" i="9" s="1"/>
  <c r="K48" i="9"/>
  <c r="R48" i="9" s="1"/>
  <c r="Y48" i="9" s="1"/>
  <c r="K49" i="9"/>
  <c r="R49" i="9" s="1"/>
  <c r="Y49" i="9" s="1"/>
  <c r="K50" i="9"/>
  <c r="R50" i="9" s="1"/>
  <c r="Y50" i="9" s="1"/>
  <c r="K51" i="9"/>
  <c r="R51" i="9" s="1"/>
  <c r="Y51" i="9" s="1"/>
  <c r="K52" i="9"/>
  <c r="R52" i="9" s="1"/>
  <c r="Y52" i="9" s="1"/>
  <c r="K53" i="9"/>
  <c r="R53" i="9" s="1"/>
  <c r="Y53" i="9" s="1"/>
  <c r="Q4" i="9"/>
  <c r="X4" i="9" s="1"/>
  <c r="AE4" i="9" s="1"/>
  <c r="Q5" i="9"/>
  <c r="X5" i="9" s="1"/>
  <c r="AE5" i="9" s="1"/>
  <c r="Q6" i="9"/>
  <c r="X6" i="9" s="1"/>
  <c r="AE6" i="9" s="1"/>
  <c r="Q7" i="9"/>
  <c r="X7" i="9" s="1"/>
  <c r="AE7" i="9" s="1"/>
  <c r="Q8" i="9"/>
  <c r="X8" i="9" s="1"/>
  <c r="AE8" i="9" s="1"/>
  <c r="Q9" i="9"/>
  <c r="X9" i="9" s="1"/>
  <c r="AE9" i="9" s="1"/>
  <c r="Q10" i="9"/>
  <c r="X10" i="9" s="1"/>
  <c r="AE10" i="9" s="1"/>
  <c r="Q11" i="9"/>
  <c r="X11" i="9" s="1"/>
  <c r="AE11" i="9" s="1"/>
  <c r="Q12" i="9"/>
  <c r="X12" i="9" s="1"/>
  <c r="AE12" i="9" s="1"/>
  <c r="Q13" i="9"/>
  <c r="X13" i="9" s="1"/>
  <c r="AE13" i="9" s="1"/>
  <c r="Q14" i="9"/>
  <c r="X14" i="9" s="1"/>
  <c r="AE14" i="9" s="1"/>
  <c r="Q15" i="9"/>
  <c r="X15" i="9" s="1"/>
  <c r="AE15" i="9" s="1"/>
  <c r="Q16" i="9"/>
  <c r="X16" i="9" s="1"/>
  <c r="AE16" i="9" s="1"/>
  <c r="Q17" i="9"/>
  <c r="X17" i="9" s="1"/>
  <c r="AE17" i="9" s="1"/>
  <c r="Q18" i="9"/>
  <c r="X18" i="9" s="1"/>
  <c r="AE18" i="9" s="1"/>
  <c r="Q19" i="9"/>
  <c r="X19" i="9" s="1"/>
  <c r="AE19" i="9" s="1"/>
  <c r="Q20" i="9"/>
  <c r="X20" i="9" s="1"/>
  <c r="AE20" i="9" s="1"/>
  <c r="Q21" i="9"/>
  <c r="X21" i="9" s="1"/>
  <c r="AE21" i="9" s="1"/>
  <c r="Q22" i="9"/>
  <c r="X22" i="9" s="1"/>
  <c r="AE22" i="9" s="1"/>
  <c r="Q23" i="9"/>
  <c r="X23" i="9" s="1"/>
  <c r="AE23" i="9" s="1"/>
  <c r="Q24" i="9"/>
  <c r="X24" i="9" s="1"/>
  <c r="AE24" i="9" s="1"/>
  <c r="Q25" i="9"/>
  <c r="X25" i="9" s="1"/>
  <c r="AE25" i="9" s="1"/>
  <c r="Q26" i="9"/>
  <c r="X26" i="9" s="1"/>
  <c r="AE26" i="9" s="1"/>
  <c r="Q27" i="9"/>
  <c r="X27" i="9" s="1"/>
  <c r="AE27" i="9" s="1"/>
  <c r="Q28" i="9"/>
  <c r="X28" i="9" s="1"/>
  <c r="AE28" i="9" s="1"/>
  <c r="Q29" i="9"/>
  <c r="X29" i="9" s="1"/>
  <c r="AE29" i="9" s="1"/>
  <c r="Q30" i="9"/>
  <c r="X30" i="9" s="1"/>
  <c r="AE30" i="9" s="1"/>
  <c r="Q31" i="9"/>
  <c r="X31" i="9" s="1"/>
  <c r="AE31" i="9" s="1"/>
  <c r="Q32" i="9"/>
  <c r="X32" i="9" s="1"/>
  <c r="AE32" i="9" s="1"/>
  <c r="Q33" i="9"/>
  <c r="X33" i="9" s="1"/>
  <c r="AE33" i="9" s="1"/>
  <c r="Q34" i="9"/>
  <c r="X34" i="9" s="1"/>
  <c r="AE34" i="9" s="1"/>
  <c r="Q35" i="9"/>
  <c r="X35" i="9" s="1"/>
  <c r="AE35" i="9" s="1"/>
  <c r="Q36" i="9"/>
  <c r="X36" i="9" s="1"/>
  <c r="AE36" i="9" s="1"/>
  <c r="Q37" i="9"/>
  <c r="X37" i="9" s="1"/>
  <c r="AE37" i="9" s="1"/>
  <c r="Q38" i="9"/>
  <c r="X38" i="9" s="1"/>
  <c r="AE38" i="9" s="1"/>
  <c r="Q39" i="9"/>
  <c r="X39" i="9" s="1"/>
  <c r="AE39" i="9" s="1"/>
  <c r="Q40" i="9"/>
  <c r="X40" i="9" s="1"/>
  <c r="AE40" i="9" s="1"/>
  <c r="Q41" i="9"/>
  <c r="X41" i="9" s="1"/>
  <c r="AE41" i="9" s="1"/>
  <c r="Q42" i="9"/>
  <c r="X42" i="9" s="1"/>
  <c r="AE42" i="9" s="1"/>
  <c r="Q43" i="9"/>
  <c r="X43" i="9" s="1"/>
  <c r="AE43" i="9" s="1"/>
  <c r="P4" i="9"/>
  <c r="W4" i="9" s="1"/>
  <c r="AD4" i="9" s="1"/>
  <c r="P5" i="9"/>
  <c r="W5" i="9" s="1"/>
  <c r="AD5" i="9" s="1"/>
  <c r="P6" i="9"/>
  <c r="W6" i="9" s="1"/>
  <c r="AD6" i="9" s="1"/>
  <c r="P7" i="9"/>
  <c r="W7" i="9" s="1"/>
  <c r="AD7" i="9" s="1"/>
  <c r="P8" i="9"/>
  <c r="W8" i="9" s="1"/>
  <c r="AD8" i="9" s="1"/>
  <c r="P9" i="9"/>
  <c r="W9" i="9" s="1"/>
  <c r="AD9" i="9" s="1"/>
  <c r="P10" i="9"/>
  <c r="W10" i="9" s="1"/>
  <c r="AD10" i="9" s="1"/>
  <c r="P11" i="9"/>
  <c r="W11" i="9" s="1"/>
  <c r="AD11" i="9" s="1"/>
  <c r="P12" i="9"/>
  <c r="W12" i="9" s="1"/>
  <c r="AD12" i="9" s="1"/>
  <c r="P13" i="9"/>
  <c r="W13" i="9" s="1"/>
  <c r="AD13" i="9" s="1"/>
  <c r="P14" i="9"/>
  <c r="W14" i="9" s="1"/>
  <c r="AD14" i="9" s="1"/>
  <c r="P15" i="9"/>
  <c r="W15" i="9" s="1"/>
  <c r="AD15" i="9" s="1"/>
  <c r="P16" i="9"/>
  <c r="W16" i="9" s="1"/>
  <c r="AD16" i="9" s="1"/>
  <c r="P17" i="9"/>
  <c r="W17" i="9" s="1"/>
  <c r="AD17" i="9" s="1"/>
  <c r="P18" i="9"/>
  <c r="W18" i="9" s="1"/>
  <c r="AD18" i="9" s="1"/>
  <c r="P19" i="9"/>
  <c r="W19" i="9" s="1"/>
  <c r="AD19" i="9" s="1"/>
  <c r="P20" i="9"/>
  <c r="W20" i="9" s="1"/>
  <c r="AD20" i="9" s="1"/>
  <c r="P21" i="9"/>
  <c r="W21" i="9" s="1"/>
  <c r="AD21" i="9" s="1"/>
  <c r="P22" i="9"/>
  <c r="W22" i="9" s="1"/>
  <c r="AD22" i="9" s="1"/>
  <c r="P23" i="9"/>
  <c r="W23" i="9" s="1"/>
  <c r="AD23" i="9" s="1"/>
  <c r="P24" i="9"/>
  <c r="W24" i="9" s="1"/>
  <c r="AD24" i="9" s="1"/>
  <c r="P25" i="9"/>
  <c r="W25" i="9" s="1"/>
  <c r="AD25" i="9" s="1"/>
  <c r="P26" i="9"/>
  <c r="W26" i="9" s="1"/>
  <c r="AD26" i="9" s="1"/>
  <c r="P27" i="9"/>
  <c r="W27" i="9" s="1"/>
  <c r="AD27" i="9" s="1"/>
  <c r="P28" i="9"/>
  <c r="W28" i="9" s="1"/>
  <c r="AD28" i="9" s="1"/>
  <c r="P29" i="9"/>
  <c r="W29" i="9" s="1"/>
  <c r="AD29" i="9" s="1"/>
  <c r="P30" i="9"/>
  <c r="W30" i="9" s="1"/>
  <c r="AD30" i="9" s="1"/>
  <c r="P31" i="9"/>
  <c r="W31" i="9" s="1"/>
  <c r="AD31" i="9" s="1"/>
  <c r="P32" i="9"/>
  <c r="W32" i="9" s="1"/>
  <c r="AD32" i="9" s="1"/>
  <c r="P33" i="9"/>
  <c r="W33" i="9" s="1"/>
  <c r="AD33" i="9" s="1"/>
  <c r="P34" i="9"/>
  <c r="W34" i="9" s="1"/>
  <c r="AD34" i="9" s="1"/>
  <c r="P35" i="9"/>
  <c r="W35" i="9" s="1"/>
  <c r="AD35" i="9" s="1"/>
  <c r="P36" i="9"/>
  <c r="W36" i="9" s="1"/>
  <c r="AD36" i="9" s="1"/>
  <c r="P37" i="9"/>
  <c r="W37" i="9" s="1"/>
  <c r="AD37" i="9" s="1"/>
  <c r="P38" i="9"/>
  <c r="W38" i="9" s="1"/>
  <c r="AD38" i="9" s="1"/>
  <c r="P39" i="9"/>
  <c r="W39" i="9" s="1"/>
  <c r="AD39" i="9" s="1"/>
  <c r="P40" i="9"/>
  <c r="W40" i="9" s="1"/>
  <c r="AD40" i="9" s="1"/>
  <c r="P41" i="9"/>
  <c r="W41" i="9" s="1"/>
  <c r="AD41" i="9" s="1"/>
  <c r="P42" i="9"/>
  <c r="W42" i="9" s="1"/>
  <c r="AD42" i="9" s="1"/>
  <c r="P43" i="9"/>
  <c r="W43" i="9" s="1"/>
  <c r="AD43" i="9" s="1"/>
  <c r="O4" i="9"/>
  <c r="V4" i="9" s="1"/>
  <c r="AC4" i="9" s="1"/>
  <c r="O5" i="9"/>
  <c r="V5" i="9" s="1"/>
  <c r="AC5" i="9" s="1"/>
  <c r="O6" i="9"/>
  <c r="V6" i="9" s="1"/>
  <c r="AC6" i="9" s="1"/>
  <c r="O7" i="9"/>
  <c r="V7" i="9" s="1"/>
  <c r="AC7" i="9" s="1"/>
  <c r="O8" i="9"/>
  <c r="V8" i="9" s="1"/>
  <c r="AC8" i="9" s="1"/>
  <c r="O9" i="9"/>
  <c r="V9" i="9" s="1"/>
  <c r="AC9" i="9" s="1"/>
  <c r="O10" i="9"/>
  <c r="V10" i="9" s="1"/>
  <c r="AC10" i="9" s="1"/>
  <c r="O11" i="9"/>
  <c r="V11" i="9" s="1"/>
  <c r="AC11" i="9" s="1"/>
  <c r="O12" i="9"/>
  <c r="V12" i="9" s="1"/>
  <c r="AC12" i="9" s="1"/>
  <c r="O13" i="9"/>
  <c r="V13" i="9" s="1"/>
  <c r="AC13" i="9" s="1"/>
  <c r="O14" i="9"/>
  <c r="V14" i="9" s="1"/>
  <c r="AC14" i="9" s="1"/>
  <c r="O15" i="9"/>
  <c r="V15" i="9" s="1"/>
  <c r="AC15" i="9" s="1"/>
  <c r="O16" i="9"/>
  <c r="V16" i="9" s="1"/>
  <c r="AC16" i="9" s="1"/>
  <c r="O17" i="9"/>
  <c r="V17" i="9" s="1"/>
  <c r="AC17" i="9" s="1"/>
  <c r="O18" i="9"/>
  <c r="V18" i="9" s="1"/>
  <c r="AC18" i="9" s="1"/>
  <c r="O19" i="9"/>
  <c r="V19" i="9" s="1"/>
  <c r="AC19" i="9" s="1"/>
  <c r="O20" i="9"/>
  <c r="V20" i="9" s="1"/>
  <c r="AC20" i="9" s="1"/>
  <c r="O21" i="9"/>
  <c r="V21" i="9" s="1"/>
  <c r="AC21" i="9" s="1"/>
  <c r="O22" i="9"/>
  <c r="V22" i="9" s="1"/>
  <c r="AC22" i="9" s="1"/>
  <c r="O23" i="9"/>
  <c r="V23" i="9" s="1"/>
  <c r="AC23" i="9" s="1"/>
  <c r="O24" i="9"/>
  <c r="V24" i="9" s="1"/>
  <c r="AC24" i="9" s="1"/>
  <c r="O25" i="9"/>
  <c r="V25" i="9" s="1"/>
  <c r="AC25" i="9" s="1"/>
  <c r="O26" i="9"/>
  <c r="V26" i="9" s="1"/>
  <c r="AC26" i="9" s="1"/>
  <c r="O27" i="9"/>
  <c r="V27" i="9" s="1"/>
  <c r="AC27" i="9" s="1"/>
  <c r="O28" i="9"/>
  <c r="V28" i="9" s="1"/>
  <c r="AC28" i="9" s="1"/>
  <c r="O29" i="9"/>
  <c r="V29" i="9" s="1"/>
  <c r="AC29" i="9" s="1"/>
  <c r="O30" i="9"/>
  <c r="V30" i="9" s="1"/>
  <c r="AC30" i="9" s="1"/>
  <c r="O31" i="9"/>
  <c r="V31" i="9" s="1"/>
  <c r="AC31" i="9" s="1"/>
  <c r="O32" i="9"/>
  <c r="V32" i="9" s="1"/>
  <c r="AC32" i="9" s="1"/>
  <c r="O33" i="9"/>
  <c r="V33" i="9" s="1"/>
  <c r="AC33" i="9" s="1"/>
  <c r="O34" i="9"/>
  <c r="V34" i="9" s="1"/>
  <c r="AC34" i="9" s="1"/>
  <c r="O35" i="9"/>
  <c r="V35" i="9" s="1"/>
  <c r="AC35" i="9" s="1"/>
  <c r="O36" i="9"/>
  <c r="V36" i="9" s="1"/>
  <c r="AC36" i="9" s="1"/>
  <c r="O37" i="9"/>
  <c r="V37" i="9" s="1"/>
  <c r="AC37" i="9" s="1"/>
  <c r="O38" i="9"/>
  <c r="V38" i="9" s="1"/>
  <c r="AC38" i="9" s="1"/>
  <c r="O39" i="9"/>
  <c r="V39" i="9" s="1"/>
  <c r="AC39" i="9" s="1"/>
  <c r="O40" i="9"/>
  <c r="V40" i="9" s="1"/>
  <c r="AC40" i="9" s="1"/>
  <c r="O41" i="9"/>
  <c r="V41" i="9" s="1"/>
  <c r="AC41" i="9" s="1"/>
  <c r="O42" i="9"/>
  <c r="V42" i="9" s="1"/>
  <c r="AC42" i="9" s="1"/>
  <c r="O43" i="9"/>
  <c r="V43" i="9" s="1"/>
  <c r="AC43" i="9" s="1"/>
  <c r="N4" i="9"/>
  <c r="U4" i="9" s="1"/>
  <c r="AB4" i="9" s="1"/>
  <c r="N5" i="9"/>
  <c r="U5" i="9" s="1"/>
  <c r="AB5" i="9" s="1"/>
  <c r="N6" i="9"/>
  <c r="U6" i="9" s="1"/>
  <c r="AB6" i="9" s="1"/>
  <c r="N7" i="9"/>
  <c r="U7" i="9" s="1"/>
  <c r="AB7" i="9" s="1"/>
  <c r="N8" i="9"/>
  <c r="U8" i="9" s="1"/>
  <c r="AB8" i="9" s="1"/>
  <c r="N9" i="9"/>
  <c r="U9" i="9" s="1"/>
  <c r="AB9" i="9" s="1"/>
  <c r="N10" i="9"/>
  <c r="U10" i="9" s="1"/>
  <c r="AB10" i="9" s="1"/>
  <c r="N11" i="9"/>
  <c r="U11" i="9" s="1"/>
  <c r="AB11" i="9" s="1"/>
  <c r="N12" i="9"/>
  <c r="U12" i="9" s="1"/>
  <c r="AB12" i="9" s="1"/>
  <c r="N13" i="9"/>
  <c r="U13" i="9" s="1"/>
  <c r="AB13" i="9" s="1"/>
  <c r="N14" i="9"/>
  <c r="U14" i="9" s="1"/>
  <c r="AB14" i="9" s="1"/>
  <c r="N15" i="9"/>
  <c r="U15" i="9" s="1"/>
  <c r="AB15" i="9" s="1"/>
  <c r="N16" i="9"/>
  <c r="U16" i="9" s="1"/>
  <c r="AB16" i="9" s="1"/>
  <c r="N17" i="9"/>
  <c r="U17" i="9" s="1"/>
  <c r="AB17" i="9" s="1"/>
  <c r="N18" i="9"/>
  <c r="U18" i="9" s="1"/>
  <c r="AB18" i="9" s="1"/>
  <c r="N19" i="9"/>
  <c r="U19" i="9" s="1"/>
  <c r="AB19" i="9" s="1"/>
  <c r="N20" i="9"/>
  <c r="U20" i="9" s="1"/>
  <c r="AB20" i="9" s="1"/>
  <c r="N21" i="9"/>
  <c r="U21" i="9" s="1"/>
  <c r="AB21" i="9" s="1"/>
  <c r="N22" i="9"/>
  <c r="U22" i="9" s="1"/>
  <c r="AB22" i="9" s="1"/>
  <c r="N23" i="9"/>
  <c r="U23" i="9" s="1"/>
  <c r="AB23" i="9" s="1"/>
  <c r="N24" i="9"/>
  <c r="U24" i="9" s="1"/>
  <c r="AB24" i="9" s="1"/>
  <c r="N25" i="9"/>
  <c r="U25" i="9" s="1"/>
  <c r="AB25" i="9" s="1"/>
  <c r="N26" i="9"/>
  <c r="U26" i="9" s="1"/>
  <c r="AB26" i="9" s="1"/>
  <c r="N27" i="9"/>
  <c r="U27" i="9" s="1"/>
  <c r="AB27" i="9" s="1"/>
  <c r="N28" i="9"/>
  <c r="U28" i="9" s="1"/>
  <c r="AB28" i="9" s="1"/>
  <c r="N29" i="9"/>
  <c r="U29" i="9" s="1"/>
  <c r="AB29" i="9" s="1"/>
  <c r="N30" i="9"/>
  <c r="U30" i="9" s="1"/>
  <c r="AB30" i="9" s="1"/>
  <c r="N31" i="9"/>
  <c r="U31" i="9" s="1"/>
  <c r="AB31" i="9" s="1"/>
  <c r="N32" i="9"/>
  <c r="U32" i="9" s="1"/>
  <c r="AB32" i="9" s="1"/>
  <c r="N33" i="9"/>
  <c r="U33" i="9" s="1"/>
  <c r="AB33" i="9" s="1"/>
  <c r="N34" i="9"/>
  <c r="U34" i="9" s="1"/>
  <c r="AB34" i="9" s="1"/>
  <c r="N35" i="9"/>
  <c r="U35" i="9" s="1"/>
  <c r="AB35" i="9" s="1"/>
  <c r="N36" i="9"/>
  <c r="U36" i="9" s="1"/>
  <c r="AB36" i="9" s="1"/>
  <c r="N37" i="9"/>
  <c r="U37" i="9" s="1"/>
  <c r="AB37" i="9" s="1"/>
  <c r="N38" i="9"/>
  <c r="U38" i="9" s="1"/>
  <c r="AB38" i="9" s="1"/>
  <c r="N39" i="9"/>
  <c r="U39" i="9" s="1"/>
  <c r="AB39" i="9" s="1"/>
  <c r="N40" i="9"/>
  <c r="U40" i="9" s="1"/>
  <c r="AB40" i="9" s="1"/>
  <c r="N41" i="9"/>
  <c r="U41" i="9" s="1"/>
  <c r="AB41" i="9" s="1"/>
  <c r="N42" i="9"/>
  <c r="U42" i="9" s="1"/>
  <c r="AB42" i="9" s="1"/>
  <c r="N43" i="9"/>
  <c r="U43" i="9" s="1"/>
  <c r="AB43" i="9" s="1"/>
  <c r="M4" i="9"/>
  <c r="T4" i="9" s="1"/>
  <c r="AA4" i="9" s="1"/>
  <c r="M5" i="9"/>
  <c r="T5" i="9" s="1"/>
  <c r="AA5" i="9" s="1"/>
  <c r="M6" i="9"/>
  <c r="T6" i="9" s="1"/>
  <c r="AA6" i="9" s="1"/>
  <c r="M7" i="9"/>
  <c r="T7" i="9" s="1"/>
  <c r="AA7" i="9" s="1"/>
  <c r="M8" i="9"/>
  <c r="T8" i="9" s="1"/>
  <c r="AA8" i="9" s="1"/>
  <c r="M9" i="9"/>
  <c r="T9" i="9" s="1"/>
  <c r="AA9" i="9" s="1"/>
  <c r="M10" i="9"/>
  <c r="T10" i="9" s="1"/>
  <c r="AA10" i="9" s="1"/>
  <c r="M11" i="9"/>
  <c r="T11" i="9" s="1"/>
  <c r="AA11" i="9" s="1"/>
  <c r="M12" i="9"/>
  <c r="T12" i="9" s="1"/>
  <c r="AA12" i="9" s="1"/>
  <c r="M13" i="9"/>
  <c r="T13" i="9" s="1"/>
  <c r="AA13" i="9" s="1"/>
  <c r="M14" i="9"/>
  <c r="T14" i="9" s="1"/>
  <c r="AA14" i="9" s="1"/>
  <c r="M15" i="9"/>
  <c r="T15" i="9" s="1"/>
  <c r="AA15" i="9" s="1"/>
  <c r="M16" i="9"/>
  <c r="T16" i="9" s="1"/>
  <c r="AA16" i="9" s="1"/>
  <c r="M17" i="9"/>
  <c r="T17" i="9" s="1"/>
  <c r="AA17" i="9" s="1"/>
  <c r="M18" i="9"/>
  <c r="T18" i="9" s="1"/>
  <c r="AA18" i="9" s="1"/>
  <c r="M19" i="9"/>
  <c r="T19" i="9" s="1"/>
  <c r="AA19" i="9" s="1"/>
  <c r="M20" i="9"/>
  <c r="T20" i="9" s="1"/>
  <c r="AA20" i="9" s="1"/>
  <c r="M21" i="9"/>
  <c r="T21" i="9" s="1"/>
  <c r="AA21" i="9" s="1"/>
  <c r="M22" i="9"/>
  <c r="T22" i="9" s="1"/>
  <c r="AA22" i="9" s="1"/>
  <c r="M23" i="9"/>
  <c r="T23" i="9" s="1"/>
  <c r="AA23" i="9" s="1"/>
  <c r="M24" i="9"/>
  <c r="T24" i="9" s="1"/>
  <c r="AA24" i="9" s="1"/>
  <c r="M25" i="9"/>
  <c r="T25" i="9" s="1"/>
  <c r="AA25" i="9" s="1"/>
  <c r="M26" i="9"/>
  <c r="T26" i="9" s="1"/>
  <c r="AA26" i="9" s="1"/>
  <c r="M27" i="9"/>
  <c r="T27" i="9" s="1"/>
  <c r="AA27" i="9" s="1"/>
  <c r="M28" i="9"/>
  <c r="T28" i="9" s="1"/>
  <c r="AA28" i="9" s="1"/>
  <c r="M29" i="9"/>
  <c r="T29" i="9" s="1"/>
  <c r="AA29" i="9" s="1"/>
  <c r="M30" i="9"/>
  <c r="T30" i="9" s="1"/>
  <c r="AA30" i="9" s="1"/>
  <c r="M31" i="9"/>
  <c r="T31" i="9" s="1"/>
  <c r="AA31" i="9" s="1"/>
  <c r="M32" i="9"/>
  <c r="T32" i="9" s="1"/>
  <c r="AA32" i="9" s="1"/>
  <c r="M33" i="9"/>
  <c r="T33" i="9" s="1"/>
  <c r="AA33" i="9" s="1"/>
  <c r="M34" i="9"/>
  <c r="T34" i="9" s="1"/>
  <c r="AA34" i="9" s="1"/>
  <c r="M35" i="9"/>
  <c r="T35" i="9" s="1"/>
  <c r="AA35" i="9" s="1"/>
  <c r="M36" i="9"/>
  <c r="T36" i="9" s="1"/>
  <c r="AA36" i="9" s="1"/>
  <c r="M37" i="9"/>
  <c r="T37" i="9" s="1"/>
  <c r="AA37" i="9" s="1"/>
  <c r="M38" i="9"/>
  <c r="T38" i="9" s="1"/>
  <c r="AA38" i="9" s="1"/>
  <c r="M39" i="9"/>
  <c r="T39" i="9" s="1"/>
  <c r="AA39" i="9" s="1"/>
  <c r="M40" i="9"/>
  <c r="T40" i="9" s="1"/>
  <c r="AA40" i="9" s="1"/>
  <c r="M41" i="9"/>
  <c r="T41" i="9" s="1"/>
  <c r="AA41" i="9" s="1"/>
  <c r="M42" i="9"/>
  <c r="T42" i="9" s="1"/>
  <c r="AA42" i="9" s="1"/>
  <c r="M43" i="9"/>
  <c r="T43" i="9" s="1"/>
  <c r="AA43" i="9" s="1"/>
  <c r="L4" i="9"/>
  <c r="S4" i="9" s="1"/>
  <c r="Z4" i="9" s="1"/>
  <c r="L5" i="9"/>
  <c r="S5" i="9" s="1"/>
  <c r="Z5" i="9" s="1"/>
  <c r="L6" i="9"/>
  <c r="S6" i="9" s="1"/>
  <c r="Z6" i="9" s="1"/>
  <c r="L7" i="9"/>
  <c r="S7" i="9" s="1"/>
  <c r="Z7" i="9" s="1"/>
  <c r="L8" i="9"/>
  <c r="S8" i="9" s="1"/>
  <c r="Z8" i="9" s="1"/>
  <c r="L9" i="9"/>
  <c r="S9" i="9" s="1"/>
  <c r="Z9" i="9" s="1"/>
  <c r="L10" i="9"/>
  <c r="S10" i="9" s="1"/>
  <c r="Z10" i="9" s="1"/>
  <c r="L11" i="9"/>
  <c r="S11" i="9" s="1"/>
  <c r="Z11" i="9" s="1"/>
  <c r="L12" i="9"/>
  <c r="S12" i="9" s="1"/>
  <c r="Z12" i="9" s="1"/>
  <c r="L13" i="9"/>
  <c r="S13" i="9" s="1"/>
  <c r="Z13" i="9" s="1"/>
  <c r="L14" i="9"/>
  <c r="S14" i="9" s="1"/>
  <c r="Z14" i="9" s="1"/>
  <c r="L15" i="9"/>
  <c r="S15" i="9" s="1"/>
  <c r="Z15" i="9" s="1"/>
  <c r="L16" i="9"/>
  <c r="S16" i="9" s="1"/>
  <c r="Z16" i="9" s="1"/>
  <c r="L17" i="9"/>
  <c r="S17" i="9" s="1"/>
  <c r="Z17" i="9" s="1"/>
  <c r="L18" i="9"/>
  <c r="S18" i="9" s="1"/>
  <c r="Z18" i="9" s="1"/>
  <c r="L19" i="9"/>
  <c r="S19" i="9" s="1"/>
  <c r="Z19" i="9" s="1"/>
  <c r="L20" i="9"/>
  <c r="S20" i="9" s="1"/>
  <c r="Z20" i="9" s="1"/>
  <c r="L21" i="9"/>
  <c r="S21" i="9" s="1"/>
  <c r="Z21" i="9" s="1"/>
  <c r="L22" i="9"/>
  <c r="S22" i="9" s="1"/>
  <c r="Z22" i="9" s="1"/>
  <c r="L23" i="9"/>
  <c r="S23" i="9" s="1"/>
  <c r="Z23" i="9" s="1"/>
  <c r="L24" i="9"/>
  <c r="S24" i="9" s="1"/>
  <c r="Z24" i="9" s="1"/>
  <c r="L25" i="9"/>
  <c r="S25" i="9" s="1"/>
  <c r="Z25" i="9" s="1"/>
  <c r="L26" i="9"/>
  <c r="S26" i="9" s="1"/>
  <c r="Z26" i="9" s="1"/>
  <c r="L27" i="9"/>
  <c r="S27" i="9" s="1"/>
  <c r="Z27" i="9" s="1"/>
  <c r="L28" i="9"/>
  <c r="S28" i="9" s="1"/>
  <c r="Z28" i="9" s="1"/>
  <c r="L29" i="9"/>
  <c r="S29" i="9" s="1"/>
  <c r="Z29" i="9" s="1"/>
  <c r="L30" i="9"/>
  <c r="S30" i="9" s="1"/>
  <c r="Z30" i="9" s="1"/>
  <c r="L31" i="9"/>
  <c r="S31" i="9" s="1"/>
  <c r="Z31" i="9" s="1"/>
  <c r="L32" i="9"/>
  <c r="S32" i="9" s="1"/>
  <c r="Z32" i="9" s="1"/>
  <c r="L33" i="9"/>
  <c r="S33" i="9" s="1"/>
  <c r="Z33" i="9" s="1"/>
  <c r="L34" i="9"/>
  <c r="S34" i="9" s="1"/>
  <c r="Z34" i="9" s="1"/>
  <c r="L35" i="9"/>
  <c r="S35" i="9" s="1"/>
  <c r="Z35" i="9" s="1"/>
  <c r="L36" i="9"/>
  <c r="S36" i="9" s="1"/>
  <c r="Z36" i="9" s="1"/>
  <c r="L37" i="9"/>
  <c r="S37" i="9" s="1"/>
  <c r="Z37" i="9" s="1"/>
  <c r="L38" i="9"/>
  <c r="S38" i="9" s="1"/>
  <c r="Z38" i="9" s="1"/>
  <c r="L39" i="9"/>
  <c r="S39" i="9" s="1"/>
  <c r="Z39" i="9" s="1"/>
  <c r="L40" i="9"/>
  <c r="S40" i="9" s="1"/>
  <c r="Z40" i="9" s="1"/>
  <c r="L41" i="9"/>
  <c r="S41" i="9" s="1"/>
  <c r="Z41" i="9" s="1"/>
  <c r="L42" i="9"/>
  <c r="S42" i="9" s="1"/>
  <c r="Z42" i="9" s="1"/>
  <c r="L43" i="9"/>
  <c r="S43" i="9" s="1"/>
  <c r="Z43" i="9" s="1"/>
  <c r="Y4" i="9" l="1"/>
</calcChain>
</file>

<file path=xl/sharedStrings.xml><?xml version="1.0" encoding="utf-8"?>
<sst xmlns="http://schemas.openxmlformats.org/spreadsheetml/2006/main" count="779" uniqueCount="198">
  <si>
    <t>Wb</t>
  </si>
  <si>
    <t>R</t>
  </si>
  <si>
    <t>tavg</t>
  </si>
  <si>
    <t>f</t>
  </si>
  <si>
    <t>Responden</t>
  </si>
  <si>
    <r>
      <t xml:space="preserve">I      : Asupan / </t>
    </r>
    <r>
      <rPr>
        <i/>
        <sz val="11"/>
        <color theme="1"/>
        <rFont val="Times New Roman"/>
        <family val="1"/>
      </rPr>
      <t xml:space="preserve">Intake </t>
    </r>
    <r>
      <rPr>
        <sz val="11"/>
        <color theme="1"/>
        <rFont val="Times New Roman"/>
        <family val="1"/>
      </rPr>
      <t>(mg/kg/hari)</t>
    </r>
  </si>
  <si>
    <t>1: Tidak aman</t>
  </si>
  <si>
    <t>2: Aman</t>
  </si>
  <si>
    <t xml:space="preserve"> I_Pb_30</t>
  </si>
  <si>
    <t>I_CrVI_30</t>
  </si>
  <si>
    <t>I_Ni_30</t>
  </si>
  <si>
    <t>ECR_Cd</t>
  </si>
  <si>
    <t>ECR_Pb_30</t>
  </si>
  <si>
    <t>ECR_CrVI_30</t>
  </si>
  <si>
    <t>ECR_Ni_30</t>
  </si>
  <si>
    <t>I_ Cd_25</t>
  </si>
  <si>
    <t xml:space="preserve"> I_Pb_25</t>
  </si>
  <si>
    <t>I_CrVI_25</t>
  </si>
  <si>
    <t>I_Ni_25</t>
  </si>
  <si>
    <t>ECR_Pb_25</t>
  </si>
  <si>
    <t>ECR_CrVI_25</t>
  </si>
  <si>
    <t>ECR_Ni_25</t>
  </si>
  <si>
    <t xml:space="preserve"> I_Pb_20</t>
  </si>
  <si>
    <t>I_CrVI_20</t>
  </si>
  <si>
    <t>I_Ni_20</t>
  </si>
  <si>
    <t>ECR_Pb_20</t>
  </si>
  <si>
    <t>ECR_CrVI_20</t>
  </si>
  <si>
    <t>ECR_Ni_20</t>
  </si>
  <si>
    <t>I_ Cd_20</t>
  </si>
  <si>
    <t xml:space="preserve"> I_Pb_15</t>
  </si>
  <si>
    <t>I_CrVI_15</t>
  </si>
  <si>
    <t>I_Ni_15</t>
  </si>
  <si>
    <t>ECR_Pb_15</t>
  </si>
  <si>
    <t>ECR_CrVI_15</t>
  </si>
  <si>
    <t>ECR_Ni_15</t>
  </si>
  <si>
    <t>I_ Cd_15</t>
  </si>
  <si>
    <t>I_ Cd_10</t>
  </si>
  <si>
    <t xml:space="preserve"> I_Pb_10</t>
  </si>
  <si>
    <t>I_CrVI_10</t>
  </si>
  <si>
    <t>I_Ni_10</t>
  </si>
  <si>
    <t>ECR_Pb_10</t>
  </si>
  <si>
    <t>ECR_CrVI_10</t>
  </si>
  <si>
    <t>ECR_Ni_10</t>
  </si>
  <si>
    <t>I_ Cd_5</t>
  </si>
  <si>
    <t xml:space="preserve"> I_Pb_5</t>
  </si>
  <si>
    <t>I_CrVI_5</t>
  </si>
  <si>
    <t>I_Ni_5</t>
  </si>
  <si>
    <t>ECR_Pb_5</t>
  </si>
  <si>
    <t>ECR_CrVI_5</t>
  </si>
  <si>
    <t>ECR_Ni_5</t>
  </si>
  <si>
    <t>I_Cd_30</t>
  </si>
  <si>
    <t>ECR_Cd_15</t>
  </si>
  <si>
    <t>C</t>
  </si>
  <si>
    <t>RfD</t>
  </si>
  <si>
    <t>Interpretasi RQ (30 tahun)</t>
  </si>
  <si>
    <t>RQ  : Risiko Non Karsinogenik</t>
  </si>
  <si>
    <t>Keterangan:</t>
  </si>
  <si>
    <t>Dt   : Durasi Pajanan (tahun)</t>
  </si>
  <si>
    <t>f      : Frekuensi Pajanan (hari/tahun)</t>
  </si>
  <si>
    <t>Intake (Dt=5th)</t>
  </si>
  <si>
    <t>Intake (Dt=10th)</t>
  </si>
  <si>
    <t>Intake (Dt=15th)</t>
  </si>
  <si>
    <t>Intake (Dt=20th)</t>
  </si>
  <si>
    <t>Intake (Dt=25th)</t>
  </si>
  <si>
    <t>Intake (Dt=30th)</t>
  </si>
  <si>
    <t>RQ (Dt=5th)</t>
  </si>
  <si>
    <t>RQ (Dt=10th)</t>
  </si>
  <si>
    <t>RQ (Dt=15th)</t>
  </si>
  <si>
    <t>RQ (Dt=20th)</t>
  </si>
  <si>
    <t>RQ (Dt=25th)</t>
  </si>
  <si>
    <t>RQ (Dt=30th)</t>
  </si>
  <si>
    <t>Interpretasi RQ (10 tahun)</t>
  </si>
  <si>
    <t>Interpretasi RQ (15 tahun)</t>
  </si>
  <si>
    <t>Interpretasi RQ (20 tahun)</t>
  </si>
  <si>
    <t>Interpretasi RQ (25 tahun)</t>
  </si>
  <si>
    <t>Interpretasi RQ (5 tahun)</t>
  </si>
  <si>
    <t>Interpretasi RQ</t>
  </si>
  <si>
    <t>Interpretasi_RQ__5_tahun</t>
  </si>
  <si>
    <t>Intake__Dt_5th</t>
  </si>
  <si>
    <t>Intake__Dt_10th</t>
  </si>
  <si>
    <t>Intake__Dt_15th</t>
  </si>
  <si>
    <t>Intake__Dt_20th</t>
  </si>
  <si>
    <t>Intake__Dt_25th</t>
  </si>
  <si>
    <t>Intake__Dt_30th</t>
  </si>
  <si>
    <t>RQ__Dt_5th</t>
  </si>
  <si>
    <t>RQ__Dt_10th</t>
  </si>
  <si>
    <t>RQ__Dt_15th</t>
  </si>
  <si>
    <t>RQ__Dt_20th</t>
  </si>
  <si>
    <t>RQ__Dt_25th</t>
  </si>
  <si>
    <t>RQ__Dt_30th</t>
  </si>
  <si>
    <t>Interpretasi_RQ__10_tahun</t>
  </si>
  <si>
    <t>Interpretasi_RQ__15_tahun</t>
  </si>
  <si>
    <t>Interpretasi_RQ__20_tahun</t>
  </si>
  <si>
    <t>Interpretasi_RQ__25_tahun</t>
  </si>
  <si>
    <t>Interpretasi_RQ__30_tahun</t>
  </si>
  <si>
    <t>RQ (Dt=realtime)</t>
  </si>
  <si>
    <t>Dt (realtime)</t>
  </si>
  <si>
    <t>Intake (Dt= realtime)</t>
  </si>
  <si>
    <t>Interpretasi RQ (realtime)</t>
  </si>
  <si>
    <t>tavg : Periode Waktu Rata - Rata (30 tahun x 365 hari/tahun)</t>
  </si>
  <si>
    <t>RfD : Dosis Acuan dari EPA-US (mg/L/hari)</t>
  </si>
  <si>
    <t>R     : Laju Asupan (L/hari)</t>
  </si>
  <si>
    <t>Wb  : Berat Badan Responden (kg)</t>
  </si>
  <si>
    <t>C    :   konsentrasi agen kimia pada air  (mg/L)</t>
  </si>
  <si>
    <t>No</t>
  </si>
  <si>
    <t>And</t>
  </si>
  <si>
    <t>Kad</t>
  </si>
  <si>
    <t>Way</t>
  </si>
  <si>
    <t>Igp</t>
  </si>
  <si>
    <t>Umur</t>
  </si>
  <si>
    <t>Nmd</t>
  </si>
  <si>
    <t>Kp</t>
  </si>
  <si>
    <t>Asn</t>
  </si>
  <si>
    <t>End</t>
  </si>
  <si>
    <t>Nfa</t>
  </si>
  <si>
    <t>Ras</t>
  </si>
  <si>
    <t>Nad</t>
  </si>
  <si>
    <t>Bur</t>
  </si>
  <si>
    <t>Sari</t>
  </si>
  <si>
    <t>Mun</t>
  </si>
  <si>
    <t>Dhr</t>
  </si>
  <si>
    <t>Sdw</t>
  </si>
  <si>
    <t>Iyl</t>
  </si>
  <si>
    <t>Rstp</t>
  </si>
  <si>
    <t>Nrt</t>
  </si>
  <si>
    <t>Sln</t>
  </si>
  <si>
    <t>Rubi</t>
  </si>
  <si>
    <t>Iyb</t>
  </si>
  <si>
    <t>Ksu</t>
  </si>
  <si>
    <t>Ksp</t>
  </si>
  <si>
    <t>Ni</t>
  </si>
  <si>
    <t>Tung</t>
  </si>
  <si>
    <t>Pung</t>
  </si>
  <si>
    <t>Hab</t>
  </si>
  <si>
    <t>Fad</t>
  </si>
  <si>
    <t>Mar</t>
  </si>
  <si>
    <t>Fal</t>
  </si>
  <si>
    <t>Gan</t>
  </si>
  <si>
    <t>Ant</t>
  </si>
  <si>
    <t>Kok</t>
  </si>
  <si>
    <t>Stm</t>
  </si>
  <si>
    <t>Ynt</t>
  </si>
  <si>
    <t>Hrt</t>
  </si>
  <si>
    <t>Eni</t>
  </si>
  <si>
    <t>Nir</t>
  </si>
  <si>
    <t>Mat</t>
  </si>
  <si>
    <t>Kadj</t>
  </si>
  <si>
    <t>San</t>
  </si>
  <si>
    <t>Man</t>
  </si>
  <si>
    <t>Din</t>
  </si>
  <si>
    <t>Tih</t>
  </si>
  <si>
    <t>Yin</t>
  </si>
  <si>
    <t>Er</t>
  </si>
  <si>
    <t>Hal</t>
  </si>
  <si>
    <t>Dang</t>
  </si>
  <si>
    <t>Dil</t>
  </si>
  <si>
    <t>Asi</t>
  </si>
  <si>
    <t>Ftr</t>
  </si>
  <si>
    <t>Ksk</t>
  </si>
  <si>
    <t>Rd</t>
  </si>
  <si>
    <t>Idb</t>
  </si>
  <si>
    <t>Mk</t>
  </si>
  <si>
    <t>Ris</t>
  </si>
  <si>
    <t>Sa</t>
  </si>
  <si>
    <t>Nut</t>
  </si>
  <si>
    <t>Wir</t>
  </si>
  <si>
    <t>Nkw</t>
  </si>
  <si>
    <t>Sarl</t>
  </si>
  <si>
    <t>Ksc</t>
  </si>
  <si>
    <t>Srd</t>
  </si>
  <si>
    <t>KHer</t>
  </si>
  <si>
    <t>Pns</t>
  </si>
  <si>
    <t>Skd</t>
  </si>
  <si>
    <t>Nar</t>
  </si>
  <si>
    <t>Sur</t>
  </si>
  <si>
    <t>Yst</t>
  </si>
  <si>
    <t>Ket</t>
  </si>
  <si>
    <t>Rub</t>
  </si>
  <si>
    <t>Rst</t>
  </si>
  <si>
    <t>Laj</t>
  </si>
  <si>
    <t>Rm</t>
  </si>
  <si>
    <t>Ank</t>
  </si>
  <si>
    <t>Arp</t>
  </si>
  <si>
    <t>Rus</t>
  </si>
  <si>
    <t>Yan</t>
  </si>
  <si>
    <t>Dir</t>
  </si>
  <si>
    <t>Slm</t>
  </si>
  <si>
    <t>Hji</t>
  </si>
  <si>
    <t>Ern</t>
  </si>
  <si>
    <t>Bg</t>
  </si>
  <si>
    <t>Bgn</t>
  </si>
  <si>
    <t>Sal</t>
  </si>
  <si>
    <t>Nrf</t>
  </si>
  <si>
    <t>Sis</t>
  </si>
  <si>
    <t>NF</t>
  </si>
  <si>
    <t>Yl</t>
  </si>
  <si>
    <t>Rkd</t>
  </si>
  <si>
    <t>Imd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</si>
</sst>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8"/>
      <name val="Times New Roman"/>
      <family val="1"/>
    </font>
    <font>
      <i/>
      <sz val="11"/>
      <color theme="1"/>
      <name val="Times New Roman"/>
      <family val="1"/>
    </font>
    <font>
      <sz val="8"/>
      <name val="Calibri"/>
      <family val="2"/>
      <scheme val="minor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vertical="center"/>
    </xf>
    <xf numFmtId="164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5" fillId="2" borderId="0" xfId="0" applyFont="1" applyFill="1"/>
    <xf numFmtId="1" fontId="0" fillId="0" borderId="1" xfId="0" applyNumberFormat="1" applyBorder="1" applyAlignment="1">
      <alignment horizontal="center"/>
    </xf>
    <xf numFmtId="0" fontId="5" fillId="0" borderId="0" xfId="0" applyFont="1"/>
    <xf numFmtId="11" fontId="1" fillId="0" borderId="1" xfId="0" applyNumberFormat="1" applyFont="1" applyBorder="1" applyAlignment="1">
      <alignment horizontal="center" vertical="center"/>
    </xf>
    <xf numFmtId="11" fontId="1" fillId="0" borderId="1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6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1" fillId="0" borderId="0" xfId="0" applyFont="1" applyAlignment="1">
      <alignment horizontal="left"/>
    </xf>
    <xf numFmtId="0" fontId="0" fillId="4" borderId="1" xfId="0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left"/>
    </xf>
    <xf numFmtId="1" fontId="0" fillId="4" borderId="1" xfId="0" applyNumberFormat="1" applyFill="1" applyBorder="1" applyAlignment="1">
      <alignment horizontal="center"/>
    </xf>
    <xf numFmtId="11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64" fontId="1" fillId="4" borderId="4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/>
    </xf>
    <xf numFmtId="0" fontId="1" fillId="4" borderId="0" xfId="0" applyFont="1" applyFill="1"/>
    <xf numFmtId="0" fontId="1" fillId="4" borderId="5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 vertical="center"/>
    </xf>
    <xf numFmtId="11" fontId="1" fillId="4" borderId="1" xfId="0" applyNumberFormat="1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AZF107"/>
  <sheetViews>
    <sheetView workbookViewId="0">
      <selection activeCell="B22" sqref="B22"/>
    </sheetView>
  </sheetViews>
  <sheetFormatPr defaultColWidth="9.109375" defaultRowHeight="13.8" x14ac:dyDescent="0.25"/>
  <cols>
    <col min="1" max="1" width="5.33203125" style="3" customWidth="1"/>
    <col min="2" max="2" width="15.6640625" style="3" customWidth="1"/>
    <col min="3" max="4" width="8.33203125" style="3" customWidth="1"/>
    <col min="5" max="5" width="5" style="6" customWidth="1"/>
    <col min="6" max="6" width="10.6640625" style="3" customWidth="1"/>
    <col min="7" max="10" width="9.109375" style="3"/>
    <col min="11" max="11" width="10" style="3" bestFit="1" customWidth="1"/>
    <col min="12" max="25" width="10.88671875" style="3" customWidth="1"/>
    <col min="26" max="26" width="9.5546875" style="3" bestFit="1" customWidth="1"/>
    <col min="27" max="16384" width="9.109375" style="3"/>
  </cols>
  <sheetData>
    <row r="1" spans="1:1358" ht="15" customHeight="1" x14ac:dyDescent="0.25">
      <c r="A1" s="42" t="s">
        <v>104</v>
      </c>
      <c r="B1" s="44" t="s">
        <v>4</v>
      </c>
      <c r="C1" s="45" t="s">
        <v>109</v>
      </c>
      <c r="D1" s="44" t="s">
        <v>0</v>
      </c>
      <c r="E1" s="44" t="s">
        <v>3</v>
      </c>
      <c r="F1" s="41" t="s">
        <v>52</v>
      </c>
      <c r="G1" s="41" t="s">
        <v>1</v>
      </c>
      <c r="H1" s="41" t="s">
        <v>53</v>
      </c>
      <c r="I1" s="44" t="s">
        <v>2</v>
      </c>
      <c r="J1" s="41" t="s">
        <v>96</v>
      </c>
      <c r="K1" s="41" t="s">
        <v>97</v>
      </c>
      <c r="L1" s="41" t="s">
        <v>59</v>
      </c>
      <c r="M1" s="41" t="s">
        <v>60</v>
      </c>
      <c r="N1" s="41" t="s">
        <v>61</v>
      </c>
      <c r="O1" s="41" t="s">
        <v>62</v>
      </c>
      <c r="P1" s="41" t="s">
        <v>63</v>
      </c>
      <c r="Q1" s="41" t="s">
        <v>64</v>
      </c>
      <c r="R1" s="41" t="s">
        <v>95</v>
      </c>
      <c r="S1" s="41" t="s">
        <v>65</v>
      </c>
      <c r="T1" s="41" t="s">
        <v>66</v>
      </c>
      <c r="U1" s="41" t="s">
        <v>67</v>
      </c>
      <c r="V1" s="41" t="s">
        <v>68</v>
      </c>
      <c r="W1" s="41" t="s">
        <v>69</v>
      </c>
      <c r="X1" s="41" t="s">
        <v>70</v>
      </c>
      <c r="Y1" s="41" t="s">
        <v>98</v>
      </c>
      <c r="Z1" s="41" t="s">
        <v>75</v>
      </c>
      <c r="AA1" s="41" t="s">
        <v>71</v>
      </c>
      <c r="AB1" s="41" t="s">
        <v>72</v>
      </c>
      <c r="AC1" s="41" t="s">
        <v>73</v>
      </c>
      <c r="AD1" s="41" t="s">
        <v>74</v>
      </c>
      <c r="AE1" s="41" t="s">
        <v>54</v>
      </c>
    </row>
    <row r="2" spans="1:1358" ht="30.75" customHeight="1" x14ac:dyDescent="0.25">
      <c r="A2" s="43"/>
      <c r="B2" s="44"/>
      <c r="C2" s="46"/>
      <c r="D2" s="44"/>
      <c r="E2" s="44"/>
      <c r="F2" s="41"/>
      <c r="G2" s="41"/>
      <c r="H2" s="41"/>
      <c r="I2" s="44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</row>
    <row r="3" spans="1:1358" s="9" customFormat="1" ht="13.2" x14ac:dyDescent="0.25">
      <c r="A3" s="7">
        <v>1</v>
      </c>
      <c r="B3" s="8">
        <v>2</v>
      </c>
      <c r="C3" s="7">
        <v>3</v>
      </c>
      <c r="D3" s="8">
        <v>4</v>
      </c>
      <c r="E3" s="7">
        <v>5</v>
      </c>
      <c r="F3" s="8">
        <v>6</v>
      </c>
      <c r="G3" s="7">
        <v>7</v>
      </c>
      <c r="H3" s="8">
        <v>8</v>
      </c>
      <c r="I3" s="7">
        <v>9</v>
      </c>
      <c r="J3" s="8">
        <v>10</v>
      </c>
      <c r="K3" s="7">
        <v>11</v>
      </c>
      <c r="L3" s="8">
        <v>12</v>
      </c>
      <c r="M3" s="7">
        <v>13</v>
      </c>
      <c r="N3" s="8">
        <v>14</v>
      </c>
      <c r="O3" s="7">
        <v>15</v>
      </c>
      <c r="P3" s="8">
        <v>16</v>
      </c>
      <c r="Q3" s="7">
        <v>17</v>
      </c>
      <c r="R3" s="8">
        <v>18</v>
      </c>
      <c r="S3" s="7">
        <v>19</v>
      </c>
      <c r="T3" s="8">
        <v>20</v>
      </c>
      <c r="U3" s="7">
        <v>21</v>
      </c>
      <c r="V3" s="8">
        <v>22</v>
      </c>
      <c r="W3" s="7">
        <v>23</v>
      </c>
      <c r="X3" s="8">
        <v>24</v>
      </c>
      <c r="Y3" s="7">
        <v>25</v>
      </c>
      <c r="Z3" s="8">
        <v>26</v>
      </c>
      <c r="AA3" s="7">
        <v>27</v>
      </c>
      <c r="AB3" s="8">
        <v>28</v>
      </c>
      <c r="AC3" s="7">
        <v>29</v>
      </c>
      <c r="AD3" s="8">
        <v>30</v>
      </c>
      <c r="AE3" s="7">
        <v>31</v>
      </c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1"/>
      <c r="ET3" s="11"/>
      <c r="EU3" s="11"/>
      <c r="EV3" s="11"/>
      <c r="EW3" s="11"/>
      <c r="EX3" s="11"/>
      <c r="EY3" s="11"/>
      <c r="EZ3" s="11"/>
      <c r="FA3" s="11"/>
      <c r="FB3" s="11"/>
      <c r="FC3" s="11"/>
      <c r="FD3" s="11"/>
      <c r="FE3" s="11"/>
      <c r="FF3" s="11"/>
      <c r="FG3" s="11"/>
      <c r="FH3" s="11"/>
      <c r="FI3" s="11"/>
      <c r="FJ3" s="11"/>
      <c r="FK3" s="11"/>
      <c r="FL3" s="11"/>
      <c r="FM3" s="11"/>
      <c r="FN3" s="11"/>
      <c r="FO3" s="11"/>
      <c r="FP3" s="11"/>
      <c r="FQ3" s="11"/>
      <c r="FR3" s="11"/>
      <c r="FS3" s="11"/>
      <c r="FT3" s="11"/>
      <c r="FU3" s="11"/>
      <c r="FV3" s="11"/>
      <c r="FW3" s="11"/>
      <c r="FX3" s="11"/>
      <c r="FY3" s="11"/>
      <c r="FZ3" s="11"/>
      <c r="GA3" s="11"/>
      <c r="GB3" s="11"/>
      <c r="GC3" s="11"/>
      <c r="GD3" s="11"/>
      <c r="GE3" s="11"/>
      <c r="GF3" s="11"/>
      <c r="GG3" s="11"/>
      <c r="GH3" s="11"/>
      <c r="GI3" s="11"/>
      <c r="GJ3" s="11"/>
      <c r="GK3" s="11"/>
      <c r="GL3" s="11"/>
      <c r="GM3" s="11"/>
      <c r="GN3" s="11"/>
      <c r="GO3" s="11"/>
      <c r="GP3" s="11"/>
      <c r="GQ3" s="11"/>
      <c r="GR3" s="11"/>
      <c r="GS3" s="11"/>
      <c r="GT3" s="11"/>
      <c r="GU3" s="11"/>
      <c r="GV3" s="11"/>
      <c r="GW3" s="11"/>
      <c r="GX3" s="11"/>
      <c r="GY3" s="11"/>
      <c r="GZ3" s="11"/>
      <c r="HA3" s="11"/>
      <c r="HB3" s="11"/>
      <c r="HC3" s="11"/>
      <c r="HD3" s="11"/>
      <c r="HE3" s="11"/>
      <c r="HF3" s="11"/>
      <c r="HG3" s="11"/>
      <c r="HH3" s="11"/>
      <c r="HI3" s="11"/>
      <c r="HJ3" s="11"/>
      <c r="HK3" s="11"/>
      <c r="HL3" s="11"/>
      <c r="HM3" s="11"/>
      <c r="HN3" s="11"/>
      <c r="HO3" s="11"/>
      <c r="HP3" s="11"/>
      <c r="HQ3" s="11"/>
      <c r="HR3" s="11"/>
      <c r="HS3" s="11"/>
      <c r="HT3" s="11"/>
      <c r="HU3" s="11"/>
      <c r="HV3" s="11"/>
      <c r="HW3" s="11"/>
      <c r="HX3" s="11"/>
      <c r="HY3" s="11"/>
      <c r="HZ3" s="11"/>
      <c r="IA3" s="11"/>
      <c r="IB3" s="11"/>
      <c r="IC3" s="11"/>
      <c r="ID3" s="11"/>
      <c r="IE3" s="11"/>
      <c r="IF3" s="11"/>
      <c r="IG3" s="11"/>
      <c r="IH3" s="11"/>
      <c r="II3" s="11"/>
      <c r="IJ3" s="11"/>
      <c r="IK3" s="11"/>
      <c r="IL3" s="11"/>
      <c r="IM3" s="11"/>
      <c r="IN3" s="11"/>
      <c r="IO3" s="11"/>
      <c r="IP3" s="11"/>
      <c r="IQ3" s="11"/>
      <c r="IR3" s="11"/>
      <c r="IS3" s="11"/>
      <c r="IT3" s="11"/>
      <c r="IU3" s="11"/>
      <c r="IV3" s="11"/>
      <c r="IW3" s="11"/>
      <c r="IX3" s="11"/>
      <c r="IY3" s="11"/>
      <c r="IZ3" s="11"/>
      <c r="JA3" s="11"/>
      <c r="JB3" s="11"/>
      <c r="JC3" s="11"/>
      <c r="JD3" s="11"/>
      <c r="JE3" s="11"/>
      <c r="JF3" s="11"/>
      <c r="JG3" s="11"/>
      <c r="JH3" s="11"/>
      <c r="JI3" s="11"/>
      <c r="JJ3" s="11"/>
      <c r="JK3" s="11"/>
      <c r="JL3" s="11"/>
      <c r="JM3" s="11"/>
      <c r="JN3" s="11"/>
      <c r="JO3" s="11"/>
      <c r="JP3" s="11"/>
      <c r="JQ3" s="11"/>
      <c r="JR3" s="11"/>
      <c r="JS3" s="11"/>
      <c r="JT3" s="11"/>
      <c r="JU3" s="11"/>
      <c r="JV3" s="11"/>
      <c r="JW3" s="11"/>
      <c r="JX3" s="11"/>
      <c r="JY3" s="11"/>
      <c r="JZ3" s="11"/>
      <c r="KA3" s="11"/>
      <c r="KB3" s="11"/>
      <c r="KC3" s="11"/>
      <c r="KD3" s="11"/>
      <c r="KE3" s="11"/>
      <c r="KF3" s="11"/>
      <c r="KG3" s="11"/>
      <c r="KH3" s="11"/>
      <c r="KI3" s="11"/>
      <c r="KJ3" s="11"/>
      <c r="KK3" s="11"/>
      <c r="KL3" s="11"/>
      <c r="KM3" s="11"/>
      <c r="KN3" s="11"/>
      <c r="KO3" s="11"/>
      <c r="KP3" s="11"/>
      <c r="KQ3" s="11"/>
      <c r="KR3" s="11"/>
      <c r="KS3" s="11"/>
      <c r="KT3" s="11"/>
      <c r="KU3" s="11"/>
      <c r="KV3" s="11"/>
      <c r="KW3" s="11"/>
      <c r="KX3" s="11"/>
      <c r="KY3" s="11"/>
      <c r="KZ3" s="11"/>
      <c r="LA3" s="11"/>
      <c r="LB3" s="11"/>
      <c r="LC3" s="11"/>
      <c r="LD3" s="11"/>
      <c r="LE3" s="11"/>
      <c r="LF3" s="11"/>
      <c r="LG3" s="11"/>
      <c r="LH3" s="11"/>
      <c r="LI3" s="11"/>
      <c r="LJ3" s="11"/>
      <c r="LK3" s="11"/>
      <c r="LL3" s="11"/>
      <c r="LM3" s="11"/>
      <c r="LN3" s="11"/>
      <c r="LO3" s="11"/>
      <c r="LP3" s="11"/>
      <c r="LQ3" s="11"/>
      <c r="LR3" s="11"/>
      <c r="LS3" s="11"/>
      <c r="LT3" s="11"/>
      <c r="LU3" s="11"/>
      <c r="LV3" s="11"/>
      <c r="LW3" s="11"/>
      <c r="LX3" s="11"/>
      <c r="LY3" s="11"/>
      <c r="LZ3" s="11"/>
      <c r="MA3" s="11"/>
      <c r="MB3" s="11"/>
      <c r="MC3" s="11"/>
      <c r="MD3" s="11"/>
      <c r="ME3" s="11"/>
      <c r="MF3" s="11"/>
      <c r="MG3" s="11"/>
      <c r="MH3" s="11"/>
      <c r="MI3" s="11"/>
      <c r="MJ3" s="11"/>
      <c r="MK3" s="11"/>
      <c r="ML3" s="11"/>
      <c r="MM3" s="11"/>
      <c r="MN3" s="11"/>
      <c r="MO3" s="11"/>
      <c r="MP3" s="11"/>
      <c r="MQ3" s="11"/>
      <c r="MR3" s="11"/>
      <c r="MS3" s="11"/>
      <c r="MT3" s="11"/>
      <c r="MU3" s="11"/>
      <c r="MV3" s="11"/>
      <c r="MW3" s="11"/>
      <c r="MX3" s="11"/>
      <c r="MY3" s="11"/>
      <c r="MZ3" s="11"/>
      <c r="NA3" s="11"/>
      <c r="NB3" s="11"/>
      <c r="NC3" s="11"/>
      <c r="ND3" s="11"/>
      <c r="NE3" s="11"/>
      <c r="NF3" s="11"/>
      <c r="NG3" s="11"/>
      <c r="NH3" s="11"/>
      <c r="NI3" s="11"/>
      <c r="NJ3" s="11"/>
      <c r="NK3" s="11"/>
      <c r="NL3" s="11"/>
      <c r="NM3" s="11"/>
      <c r="NN3" s="11"/>
      <c r="NO3" s="11"/>
      <c r="NP3" s="11"/>
      <c r="NQ3" s="11"/>
      <c r="NR3" s="11"/>
      <c r="NS3" s="11"/>
      <c r="NT3" s="11"/>
      <c r="NU3" s="11"/>
      <c r="NV3" s="11"/>
      <c r="NW3" s="11"/>
      <c r="NX3" s="11"/>
      <c r="NY3" s="11"/>
      <c r="NZ3" s="11"/>
      <c r="OA3" s="11"/>
      <c r="OB3" s="11"/>
      <c r="OC3" s="11"/>
      <c r="OD3" s="11"/>
      <c r="OE3" s="11"/>
      <c r="OF3" s="11"/>
      <c r="OG3" s="11"/>
      <c r="OH3" s="11"/>
      <c r="OI3" s="11"/>
      <c r="OJ3" s="11"/>
      <c r="OK3" s="11"/>
      <c r="OL3" s="11"/>
      <c r="OM3" s="11"/>
      <c r="ON3" s="11"/>
      <c r="OO3" s="11"/>
      <c r="OP3" s="11"/>
      <c r="OQ3" s="11"/>
      <c r="OR3" s="11"/>
      <c r="OS3" s="11"/>
      <c r="OT3" s="11"/>
      <c r="OU3" s="11"/>
      <c r="OV3" s="11"/>
      <c r="OW3" s="11"/>
      <c r="OX3" s="11"/>
      <c r="OY3" s="11"/>
      <c r="OZ3" s="11"/>
      <c r="PA3" s="11"/>
      <c r="PB3" s="11"/>
      <c r="PC3" s="11"/>
      <c r="PD3" s="11"/>
      <c r="PE3" s="11"/>
      <c r="PF3" s="11"/>
      <c r="PG3" s="11"/>
      <c r="PH3" s="11"/>
      <c r="PI3" s="11"/>
      <c r="PJ3" s="11"/>
      <c r="PK3" s="11"/>
      <c r="PL3" s="11"/>
      <c r="PM3" s="11"/>
      <c r="PN3" s="11"/>
      <c r="PO3" s="11"/>
      <c r="PP3" s="11"/>
      <c r="PQ3" s="11"/>
      <c r="PR3" s="11"/>
      <c r="PS3" s="11"/>
      <c r="PT3" s="11"/>
      <c r="PU3" s="11"/>
      <c r="PV3" s="11"/>
      <c r="PW3" s="11"/>
      <c r="PX3" s="11"/>
      <c r="PY3" s="11"/>
      <c r="PZ3" s="11"/>
      <c r="QA3" s="11"/>
      <c r="QB3" s="11"/>
      <c r="QC3" s="11"/>
      <c r="QD3" s="11"/>
      <c r="QE3" s="11"/>
      <c r="QF3" s="11"/>
      <c r="QG3" s="11"/>
      <c r="QH3" s="11"/>
      <c r="QI3" s="11"/>
      <c r="QJ3" s="11"/>
      <c r="QK3" s="11"/>
      <c r="QL3" s="11"/>
      <c r="QM3" s="11"/>
      <c r="QN3" s="11"/>
      <c r="QO3" s="11"/>
      <c r="QP3" s="11"/>
      <c r="QQ3" s="11"/>
      <c r="QR3" s="11"/>
      <c r="QS3" s="11"/>
      <c r="QT3" s="11"/>
      <c r="QU3" s="11"/>
      <c r="QV3" s="11"/>
      <c r="QW3" s="11"/>
      <c r="QX3" s="11"/>
      <c r="QY3" s="11"/>
      <c r="QZ3" s="11"/>
      <c r="RA3" s="11"/>
      <c r="RB3" s="11"/>
      <c r="RC3" s="11"/>
      <c r="RD3" s="11"/>
      <c r="RE3" s="11"/>
      <c r="RF3" s="11"/>
      <c r="RG3" s="11"/>
      <c r="RH3" s="11"/>
      <c r="RI3" s="11"/>
      <c r="RJ3" s="11"/>
      <c r="RK3" s="11"/>
      <c r="RL3" s="11"/>
      <c r="RM3" s="11"/>
      <c r="RN3" s="11"/>
      <c r="RO3" s="11"/>
      <c r="RP3" s="11"/>
      <c r="RQ3" s="11"/>
      <c r="RR3" s="11"/>
      <c r="RS3" s="11"/>
      <c r="RT3" s="11"/>
      <c r="RU3" s="11"/>
      <c r="RV3" s="11"/>
      <c r="RW3" s="11"/>
      <c r="RX3" s="11"/>
      <c r="RY3" s="11"/>
      <c r="RZ3" s="11"/>
      <c r="SA3" s="11"/>
      <c r="SB3" s="11"/>
      <c r="SC3" s="11"/>
      <c r="SD3" s="11"/>
      <c r="SE3" s="11"/>
      <c r="SF3" s="11"/>
      <c r="SG3" s="11"/>
      <c r="SH3" s="11"/>
      <c r="SI3" s="11"/>
      <c r="SJ3" s="11"/>
      <c r="SK3" s="11"/>
      <c r="SL3" s="11"/>
      <c r="SM3" s="11"/>
      <c r="SN3" s="11"/>
      <c r="SO3" s="11"/>
      <c r="SP3" s="11"/>
      <c r="SQ3" s="11"/>
      <c r="SR3" s="11"/>
      <c r="SS3" s="11"/>
      <c r="ST3" s="11"/>
      <c r="SU3" s="11"/>
      <c r="SV3" s="11"/>
      <c r="SW3" s="11"/>
      <c r="SX3" s="11"/>
      <c r="SY3" s="11"/>
      <c r="SZ3" s="11"/>
      <c r="TA3" s="11"/>
      <c r="TB3" s="11"/>
      <c r="TC3" s="11"/>
      <c r="TD3" s="11"/>
      <c r="TE3" s="11"/>
      <c r="TF3" s="11"/>
      <c r="TG3" s="11"/>
      <c r="TH3" s="11"/>
      <c r="TI3" s="11"/>
      <c r="TJ3" s="11"/>
      <c r="TK3" s="11"/>
      <c r="TL3" s="11"/>
      <c r="TM3" s="11"/>
      <c r="TN3" s="11"/>
      <c r="TO3" s="11"/>
      <c r="TP3" s="11"/>
      <c r="TQ3" s="11"/>
      <c r="TR3" s="11"/>
      <c r="TS3" s="11"/>
      <c r="TT3" s="11"/>
      <c r="TU3" s="11"/>
      <c r="TV3" s="11"/>
      <c r="TW3" s="11"/>
      <c r="TX3" s="11"/>
      <c r="TY3" s="11"/>
      <c r="TZ3" s="11"/>
      <c r="UA3" s="11"/>
      <c r="UB3" s="11"/>
      <c r="UC3" s="11"/>
      <c r="UD3" s="11"/>
      <c r="UE3" s="11"/>
      <c r="UF3" s="11"/>
      <c r="UG3" s="11"/>
      <c r="UH3" s="11"/>
      <c r="UI3" s="11"/>
      <c r="UJ3" s="11"/>
      <c r="UK3" s="11"/>
      <c r="UL3" s="11"/>
      <c r="UM3" s="11"/>
      <c r="UN3" s="11"/>
      <c r="UO3" s="11"/>
      <c r="UP3" s="11"/>
      <c r="UQ3" s="11"/>
      <c r="UR3" s="11"/>
      <c r="US3" s="11"/>
      <c r="UT3" s="11"/>
      <c r="UU3" s="11"/>
      <c r="UV3" s="11"/>
      <c r="UW3" s="11"/>
      <c r="UX3" s="11"/>
      <c r="UY3" s="11"/>
      <c r="UZ3" s="11"/>
      <c r="VA3" s="11"/>
      <c r="VB3" s="11"/>
      <c r="VC3" s="11"/>
      <c r="VD3" s="11"/>
      <c r="VE3" s="11"/>
      <c r="VF3" s="11"/>
      <c r="VG3" s="11"/>
      <c r="VH3" s="11"/>
      <c r="VI3" s="11"/>
      <c r="VJ3" s="11"/>
      <c r="VK3" s="11"/>
      <c r="VL3" s="11"/>
      <c r="VM3" s="11"/>
      <c r="VN3" s="11"/>
      <c r="VO3" s="11"/>
      <c r="VP3" s="11"/>
      <c r="VQ3" s="11"/>
      <c r="VR3" s="11"/>
      <c r="VS3" s="11"/>
      <c r="VT3" s="11"/>
      <c r="VU3" s="11"/>
      <c r="VV3" s="11"/>
      <c r="VW3" s="11"/>
      <c r="VX3" s="11"/>
      <c r="VY3" s="11"/>
      <c r="VZ3" s="11"/>
      <c r="WA3" s="11"/>
      <c r="WB3" s="11"/>
      <c r="WC3" s="11"/>
      <c r="WD3" s="11"/>
      <c r="WE3" s="11"/>
      <c r="WF3" s="11"/>
      <c r="WG3" s="11"/>
      <c r="WH3" s="11"/>
      <c r="WI3" s="11"/>
      <c r="WJ3" s="11"/>
      <c r="WK3" s="11"/>
      <c r="WL3" s="11"/>
      <c r="WM3" s="11"/>
      <c r="WN3" s="11"/>
      <c r="WO3" s="11"/>
      <c r="WP3" s="11"/>
      <c r="WQ3" s="11"/>
      <c r="WR3" s="11"/>
      <c r="WS3" s="11"/>
      <c r="WT3" s="11"/>
      <c r="WU3" s="11"/>
      <c r="WV3" s="11"/>
      <c r="WW3" s="11"/>
      <c r="WX3" s="11"/>
      <c r="WY3" s="11"/>
      <c r="WZ3" s="11"/>
      <c r="XA3" s="11"/>
      <c r="XB3" s="11"/>
      <c r="XC3" s="11"/>
      <c r="XD3" s="11"/>
      <c r="XE3" s="11"/>
      <c r="XF3" s="11"/>
      <c r="XG3" s="11"/>
      <c r="XH3" s="11"/>
      <c r="XI3" s="11"/>
      <c r="XJ3" s="11"/>
      <c r="XK3" s="11"/>
      <c r="XL3" s="11"/>
      <c r="XM3" s="11"/>
      <c r="XN3" s="11"/>
      <c r="XO3" s="11"/>
      <c r="XP3" s="11"/>
      <c r="XQ3" s="11"/>
      <c r="XR3" s="11"/>
      <c r="XS3" s="11"/>
      <c r="XT3" s="11"/>
      <c r="XU3" s="11"/>
      <c r="XV3" s="11"/>
      <c r="XW3" s="11"/>
      <c r="XX3" s="11"/>
      <c r="XY3" s="11"/>
      <c r="XZ3" s="11"/>
      <c r="YA3" s="11"/>
      <c r="YB3" s="11"/>
      <c r="YC3" s="11"/>
      <c r="YD3" s="11"/>
      <c r="YE3" s="11"/>
      <c r="YF3" s="11"/>
      <c r="YG3" s="11"/>
      <c r="YH3" s="11"/>
      <c r="YI3" s="11"/>
      <c r="YJ3" s="11"/>
      <c r="YK3" s="11"/>
      <c r="YL3" s="11"/>
      <c r="YM3" s="11"/>
      <c r="YN3" s="11"/>
      <c r="YO3" s="11"/>
      <c r="YP3" s="11"/>
      <c r="YQ3" s="11"/>
      <c r="YR3" s="11"/>
      <c r="YS3" s="11"/>
      <c r="YT3" s="11"/>
      <c r="YU3" s="11"/>
      <c r="YV3" s="11"/>
      <c r="YW3" s="11"/>
      <c r="YX3" s="11"/>
      <c r="YY3" s="11"/>
      <c r="YZ3" s="11"/>
      <c r="ZA3" s="11"/>
      <c r="ZB3" s="11"/>
      <c r="ZC3" s="11"/>
      <c r="ZD3" s="11"/>
      <c r="ZE3" s="11"/>
      <c r="ZF3" s="11"/>
      <c r="ZG3" s="11"/>
      <c r="ZH3" s="11"/>
      <c r="ZI3" s="11"/>
      <c r="ZJ3" s="11"/>
      <c r="ZK3" s="11"/>
      <c r="ZL3" s="11"/>
      <c r="ZM3" s="11"/>
      <c r="ZN3" s="11"/>
      <c r="ZO3" s="11"/>
      <c r="ZP3" s="11"/>
      <c r="ZQ3" s="11"/>
      <c r="ZR3" s="11"/>
      <c r="ZS3" s="11"/>
      <c r="ZT3" s="11"/>
      <c r="ZU3" s="11"/>
      <c r="ZV3" s="11"/>
      <c r="ZW3" s="11"/>
      <c r="ZX3" s="11"/>
      <c r="ZY3" s="11"/>
      <c r="ZZ3" s="11"/>
      <c r="AAA3" s="11"/>
      <c r="AAB3" s="11"/>
      <c r="AAC3" s="11"/>
      <c r="AAD3" s="11"/>
      <c r="AAE3" s="11"/>
      <c r="AAF3" s="11"/>
      <c r="AAG3" s="11"/>
      <c r="AAH3" s="11"/>
      <c r="AAI3" s="11"/>
      <c r="AAJ3" s="11"/>
      <c r="AAK3" s="11"/>
      <c r="AAL3" s="11"/>
      <c r="AAM3" s="11"/>
      <c r="AAN3" s="11"/>
      <c r="AAO3" s="11"/>
      <c r="AAP3" s="11"/>
      <c r="AAQ3" s="11"/>
      <c r="AAR3" s="11"/>
      <c r="AAS3" s="11"/>
      <c r="AAT3" s="11"/>
      <c r="AAU3" s="11"/>
      <c r="AAV3" s="11"/>
      <c r="AAW3" s="11"/>
      <c r="AAX3" s="11"/>
      <c r="AAY3" s="11"/>
      <c r="AAZ3" s="11"/>
      <c r="ABA3" s="11"/>
      <c r="ABB3" s="11"/>
      <c r="ABC3" s="11"/>
      <c r="ABD3" s="11"/>
      <c r="ABE3" s="11"/>
      <c r="ABF3" s="11"/>
      <c r="ABG3" s="11"/>
      <c r="ABH3" s="11"/>
      <c r="ABI3" s="11"/>
      <c r="ABJ3" s="11"/>
      <c r="ABK3" s="11"/>
      <c r="ABL3" s="11"/>
      <c r="ABM3" s="11"/>
      <c r="ABN3" s="11"/>
      <c r="ABO3" s="11"/>
      <c r="ABP3" s="11"/>
      <c r="ABQ3" s="11"/>
      <c r="ABR3" s="11"/>
      <c r="ABS3" s="11"/>
      <c r="ABT3" s="11"/>
      <c r="ABU3" s="11"/>
      <c r="ABV3" s="11"/>
      <c r="ABW3" s="11"/>
      <c r="ABX3" s="11"/>
      <c r="ABY3" s="11"/>
      <c r="ABZ3" s="11"/>
      <c r="ACA3" s="11"/>
      <c r="ACB3" s="11"/>
      <c r="ACC3" s="11"/>
      <c r="ACD3" s="11"/>
      <c r="ACE3" s="11"/>
      <c r="ACF3" s="11"/>
      <c r="ACG3" s="11"/>
      <c r="ACH3" s="11"/>
      <c r="ACI3" s="11"/>
      <c r="ACJ3" s="11"/>
      <c r="ACK3" s="11"/>
      <c r="ACL3" s="11"/>
      <c r="ACM3" s="11"/>
      <c r="ACN3" s="11"/>
      <c r="ACO3" s="11"/>
      <c r="ACP3" s="11"/>
      <c r="ACQ3" s="11"/>
      <c r="ACR3" s="11"/>
      <c r="ACS3" s="11"/>
      <c r="ACT3" s="11"/>
      <c r="ACU3" s="11"/>
      <c r="ACV3" s="11"/>
      <c r="ACW3" s="11"/>
      <c r="ACX3" s="11"/>
      <c r="ACY3" s="11"/>
      <c r="ACZ3" s="11"/>
      <c r="ADA3" s="11"/>
      <c r="ADB3" s="11"/>
      <c r="ADC3" s="11"/>
      <c r="ADD3" s="11"/>
      <c r="ADE3" s="11"/>
      <c r="ADF3" s="11"/>
      <c r="ADG3" s="11"/>
      <c r="ADH3" s="11"/>
      <c r="ADI3" s="11"/>
      <c r="ADJ3" s="11"/>
      <c r="ADK3" s="11"/>
      <c r="ADL3" s="11"/>
      <c r="ADM3" s="11"/>
      <c r="ADN3" s="11"/>
      <c r="ADO3" s="11"/>
      <c r="ADP3" s="11"/>
      <c r="ADQ3" s="11"/>
      <c r="ADR3" s="11"/>
      <c r="ADS3" s="11"/>
      <c r="ADT3" s="11"/>
      <c r="ADU3" s="11"/>
      <c r="ADV3" s="11"/>
      <c r="ADW3" s="11"/>
      <c r="ADX3" s="11"/>
      <c r="ADY3" s="11"/>
      <c r="ADZ3" s="11"/>
      <c r="AEA3" s="11"/>
      <c r="AEB3" s="11"/>
      <c r="AEC3" s="11"/>
      <c r="AED3" s="11"/>
      <c r="AEE3" s="11"/>
      <c r="AEF3" s="11"/>
      <c r="AEG3" s="11"/>
      <c r="AEH3" s="11"/>
      <c r="AEI3" s="11"/>
      <c r="AEJ3" s="11"/>
      <c r="AEK3" s="11"/>
      <c r="AEL3" s="11"/>
      <c r="AEM3" s="11"/>
      <c r="AEN3" s="11"/>
      <c r="AEO3" s="11"/>
      <c r="AEP3" s="11"/>
      <c r="AEQ3" s="11"/>
      <c r="AER3" s="11"/>
      <c r="AES3" s="11"/>
      <c r="AET3" s="11"/>
      <c r="AEU3" s="11"/>
      <c r="AEV3" s="11"/>
      <c r="AEW3" s="11"/>
      <c r="AEX3" s="11"/>
      <c r="AEY3" s="11"/>
      <c r="AEZ3" s="11"/>
      <c r="AFA3" s="11"/>
      <c r="AFB3" s="11"/>
      <c r="AFC3" s="11"/>
      <c r="AFD3" s="11"/>
      <c r="AFE3" s="11"/>
      <c r="AFF3" s="11"/>
      <c r="AFG3" s="11"/>
      <c r="AFH3" s="11"/>
      <c r="AFI3" s="11"/>
      <c r="AFJ3" s="11"/>
      <c r="AFK3" s="11"/>
      <c r="AFL3" s="11"/>
      <c r="AFM3" s="11"/>
      <c r="AFN3" s="11"/>
      <c r="AFO3" s="11"/>
      <c r="AFP3" s="11"/>
      <c r="AFQ3" s="11"/>
      <c r="AFR3" s="11"/>
      <c r="AFS3" s="11"/>
      <c r="AFT3" s="11"/>
      <c r="AFU3" s="11"/>
      <c r="AFV3" s="11"/>
      <c r="AFW3" s="11"/>
      <c r="AFX3" s="11"/>
      <c r="AFY3" s="11"/>
      <c r="AFZ3" s="11"/>
      <c r="AGA3" s="11"/>
      <c r="AGB3" s="11"/>
      <c r="AGC3" s="11"/>
      <c r="AGD3" s="11"/>
      <c r="AGE3" s="11"/>
      <c r="AGF3" s="11"/>
      <c r="AGG3" s="11"/>
      <c r="AGH3" s="11"/>
      <c r="AGI3" s="11"/>
      <c r="AGJ3" s="11"/>
      <c r="AGK3" s="11"/>
      <c r="AGL3" s="11"/>
      <c r="AGM3" s="11"/>
      <c r="AGN3" s="11"/>
      <c r="AGO3" s="11"/>
      <c r="AGP3" s="11"/>
      <c r="AGQ3" s="11"/>
      <c r="AGR3" s="11"/>
      <c r="AGS3" s="11"/>
      <c r="AGT3" s="11"/>
      <c r="AGU3" s="11"/>
      <c r="AGV3" s="11"/>
      <c r="AGW3" s="11"/>
      <c r="AGX3" s="11"/>
      <c r="AGY3" s="11"/>
      <c r="AGZ3" s="11"/>
      <c r="AHA3" s="11"/>
      <c r="AHB3" s="11"/>
      <c r="AHC3" s="11"/>
      <c r="AHD3" s="11"/>
      <c r="AHE3" s="11"/>
      <c r="AHF3" s="11"/>
      <c r="AHG3" s="11"/>
      <c r="AHH3" s="11"/>
      <c r="AHI3" s="11"/>
      <c r="AHJ3" s="11"/>
      <c r="AHK3" s="11"/>
      <c r="AHL3" s="11"/>
      <c r="AHM3" s="11"/>
      <c r="AHN3" s="11"/>
      <c r="AHO3" s="11"/>
      <c r="AHP3" s="11"/>
      <c r="AHQ3" s="11"/>
      <c r="AHR3" s="11"/>
      <c r="AHS3" s="11"/>
      <c r="AHT3" s="11"/>
      <c r="AHU3" s="11"/>
      <c r="AHV3" s="11"/>
      <c r="AHW3" s="11"/>
      <c r="AHX3" s="11"/>
      <c r="AHY3" s="11"/>
      <c r="AHZ3" s="11"/>
      <c r="AIA3" s="11"/>
      <c r="AIB3" s="11"/>
      <c r="AIC3" s="11"/>
      <c r="AID3" s="11"/>
      <c r="AIE3" s="11"/>
      <c r="AIF3" s="11"/>
      <c r="AIG3" s="11"/>
      <c r="AIH3" s="11"/>
      <c r="AII3" s="11"/>
      <c r="AIJ3" s="11"/>
      <c r="AIK3" s="11"/>
      <c r="AIL3" s="11"/>
      <c r="AIM3" s="11"/>
      <c r="AIN3" s="11"/>
      <c r="AIO3" s="11"/>
      <c r="AIP3" s="11"/>
      <c r="AIQ3" s="11"/>
      <c r="AIR3" s="11"/>
      <c r="AIS3" s="11"/>
      <c r="AIT3" s="11"/>
      <c r="AIU3" s="11"/>
      <c r="AIV3" s="11"/>
      <c r="AIW3" s="11"/>
      <c r="AIX3" s="11"/>
      <c r="AIY3" s="11"/>
      <c r="AIZ3" s="11"/>
      <c r="AJA3" s="11"/>
      <c r="AJB3" s="11"/>
      <c r="AJC3" s="11"/>
      <c r="AJD3" s="11"/>
      <c r="AJE3" s="11"/>
      <c r="AJF3" s="11"/>
      <c r="AJG3" s="11"/>
      <c r="AJH3" s="11"/>
      <c r="AJI3" s="11"/>
      <c r="AJJ3" s="11"/>
      <c r="AJK3" s="11"/>
      <c r="AJL3" s="11"/>
      <c r="AJM3" s="11"/>
      <c r="AJN3" s="11"/>
      <c r="AJO3" s="11"/>
      <c r="AJP3" s="11"/>
      <c r="AJQ3" s="11"/>
      <c r="AJR3" s="11"/>
      <c r="AJS3" s="11"/>
      <c r="AJT3" s="11"/>
      <c r="AJU3" s="11"/>
      <c r="AJV3" s="11"/>
      <c r="AJW3" s="11"/>
      <c r="AJX3" s="11"/>
      <c r="AJY3" s="11"/>
      <c r="AJZ3" s="11"/>
      <c r="AKA3" s="11"/>
      <c r="AKB3" s="11"/>
      <c r="AKC3" s="11"/>
      <c r="AKD3" s="11"/>
      <c r="AKE3" s="11"/>
      <c r="AKF3" s="11"/>
      <c r="AKG3" s="11"/>
      <c r="AKH3" s="11"/>
      <c r="AKI3" s="11"/>
      <c r="AKJ3" s="11"/>
      <c r="AKK3" s="11"/>
      <c r="AKL3" s="11"/>
      <c r="AKM3" s="11"/>
      <c r="AKN3" s="11"/>
      <c r="AKO3" s="11"/>
      <c r="AKP3" s="11"/>
      <c r="AKQ3" s="11"/>
      <c r="AKR3" s="11"/>
      <c r="AKS3" s="11"/>
      <c r="AKT3" s="11"/>
      <c r="AKU3" s="11"/>
      <c r="AKV3" s="11"/>
      <c r="AKW3" s="11"/>
      <c r="AKX3" s="11"/>
      <c r="AKY3" s="11"/>
      <c r="AKZ3" s="11"/>
      <c r="ALA3" s="11"/>
      <c r="ALB3" s="11"/>
      <c r="ALC3" s="11"/>
      <c r="ALD3" s="11"/>
      <c r="ALE3" s="11"/>
      <c r="ALF3" s="11"/>
      <c r="ALG3" s="11"/>
      <c r="ALH3" s="11"/>
      <c r="ALI3" s="11"/>
      <c r="ALJ3" s="11"/>
      <c r="ALK3" s="11"/>
      <c r="ALL3" s="11"/>
      <c r="ALM3" s="11"/>
      <c r="ALN3" s="11"/>
      <c r="ALO3" s="11"/>
      <c r="ALP3" s="11"/>
      <c r="ALQ3" s="11"/>
      <c r="ALR3" s="11"/>
      <c r="ALS3" s="11"/>
      <c r="ALT3" s="11"/>
      <c r="ALU3" s="11"/>
      <c r="ALV3" s="11"/>
      <c r="ALW3" s="11"/>
      <c r="ALX3" s="11"/>
      <c r="ALY3" s="11"/>
      <c r="ALZ3" s="11"/>
      <c r="AMA3" s="11"/>
      <c r="AMB3" s="11"/>
      <c r="AMC3" s="11"/>
      <c r="AMD3" s="11"/>
      <c r="AME3" s="11"/>
      <c r="AMF3" s="11"/>
      <c r="AMG3" s="11"/>
      <c r="AMH3" s="11"/>
      <c r="AMI3" s="11"/>
      <c r="AMJ3" s="11"/>
      <c r="AMK3" s="11"/>
      <c r="AML3" s="11"/>
      <c r="AMM3" s="11"/>
      <c r="AMN3" s="11"/>
      <c r="AMO3" s="11"/>
      <c r="AMP3" s="11"/>
      <c r="AMQ3" s="11"/>
      <c r="AMR3" s="11"/>
      <c r="AMS3" s="11"/>
      <c r="AMT3" s="11"/>
      <c r="AMU3" s="11"/>
      <c r="AMV3" s="11"/>
      <c r="AMW3" s="11"/>
      <c r="AMX3" s="11"/>
      <c r="AMY3" s="11"/>
      <c r="AMZ3" s="11"/>
      <c r="ANA3" s="11"/>
      <c r="ANB3" s="11"/>
      <c r="ANC3" s="11"/>
      <c r="AND3" s="11"/>
      <c r="ANE3" s="11"/>
      <c r="ANF3" s="11"/>
      <c r="ANG3" s="11"/>
      <c r="ANH3" s="11"/>
      <c r="ANI3" s="11"/>
      <c r="ANJ3" s="11"/>
      <c r="ANK3" s="11"/>
      <c r="ANL3" s="11"/>
      <c r="ANM3" s="11"/>
      <c r="ANN3" s="11"/>
      <c r="ANO3" s="11"/>
      <c r="ANP3" s="11"/>
      <c r="ANQ3" s="11"/>
      <c r="ANR3" s="11"/>
      <c r="ANS3" s="11"/>
      <c r="ANT3" s="11"/>
      <c r="ANU3" s="11"/>
      <c r="ANV3" s="11"/>
      <c r="ANW3" s="11"/>
      <c r="ANX3" s="11"/>
      <c r="ANY3" s="11"/>
      <c r="ANZ3" s="11"/>
      <c r="AOA3" s="11"/>
      <c r="AOB3" s="11"/>
      <c r="AOC3" s="11"/>
      <c r="AOD3" s="11"/>
      <c r="AOE3" s="11"/>
      <c r="AOF3" s="11"/>
      <c r="AOG3" s="11"/>
      <c r="AOH3" s="11"/>
      <c r="AOI3" s="11"/>
      <c r="AOJ3" s="11"/>
      <c r="AOK3" s="11"/>
      <c r="AOL3" s="11"/>
      <c r="AOM3" s="11"/>
      <c r="AON3" s="11"/>
      <c r="AOO3" s="11"/>
      <c r="AOP3" s="11"/>
      <c r="AOQ3" s="11"/>
      <c r="AOR3" s="11"/>
      <c r="AOS3" s="11"/>
      <c r="AOT3" s="11"/>
      <c r="AOU3" s="11"/>
      <c r="AOV3" s="11"/>
      <c r="AOW3" s="11"/>
      <c r="AOX3" s="11"/>
      <c r="AOY3" s="11"/>
      <c r="AOZ3" s="11"/>
      <c r="APA3" s="11"/>
      <c r="APB3" s="11"/>
      <c r="APC3" s="11"/>
      <c r="APD3" s="11"/>
      <c r="APE3" s="11"/>
      <c r="APF3" s="11"/>
      <c r="APG3" s="11"/>
      <c r="APH3" s="11"/>
      <c r="API3" s="11"/>
      <c r="APJ3" s="11"/>
      <c r="APK3" s="11"/>
      <c r="APL3" s="11"/>
      <c r="APM3" s="11"/>
      <c r="APN3" s="11"/>
      <c r="APO3" s="11"/>
      <c r="APP3" s="11"/>
      <c r="APQ3" s="11"/>
      <c r="APR3" s="11"/>
      <c r="APS3" s="11"/>
      <c r="APT3" s="11"/>
      <c r="APU3" s="11"/>
      <c r="APV3" s="11"/>
      <c r="APW3" s="11"/>
      <c r="APX3" s="11"/>
      <c r="APY3" s="11"/>
      <c r="APZ3" s="11"/>
      <c r="AQA3" s="11"/>
      <c r="AQB3" s="11"/>
      <c r="AQC3" s="11"/>
      <c r="AQD3" s="11"/>
      <c r="AQE3" s="11"/>
      <c r="AQF3" s="11"/>
      <c r="AQG3" s="11"/>
      <c r="AQH3" s="11"/>
      <c r="AQI3" s="11"/>
      <c r="AQJ3" s="11"/>
      <c r="AQK3" s="11"/>
      <c r="AQL3" s="11"/>
      <c r="AQM3" s="11"/>
      <c r="AQN3" s="11"/>
      <c r="AQO3" s="11"/>
      <c r="AQP3" s="11"/>
      <c r="AQQ3" s="11"/>
      <c r="AQR3" s="11"/>
      <c r="AQS3" s="11"/>
      <c r="AQT3" s="11"/>
      <c r="AQU3" s="11"/>
      <c r="AQV3" s="11"/>
      <c r="AQW3" s="11"/>
      <c r="AQX3" s="11"/>
      <c r="AQY3" s="11"/>
      <c r="AQZ3" s="11"/>
      <c r="ARA3" s="11"/>
      <c r="ARB3" s="11"/>
      <c r="ARC3" s="11"/>
      <c r="ARD3" s="11"/>
      <c r="ARE3" s="11"/>
      <c r="ARF3" s="11"/>
      <c r="ARG3" s="11"/>
      <c r="ARH3" s="11"/>
      <c r="ARI3" s="11"/>
      <c r="ARJ3" s="11"/>
      <c r="ARK3" s="11"/>
      <c r="ARL3" s="11"/>
      <c r="ARM3" s="11"/>
      <c r="ARN3" s="11"/>
      <c r="ARO3" s="11"/>
      <c r="ARP3" s="11"/>
      <c r="ARQ3" s="11"/>
      <c r="ARR3" s="11"/>
      <c r="ARS3" s="11"/>
      <c r="ART3" s="11"/>
      <c r="ARU3" s="11"/>
      <c r="ARV3" s="11"/>
      <c r="ARW3" s="11"/>
      <c r="ARX3" s="11"/>
      <c r="ARY3" s="11"/>
      <c r="ARZ3" s="11"/>
      <c r="ASA3" s="11"/>
      <c r="ASB3" s="11"/>
      <c r="ASC3" s="11"/>
      <c r="ASD3" s="11"/>
      <c r="ASE3" s="11"/>
      <c r="ASF3" s="11"/>
      <c r="ASG3" s="11"/>
      <c r="ASH3" s="11"/>
      <c r="ASI3" s="11"/>
      <c r="ASJ3" s="11"/>
      <c r="ASK3" s="11"/>
      <c r="ASL3" s="11"/>
      <c r="ASM3" s="11"/>
      <c r="ASN3" s="11"/>
      <c r="ASO3" s="11"/>
      <c r="ASP3" s="11"/>
      <c r="ASQ3" s="11"/>
      <c r="ASR3" s="11"/>
      <c r="ASS3" s="11"/>
      <c r="AST3" s="11"/>
      <c r="ASU3" s="11"/>
      <c r="ASV3" s="11"/>
      <c r="ASW3" s="11"/>
      <c r="ASX3" s="11"/>
      <c r="ASY3" s="11"/>
      <c r="ASZ3" s="11"/>
      <c r="ATA3" s="11"/>
      <c r="ATB3" s="11"/>
      <c r="ATC3" s="11"/>
      <c r="ATD3" s="11"/>
      <c r="ATE3" s="11"/>
      <c r="ATF3" s="11"/>
      <c r="ATG3" s="11"/>
      <c r="ATH3" s="11"/>
      <c r="ATI3" s="11"/>
      <c r="ATJ3" s="11"/>
      <c r="ATK3" s="11"/>
      <c r="ATL3" s="11"/>
      <c r="ATM3" s="11"/>
      <c r="ATN3" s="11"/>
      <c r="ATO3" s="11"/>
      <c r="ATP3" s="11"/>
      <c r="ATQ3" s="11"/>
      <c r="ATR3" s="11"/>
      <c r="ATS3" s="11"/>
      <c r="ATT3" s="11"/>
      <c r="ATU3" s="11"/>
      <c r="ATV3" s="11"/>
      <c r="ATW3" s="11"/>
      <c r="ATX3" s="11"/>
      <c r="ATY3" s="11"/>
      <c r="ATZ3" s="11"/>
      <c r="AUA3" s="11"/>
      <c r="AUB3" s="11"/>
      <c r="AUC3" s="11"/>
      <c r="AUD3" s="11"/>
      <c r="AUE3" s="11"/>
      <c r="AUF3" s="11"/>
      <c r="AUG3" s="11"/>
      <c r="AUH3" s="11"/>
      <c r="AUI3" s="11"/>
      <c r="AUJ3" s="11"/>
      <c r="AUK3" s="11"/>
      <c r="AUL3" s="11"/>
      <c r="AUM3" s="11"/>
      <c r="AUN3" s="11"/>
      <c r="AUO3" s="11"/>
      <c r="AUP3" s="11"/>
      <c r="AUQ3" s="11"/>
      <c r="AUR3" s="11"/>
      <c r="AUS3" s="11"/>
      <c r="AUT3" s="11"/>
      <c r="AUU3" s="11"/>
      <c r="AUV3" s="11"/>
      <c r="AUW3" s="11"/>
      <c r="AUX3" s="11"/>
      <c r="AUY3" s="11"/>
      <c r="AUZ3" s="11"/>
      <c r="AVA3" s="11"/>
      <c r="AVB3" s="11"/>
      <c r="AVC3" s="11"/>
      <c r="AVD3" s="11"/>
      <c r="AVE3" s="11"/>
      <c r="AVF3" s="11"/>
      <c r="AVG3" s="11"/>
      <c r="AVH3" s="11"/>
      <c r="AVI3" s="11"/>
      <c r="AVJ3" s="11"/>
      <c r="AVK3" s="11"/>
      <c r="AVL3" s="11"/>
      <c r="AVM3" s="11"/>
      <c r="AVN3" s="11"/>
      <c r="AVO3" s="11"/>
      <c r="AVP3" s="11"/>
      <c r="AVQ3" s="11"/>
      <c r="AVR3" s="11"/>
      <c r="AVS3" s="11"/>
      <c r="AVT3" s="11"/>
      <c r="AVU3" s="11"/>
      <c r="AVV3" s="11"/>
      <c r="AVW3" s="11"/>
      <c r="AVX3" s="11"/>
      <c r="AVY3" s="11"/>
      <c r="AVZ3" s="11"/>
      <c r="AWA3" s="11"/>
      <c r="AWB3" s="11"/>
      <c r="AWC3" s="11"/>
      <c r="AWD3" s="11"/>
      <c r="AWE3" s="11"/>
      <c r="AWF3" s="11"/>
      <c r="AWG3" s="11"/>
      <c r="AWH3" s="11"/>
      <c r="AWI3" s="11"/>
      <c r="AWJ3" s="11"/>
      <c r="AWK3" s="11"/>
      <c r="AWL3" s="11"/>
      <c r="AWM3" s="11"/>
      <c r="AWN3" s="11"/>
      <c r="AWO3" s="11"/>
      <c r="AWP3" s="11"/>
      <c r="AWQ3" s="11"/>
      <c r="AWR3" s="11"/>
      <c r="AWS3" s="11"/>
      <c r="AWT3" s="11"/>
      <c r="AWU3" s="11"/>
      <c r="AWV3" s="11"/>
      <c r="AWW3" s="11"/>
      <c r="AWX3" s="11"/>
      <c r="AWY3" s="11"/>
      <c r="AWZ3" s="11"/>
      <c r="AXA3" s="11"/>
      <c r="AXB3" s="11"/>
      <c r="AXC3" s="11"/>
      <c r="AXD3" s="11"/>
      <c r="AXE3" s="11"/>
      <c r="AXF3" s="11"/>
      <c r="AXG3" s="11"/>
      <c r="AXH3" s="11"/>
      <c r="AXI3" s="11"/>
      <c r="AXJ3" s="11"/>
      <c r="AXK3" s="11"/>
      <c r="AXL3" s="11"/>
      <c r="AXM3" s="11"/>
      <c r="AXN3" s="11"/>
      <c r="AXO3" s="11"/>
      <c r="AXP3" s="11"/>
      <c r="AXQ3" s="11"/>
      <c r="AXR3" s="11"/>
      <c r="AXS3" s="11"/>
      <c r="AXT3" s="11"/>
      <c r="AXU3" s="11"/>
      <c r="AXV3" s="11"/>
      <c r="AXW3" s="11"/>
      <c r="AXX3" s="11"/>
      <c r="AXY3" s="11"/>
      <c r="AXZ3" s="11"/>
      <c r="AYA3" s="11"/>
      <c r="AYB3" s="11"/>
      <c r="AYC3" s="11"/>
      <c r="AYD3" s="11"/>
      <c r="AYE3" s="11"/>
      <c r="AYF3" s="11"/>
      <c r="AYG3" s="11"/>
      <c r="AYH3" s="11"/>
      <c r="AYI3" s="11"/>
      <c r="AYJ3" s="11"/>
      <c r="AYK3" s="11"/>
      <c r="AYL3" s="11"/>
      <c r="AYM3" s="11"/>
      <c r="AYN3" s="11"/>
      <c r="AYO3" s="11"/>
      <c r="AYP3" s="11"/>
      <c r="AYQ3" s="11"/>
      <c r="AYR3" s="11"/>
      <c r="AYS3" s="11"/>
      <c r="AYT3" s="11"/>
      <c r="AYU3" s="11"/>
      <c r="AYV3" s="11"/>
      <c r="AYW3" s="11"/>
      <c r="AYX3" s="11"/>
      <c r="AYY3" s="11"/>
      <c r="AYZ3" s="11"/>
      <c r="AZA3" s="11"/>
      <c r="AZB3" s="11"/>
      <c r="AZC3" s="11"/>
      <c r="AZD3" s="11"/>
      <c r="AZE3" s="11"/>
      <c r="AZF3" s="11"/>
    </row>
    <row r="4" spans="1:1358" ht="14.4" x14ac:dyDescent="0.3">
      <c r="A4" s="14">
        <v>1</v>
      </c>
      <c r="B4" s="24" t="s">
        <v>191</v>
      </c>
      <c r="C4" s="10">
        <v>20</v>
      </c>
      <c r="D4" s="10">
        <v>53</v>
      </c>
      <c r="E4" s="15">
        <v>365</v>
      </c>
      <c r="F4" s="19">
        <v>4.4000000000000003E-3</v>
      </c>
      <c r="G4" s="10">
        <v>900</v>
      </c>
      <c r="H4" s="13">
        <v>3.0000000000000001E-3</v>
      </c>
      <c r="I4" s="17">
        <v>10950</v>
      </c>
      <c r="J4" s="22">
        <v>20</v>
      </c>
      <c r="K4" s="18">
        <f t="shared" ref="K4:K67" si="0">(F4*G4*E4*J4)/(D4*I4)</f>
        <v>4.9811320754716983E-2</v>
      </c>
      <c r="L4" s="2">
        <f t="shared" ref="L4:L45" si="1">(F4*G4*E4*5)/(D4*I4)</f>
        <v>1.2452830188679246E-2</v>
      </c>
      <c r="M4" s="2">
        <f t="shared" ref="M4:M67" si="2">(F4*G4*E4*10)/(D4*I4)</f>
        <v>2.4905660377358491E-2</v>
      </c>
      <c r="N4" s="2">
        <f t="shared" ref="N4:N67" si="3">(F4*G4*E4*15)/(D4*I4)</f>
        <v>3.7358490566037739E-2</v>
      </c>
      <c r="O4" s="2">
        <f t="shared" ref="O4:O67" si="4">(F4*G4*E4*20)/(D4*I4)</f>
        <v>4.9811320754716983E-2</v>
      </c>
      <c r="P4" s="2">
        <f t="shared" ref="P4:P67" si="5">(F4*G4*E4*25)/(D4*I4)</f>
        <v>6.2264150943396226E-2</v>
      </c>
      <c r="Q4" s="2">
        <f t="shared" ref="Q4:Q67" si="6">(F4*G4*E4*30)/(D4*I4)</f>
        <v>7.4716981132075477E-2</v>
      </c>
      <c r="R4" s="2">
        <f t="shared" ref="R4:R67" si="7">K4/H4</f>
        <v>16.60377358490566</v>
      </c>
      <c r="S4" s="2">
        <f t="shared" ref="S4:S42" si="8">L4/H4</f>
        <v>4.1509433962264151</v>
      </c>
      <c r="T4" s="2">
        <f t="shared" ref="T4:T67" si="9">M4/H4</f>
        <v>8.3018867924528301</v>
      </c>
      <c r="U4" s="2">
        <f t="shared" ref="U4:U43" si="10">N4/H4</f>
        <v>12.452830188679245</v>
      </c>
      <c r="V4" s="2">
        <f t="shared" ref="V4:V43" si="11">O4/H4</f>
        <v>16.60377358490566</v>
      </c>
      <c r="W4" s="2">
        <f t="shared" ref="W4:W43" si="12">P4/H4</f>
        <v>20.754716981132074</v>
      </c>
      <c r="X4" s="2">
        <f t="shared" ref="X4:X43" si="13">Q4/H4</f>
        <v>24.90566037735849</v>
      </c>
      <c r="Y4" s="5" t="str">
        <f t="shared" ref="Y4:AE28" si="14">IF(R4&gt;1,"1","2")</f>
        <v>1</v>
      </c>
      <c r="Z4" s="5" t="str">
        <f t="shared" si="14"/>
        <v>1</v>
      </c>
      <c r="AA4" s="5" t="str">
        <f t="shared" si="14"/>
        <v>1</v>
      </c>
      <c r="AB4" s="5" t="str">
        <f t="shared" si="14"/>
        <v>1</v>
      </c>
      <c r="AC4" s="5" t="str">
        <f t="shared" si="14"/>
        <v>1</v>
      </c>
      <c r="AD4" s="5" t="str">
        <f t="shared" si="14"/>
        <v>1</v>
      </c>
      <c r="AE4" s="5" t="str">
        <f t="shared" si="14"/>
        <v>1</v>
      </c>
    </row>
    <row r="5" spans="1:1358" ht="14.4" x14ac:dyDescent="0.3">
      <c r="A5" s="14">
        <v>2</v>
      </c>
      <c r="B5" s="24" t="s">
        <v>192</v>
      </c>
      <c r="C5" s="10">
        <v>25</v>
      </c>
      <c r="D5" s="10">
        <v>68</v>
      </c>
      <c r="E5" s="15">
        <v>365</v>
      </c>
      <c r="F5" s="19">
        <v>8.9999999999999998E-4</v>
      </c>
      <c r="G5" s="10">
        <v>1500</v>
      </c>
      <c r="H5" s="13">
        <v>3.0000000000000001E-3</v>
      </c>
      <c r="I5" s="17">
        <v>10950</v>
      </c>
      <c r="J5" s="22">
        <v>22</v>
      </c>
      <c r="K5" s="18">
        <f t="shared" si="0"/>
        <v>1.4558823529411763E-2</v>
      </c>
      <c r="L5" s="2">
        <f t="shared" si="1"/>
        <v>3.3088235294117642E-3</v>
      </c>
      <c r="M5" s="2">
        <f t="shared" si="2"/>
        <v>6.6176470588235285E-3</v>
      </c>
      <c r="N5" s="2">
        <f t="shared" si="3"/>
        <v>9.9264705882352935E-3</v>
      </c>
      <c r="O5" s="2">
        <f t="shared" si="4"/>
        <v>1.3235294117647057E-2</v>
      </c>
      <c r="P5" s="2">
        <f t="shared" si="5"/>
        <v>1.654411764705882E-2</v>
      </c>
      <c r="Q5" s="2">
        <f t="shared" si="6"/>
        <v>1.9852941176470587E-2</v>
      </c>
      <c r="R5" s="2">
        <f t="shared" si="7"/>
        <v>4.8529411764705879</v>
      </c>
      <c r="S5" s="2">
        <f t="shared" si="8"/>
        <v>1.1029411764705881</v>
      </c>
      <c r="T5" s="2">
        <f t="shared" si="9"/>
        <v>2.2058823529411762</v>
      </c>
      <c r="U5" s="2">
        <f t="shared" si="10"/>
        <v>3.3088235294117645</v>
      </c>
      <c r="V5" s="2">
        <f t="shared" si="11"/>
        <v>4.4117647058823524</v>
      </c>
      <c r="W5" s="2">
        <f t="shared" si="12"/>
        <v>5.5147058823529402</v>
      </c>
      <c r="X5" s="2">
        <f t="shared" si="13"/>
        <v>6.617647058823529</v>
      </c>
      <c r="Y5" s="5" t="str">
        <f t="shared" si="14"/>
        <v>1</v>
      </c>
      <c r="Z5" s="5" t="str">
        <f t="shared" si="14"/>
        <v>1</v>
      </c>
      <c r="AA5" s="5" t="str">
        <f t="shared" si="14"/>
        <v>1</v>
      </c>
      <c r="AB5" s="5" t="str">
        <f t="shared" si="14"/>
        <v>1</v>
      </c>
      <c r="AC5" s="5" t="str">
        <f t="shared" si="14"/>
        <v>1</v>
      </c>
      <c r="AD5" s="5" t="str">
        <f t="shared" si="14"/>
        <v>1</v>
      </c>
      <c r="AE5" s="5" t="str">
        <f t="shared" si="14"/>
        <v>1</v>
      </c>
    </row>
    <row r="6" spans="1:1358" ht="14.4" x14ac:dyDescent="0.3">
      <c r="A6" s="14">
        <v>3</v>
      </c>
      <c r="B6" s="24" t="s">
        <v>124</v>
      </c>
      <c r="C6" s="10">
        <v>25</v>
      </c>
      <c r="D6" s="10">
        <v>68</v>
      </c>
      <c r="E6" s="15">
        <v>365</v>
      </c>
      <c r="F6" s="19">
        <v>2.0000000000000001E-4</v>
      </c>
      <c r="G6" s="10">
        <v>1500</v>
      </c>
      <c r="H6" s="13">
        <v>3.0000000000000001E-3</v>
      </c>
      <c r="I6" s="17">
        <v>10950</v>
      </c>
      <c r="J6" s="22">
        <v>22</v>
      </c>
      <c r="K6" s="18">
        <f t="shared" si="0"/>
        <v>3.2352941176470589E-3</v>
      </c>
      <c r="L6" s="2">
        <f t="shared" si="1"/>
        <v>7.3529411764705881E-4</v>
      </c>
      <c r="M6" s="2">
        <f t="shared" si="2"/>
        <v>1.4705882352941176E-3</v>
      </c>
      <c r="N6" s="2">
        <f t="shared" si="3"/>
        <v>2.2058823529411764E-3</v>
      </c>
      <c r="O6" s="2">
        <f t="shared" si="4"/>
        <v>2.9411764705882353E-3</v>
      </c>
      <c r="P6" s="2">
        <f t="shared" si="5"/>
        <v>3.6764705882352941E-3</v>
      </c>
      <c r="Q6" s="2">
        <f t="shared" si="6"/>
        <v>4.4117647058823529E-3</v>
      </c>
      <c r="R6" s="2">
        <f t="shared" si="7"/>
        <v>1.0784313725490196</v>
      </c>
      <c r="S6" s="2">
        <f t="shared" si="8"/>
        <v>0.24509803921568626</v>
      </c>
      <c r="T6" s="2">
        <f t="shared" si="9"/>
        <v>0.49019607843137253</v>
      </c>
      <c r="U6" s="2">
        <f t="shared" si="10"/>
        <v>0.73529411764705876</v>
      </c>
      <c r="V6" s="2">
        <f t="shared" si="11"/>
        <v>0.98039215686274506</v>
      </c>
      <c r="W6" s="2">
        <f t="shared" si="12"/>
        <v>1.2254901960784312</v>
      </c>
      <c r="X6" s="2">
        <f t="shared" si="13"/>
        <v>1.4705882352941175</v>
      </c>
      <c r="Y6" s="5" t="str">
        <f t="shared" si="14"/>
        <v>1</v>
      </c>
      <c r="Z6" s="5" t="str">
        <f t="shared" si="14"/>
        <v>2</v>
      </c>
      <c r="AA6" s="5" t="str">
        <f t="shared" si="14"/>
        <v>2</v>
      </c>
      <c r="AB6" s="5" t="str">
        <f t="shared" si="14"/>
        <v>2</v>
      </c>
      <c r="AC6" s="5" t="str">
        <f t="shared" si="14"/>
        <v>2</v>
      </c>
      <c r="AD6" s="5" t="str">
        <f t="shared" si="14"/>
        <v>1</v>
      </c>
      <c r="AE6" s="5" t="str">
        <f t="shared" si="14"/>
        <v>1</v>
      </c>
    </row>
    <row r="7" spans="1:1358" ht="14.4" x14ac:dyDescent="0.3">
      <c r="A7" s="14">
        <v>4</v>
      </c>
      <c r="B7" s="24" t="s">
        <v>193</v>
      </c>
      <c r="C7" s="10">
        <v>26</v>
      </c>
      <c r="D7" s="10">
        <v>50</v>
      </c>
      <c r="E7" s="15">
        <v>365</v>
      </c>
      <c r="F7" s="19">
        <v>2.9999999999999997E-4</v>
      </c>
      <c r="G7" s="10">
        <v>900</v>
      </c>
      <c r="H7" s="13">
        <v>3.0000000000000001E-3</v>
      </c>
      <c r="I7" s="17">
        <v>10950</v>
      </c>
      <c r="J7" s="22">
        <v>26</v>
      </c>
      <c r="K7" s="18">
        <f t="shared" si="0"/>
        <v>4.6799999999999993E-3</v>
      </c>
      <c r="L7" s="2">
        <f t="shared" si="1"/>
        <v>8.9999999999999976E-4</v>
      </c>
      <c r="M7" s="2">
        <f t="shared" si="2"/>
        <v>1.7999999999999995E-3</v>
      </c>
      <c r="N7" s="2">
        <f t="shared" si="3"/>
        <v>2.6999999999999997E-3</v>
      </c>
      <c r="O7" s="2">
        <f t="shared" si="4"/>
        <v>3.599999999999999E-3</v>
      </c>
      <c r="P7" s="2">
        <f t="shared" si="5"/>
        <v>4.4999999999999988E-3</v>
      </c>
      <c r="Q7" s="2">
        <f t="shared" si="6"/>
        <v>5.3999999999999994E-3</v>
      </c>
      <c r="R7" s="2">
        <f t="shared" si="7"/>
        <v>1.5599999999999998</v>
      </c>
      <c r="S7" s="2">
        <f t="shared" si="8"/>
        <v>0.29999999999999993</v>
      </c>
      <c r="T7" s="2">
        <f t="shared" si="9"/>
        <v>0.59999999999999987</v>
      </c>
      <c r="U7" s="2">
        <f t="shared" si="10"/>
        <v>0.89999999999999991</v>
      </c>
      <c r="V7" s="2">
        <f t="shared" si="11"/>
        <v>1.1999999999999997</v>
      </c>
      <c r="W7" s="2">
        <f t="shared" si="12"/>
        <v>1.4999999999999996</v>
      </c>
      <c r="X7" s="2">
        <f t="shared" si="13"/>
        <v>1.7999999999999998</v>
      </c>
      <c r="Y7" s="5" t="str">
        <f t="shared" si="14"/>
        <v>1</v>
      </c>
      <c r="Z7" s="5" t="str">
        <f t="shared" si="14"/>
        <v>2</v>
      </c>
      <c r="AA7" s="5" t="str">
        <f t="shared" si="14"/>
        <v>2</v>
      </c>
      <c r="AB7" s="5" t="str">
        <f t="shared" si="14"/>
        <v>2</v>
      </c>
      <c r="AC7" s="5" t="str">
        <f t="shared" si="14"/>
        <v>1</v>
      </c>
      <c r="AD7" s="5" t="str">
        <f t="shared" si="14"/>
        <v>1</v>
      </c>
      <c r="AE7" s="5" t="str">
        <f t="shared" si="14"/>
        <v>1</v>
      </c>
    </row>
    <row r="8" spans="1:1358" ht="14.4" x14ac:dyDescent="0.3">
      <c r="A8" s="14">
        <v>5</v>
      </c>
      <c r="B8" s="24" t="s">
        <v>194</v>
      </c>
      <c r="C8" s="10">
        <v>27</v>
      </c>
      <c r="D8" s="10">
        <v>43</v>
      </c>
      <c r="E8" s="15">
        <v>365</v>
      </c>
      <c r="F8" s="19">
        <v>2.9999999999999997E-4</v>
      </c>
      <c r="G8" s="10">
        <v>1200</v>
      </c>
      <c r="H8" s="13">
        <v>3.0000000000000001E-3</v>
      </c>
      <c r="I8" s="17">
        <v>10950</v>
      </c>
      <c r="J8" s="22">
        <v>27</v>
      </c>
      <c r="K8" s="18">
        <f t="shared" si="0"/>
        <v>7.5348837209302331E-3</v>
      </c>
      <c r="L8" s="2">
        <f t="shared" si="1"/>
        <v>1.3953488372093023E-3</v>
      </c>
      <c r="M8" s="2">
        <f t="shared" si="2"/>
        <v>2.7906976744186047E-3</v>
      </c>
      <c r="N8" s="2">
        <f t="shared" si="3"/>
        <v>4.1860465116279073E-3</v>
      </c>
      <c r="O8" s="2">
        <f t="shared" si="4"/>
        <v>5.5813953488372094E-3</v>
      </c>
      <c r="P8" s="2">
        <f t="shared" si="5"/>
        <v>6.9767441860465115E-3</v>
      </c>
      <c r="Q8" s="2">
        <f t="shared" si="6"/>
        <v>8.3720930232558145E-3</v>
      </c>
      <c r="R8" s="2">
        <f t="shared" si="7"/>
        <v>2.5116279069767442</v>
      </c>
      <c r="S8" s="2">
        <f t="shared" si="8"/>
        <v>0.46511627906976744</v>
      </c>
      <c r="T8" s="2">
        <f t="shared" si="9"/>
        <v>0.93023255813953487</v>
      </c>
      <c r="U8" s="2">
        <f t="shared" si="10"/>
        <v>1.3953488372093024</v>
      </c>
      <c r="V8" s="2">
        <f t="shared" si="11"/>
        <v>1.8604651162790697</v>
      </c>
      <c r="W8" s="2">
        <f t="shared" si="12"/>
        <v>2.3255813953488373</v>
      </c>
      <c r="X8" s="2">
        <f t="shared" si="13"/>
        <v>2.7906976744186047</v>
      </c>
      <c r="Y8" s="5" t="str">
        <f t="shared" si="14"/>
        <v>1</v>
      </c>
      <c r="Z8" s="5" t="str">
        <f t="shared" si="14"/>
        <v>2</v>
      </c>
      <c r="AA8" s="5" t="str">
        <f t="shared" si="14"/>
        <v>2</v>
      </c>
      <c r="AB8" s="5" t="str">
        <f t="shared" si="14"/>
        <v>1</v>
      </c>
      <c r="AC8" s="5" t="str">
        <f t="shared" si="14"/>
        <v>1</v>
      </c>
      <c r="AD8" s="5" t="str">
        <f t="shared" si="14"/>
        <v>1</v>
      </c>
      <c r="AE8" s="5" t="str">
        <f t="shared" si="14"/>
        <v>1</v>
      </c>
    </row>
    <row r="9" spans="1:1358" ht="14.4" x14ac:dyDescent="0.3">
      <c r="A9" s="14">
        <v>6</v>
      </c>
      <c r="B9" s="24" t="s">
        <v>114</v>
      </c>
      <c r="C9" s="10">
        <v>27</v>
      </c>
      <c r="D9" s="10">
        <v>43</v>
      </c>
      <c r="E9" s="15">
        <v>365</v>
      </c>
      <c r="F9" s="19">
        <v>9.7999999999999997E-3</v>
      </c>
      <c r="G9" s="10">
        <v>1200</v>
      </c>
      <c r="H9" s="13">
        <v>3.0000000000000001E-3</v>
      </c>
      <c r="I9" s="17">
        <v>10950</v>
      </c>
      <c r="J9" s="22">
        <v>27</v>
      </c>
      <c r="K9" s="18">
        <f t="shared" si="0"/>
        <v>0.2461395348837209</v>
      </c>
      <c r="L9" s="2">
        <f t="shared" si="1"/>
        <v>4.5581395348837206E-2</v>
      </c>
      <c r="M9" s="2">
        <f t="shared" si="2"/>
        <v>9.1162790697674412E-2</v>
      </c>
      <c r="N9" s="2">
        <f t="shared" si="3"/>
        <v>0.13674418604651162</v>
      </c>
      <c r="O9" s="2">
        <f t="shared" si="4"/>
        <v>0.18232558139534882</v>
      </c>
      <c r="P9" s="2">
        <f t="shared" si="5"/>
        <v>0.22790697674418603</v>
      </c>
      <c r="Q9" s="2">
        <f t="shared" si="6"/>
        <v>0.27348837209302324</v>
      </c>
      <c r="R9" s="2">
        <f t="shared" si="7"/>
        <v>82.046511627906966</v>
      </c>
      <c r="S9" s="2">
        <f t="shared" si="8"/>
        <v>15.193798449612402</v>
      </c>
      <c r="T9" s="2">
        <f t="shared" si="9"/>
        <v>30.387596899224803</v>
      </c>
      <c r="U9" s="2">
        <f t="shared" si="10"/>
        <v>45.581395348837205</v>
      </c>
      <c r="V9" s="2">
        <f t="shared" si="11"/>
        <v>60.775193798449607</v>
      </c>
      <c r="W9" s="2">
        <f t="shared" si="12"/>
        <v>75.968992248062008</v>
      </c>
      <c r="X9" s="2">
        <f t="shared" si="13"/>
        <v>91.16279069767441</v>
      </c>
      <c r="Y9" s="5" t="str">
        <f t="shared" si="14"/>
        <v>1</v>
      </c>
      <c r="Z9" s="5" t="str">
        <f t="shared" si="14"/>
        <v>1</v>
      </c>
      <c r="AA9" s="5" t="str">
        <f t="shared" si="14"/>
        <v>1</v>
      </c>
      <c r="AB9" s="5" t="str">
        <f t="shared" si="14"/>
        <v>1</v>
      </c>
      <c r="AC9" s="5" t="str">
        <f t="shared" si="14"/>
        <v>1</v>
      </c>
      <c r="AD9" s="5" t="str">
        <f t="shared" si="14"/>
        <v>1</v>
      </c>
      <c r="AE9" s="5" t="str">
        <f t="shared" si="14"/>
        <v>1</v>
      </c>
    </row>
    <row r="10" spans="1:1358" ht="14.4" x14ac:dyDescent="0.3">
      <c r="A10" s="14">
        <v>7</v>
      </c>
      <c r="B10" s="24" t="s">
        <v>195</v>
      </c>
      <c r="C10" s="10">
        <v>27</v>
      </c>
      <c r="D10" s="10">
        <v>65</v>
      </c>
      <c r="E10" s="15">
        <v>365</v>
      </c>
      <c r="F10" s="19">
        <v>1.9900000000000001E-2</v>
      </c>
      <c r="G10" s="10">
        <v>1200</v>
      </c>
      <c r="H10" s="13">
        <v>3.0000000000000001E-3</v>
      </c>
      <c r="I10" s="17">
        <v>10950</v>
      </c>
      <c r="J10" s="22">
        <v>27</v>
      </c>
      <c r="K10" s="18">
        <f t="shared" si="0"/>
        <v>0.33064615384615387</v>
      </c>
      <c r="L10" s="2">
        <f t="shared" si="1"/>
        <v>6.1230769230769228E-2</v>
      </c>
      <c r="M10" s="2">
        <f t="shared" si="2"/>
        <v>0.12246153846153846</v>
      </c>
      <c r="N10" s="2">
        <f t="shared" si="3"/>
        <v>0.18369230769230771</v>
      </c>
      <c r="O10" s="2">
        <f t="shared" si="4"/>
        <v>0.24492307692307691</v>
      </c>
      <c r="P10" s="2">
        <f t="shared" si="5"/>
        <v>0.30615384615384622</v>
      </c>
      <c r="Q10" s="2">
        <f t="shared" si="6"/>
        <v>0.36738461538461542</v>
      </c>
      <c r="R10" s="2">
        <f t="shared" si="7"/>
        <v>110.21538461538462</v>
      </c>
      <c r="S10" s="2">
        <f t="shared" si="8"/>
        <v>20.410256410256409</v>
      </c>
      <c r="T10" s="2">
        <f t="shared" si="9"/>
        <v>40.820512820512818</v>
      </c>
      <c r="U10" s="2">
        <f t="shared" si="10"/>
        <v>61.230769230769234</v>
      </c>
      <c r="V10" s="2">
        <f t="shared" si="11"/>
        <v>81.641025641025635</v>
      </c>
      <c r="W10" s="2">
        <f t="shared" si="12"/>
        <v>102.05128205128207</v>
      </c>
      <c r="X10" s="2">
        <f t="shared" si="13"/>
        <v>122.46153846153847</v>
      </c>
      <c r="Y10" s="5" t="str">
        <f t="shared" si="14"/>
        <v>1</v>
      </c>
      <c r="Z10" s="5" t="str">
        <f t="shared" si="14"/>
        <v>1</v>
      </c>
      <c r="AA10" s="5" t="str">
        <f t="shared" si="14"/>
        <v>1</v>
      </c>
      <c r="AB10" s="5" t="str">
        <f t="shared" si="14"/>
        <v>1</v>
      </c>
      <c r="AC10" s="5" t="str">
        <f t="shared" si="14"/>
        <v>1</v>
      </c>
      <c r="AD10" s="5" t="str">
        <f t="shared" si="14"/>
        <v>1</v>
      </c>
      <c r="AE10" s="5" t="str">
        <f t="shared" si="14"/>
        <v>1</v>
      </c>
    </row>
    <row r="11" spans="1:1358" ht="14.4" x14ac:dyDescent="0.3">
      <c r="A11" s="14">
        <v>8</v>
      </c>
      <c r="B11" s="24" t="s">
        <v>196</v>
      </c>
      <c r="C11" s="10">
        <v>27</v>
      </c>
      <c r="D11" s="10">
        <v>59</v>
      </c>
      <c r="E11" s="15">
        <v>365</v>
      </c>
      <c r="F11" s="19">
        <v>1.9900000000000001E-2</v>
      </c>
      <c r="G11" s="10">
        <v>900</v>
      </c>
      <c r="H11" s="13">
        <v>3.0000000000000001E-3</v>
      </c>
      <c r="I11" s="17">
        <v>10950</v>
      </c>
      <c r="J11" s="22">
        <v>10</v>
      </c>
      <c r="K11" s="18">
        <f t="shared" si="0"/>
        <v>0.1011864406779661</v>
      </c>
      <c r="L11" s="2">
        <f t="shared" si="1"/>
        <v>5.0593220338983051E-2</v>
      </c>
      <c r="M11" s="2">
        <f t="shared" si="2"/>
        <v>0.1011864406779661</v>
      </c>
      <c r="N11" s="2">
        <f t="shared" si="3"/>
        <v>0.15177966101694915</v>
      </c>
      <c r="O11" s="2">
        <f t="shared" si="4"/>
        <v>0.2023728813559322</v>
      </c>
      <c r="P11" s="2">
        <f t="shared" si="5"/>
        <v>0.25296610169491524</v>
      </c>
      <c r="Q11" s="2">
        <f t="shared" si="6"/>
        <v>0.30355932203389829</v>
      </c>
      <c r="R11" s="2">
        <f t="shared" si="7"/>
        <v>33.728813559322035</v>
      </c>
      <c r="S11" s="2">
        <f t="shared" si="8"/>
        <v>16.864406779661017</v>
      </c>
      <c r="T11" s="2">
        <f t="shared" si="9"/>
        <v>33.728813559322035</v>
      </c>
      <c r="U11" s="2">
        <f t="shared" si="10"/>
        <v>50.593220338983045</v>
      </c>
      <c r="V11" s="2">
        <f t="shared" si="11"/>
        <v>67.457627118644069</v>
      </c>
      <c r="W11" s="2">
        <f t="shared" si="12"/>
        <v>84.322033898305079</v>
      </c>
      <c r="X11" s="2">
        <f t="shared" si="13"/>
        <v>101.18644067796609</v>
      </c>
      <c r="Y11" s="5" t="str">
        <f t="shared" si="14"/>
        <v>1</v>
      </c>
      <c r="Z11" s="5" t="str">
        <f t="shared" si="14"/>
        <v>1</v>
      </c>
      <c r="AA11" s="5" t="str">
        <f t="shared" si="14"/>
        <v>1</v>
      </c>
      <c r="AB11" s="5" t="str">
        <f t="shared" si="14"/>
        <v>1</v>
      </c>
      <c r="AC11" s="5" t="str">
        <f t="shared" si="14"/>
        <v>1</v>
      </c>
      <c r="AD11" s="5" t="str">
        <f t="shared" si="14"/>
        <v>1</v>
      </c>
      <c r="AE11" s="5" t="str">
        <f t="shared" si="14"/>
        <v>1</v>
      </c>
    </row>
    <row r="12" spans="1:1358" ht="14.4" x14ac:dyDescent="0.3">
      <c r="A12" s="14">
        <v>9</v>
      </c>
      <c r="B12" s="24" t="s">
        <v>114</v>
      </c>
      <c r="C12" s="10">
        <v>27</v>
      </c>
      <c r="D12" s="10">
        <v>43</v>
      </c>
      <c r="E12" s="15">
        <v>365</v>
      </c>
      <c r="F12" s="19">
        <v>1.9900000000000001E-2</v>
      </c>
      <c r="G12" s="10">
        <v>1200</v>
      </c>
      <c r="H12" s="13">
        <v>3.0000000000000001E-3</v>
      </c>
      <c r="I12" s="17">
        <v>10950</v>
      </c>
      <c r="J12" s="22">
        <v>27</v>
      </c>
      <c r="K12" s="18">
        <f t="shared" si="0"/>
        <v>0.49981395348837215</v>
      </c>
      <c r="L12" s="2">
        <f t="shared" si="1"/>
        <v>9.2558139534883718E-2</v>
      </c>
      <c r="M12" s="2">
        <f t="shared" si="2"/>
        <v>0.18511627906976744</v>
      </c>
      <c r="N12" s="2">
        <f t="shared" si="3"/>
        <v>0.2776744186046512</v>
      </c>
      <c r="O12" s="2">
        <f t="shared" si="4"/>
        <v>0.37023255813953487</v>
      </c>
      <c r="P12" s="2">
        <f t="shared" si="5"/>
        <v>0.46279069767441866</v>
      </c>
      <c r="Q12" s="2">
        <f t="shared" si="6"/>
        <v>0.55534883720930239</v>
      </c>
      <c r="R12" s="2">
        <f t="shared" si="7"/>
        <v>166.6046511627907</v>
      </c>
      <c r="S12" s="2">
        <f t="shared" si="8"/>
        <v>30.852713178294572</v>
      </c>
      <c r="T12" s="2">
        <f t="shared" si="9"/>
        <v>61.705426356589143</v>
      </c>
      <c r="U12" s="2">
        <f t="shared" si="10"/>
        <v>92.558139534883736</v>
      </c>
      <c r="V12" s="2">
        <f t="shared" si="11"/>
        <v>123.41085271317829</v>
      </c>
      <c r="W12" s="2">
        <f t="shared" si="12"/>
        <v>154.26356589147289</v>
      </c>
      <c r="X12" s="2">
        <f t="shared" si="13"/>
        <v>185.11627906976747</v>
      </c>
      <c r="Y12" s="5" t="str">
        <f t="shared" si="14"/>
        <v>1</v>
      </c>
      <c r="Z12" s="5" t="str">
        <f t="shared" si="14"/>
        <v>1</v>
      </c>
      <c r="AA12" s="5" t="str">
        <f t="shared" si="14"/>
        <v>1</v>
      </c>
      <c r="AB12" s="5" t="str">
        <f t="shared" si="14"/>
        <v>1</v>
      </c>
      <c r="AC12" s="5" t="str">
        <f t="shared" si="14"/>
        <v>1</v>
      </c>
      <c r="AD12" s="5" t="str">
        <f t="shared" si="14"/>
        <v>1</v>
      </c>
      <c r="AE12" s="5" t="str">
        <f t="shared" si="14"/>
        <v>1</v>
      </c>
    </row>
    <row r="13" spans="1:1358" ht="14.4" x14ac:dyDescent="0.3">
      <c r="A13" s="14">
        <v>10</v>
      </c>
      <c r="B13" s="24" t="s">
        <v>116</v>
      </c>
      <c r="C13" s="10">
        <v>27</v>
      </c>
      <c r="D13" s="10">
        <v>43</v>
      </c>
      <c r="E13" s="15">
        <v>365</v>
      </c>
      <c r="F13" s="19">
        <v>1.9900000000000001E-2</v>
      </c>
      <c r="G13" s="10">
        <v>1200</v>
      </c>
      <c r="H13" s="13">
        <v>3.0000000000000001E-3</v>
      </c>
      <c r="I13" s="17">
        <v>10950</v>
      </c>
      <c r="J13" s="22">
        <v>27</v>
      </c>
      <c r="K13" s="18">
        <f t="shared" si="0"/>
        <v>0.49981395348837215</v>
      </c>
      <c r="L13" s="2">
        <f t="shared" si="1"/>
        <v>9.2558139534883718E-2</v>
      </c>
      <c r="M13" s="2">
        <f t="shared" si="2"/>
        <v>0.18511627906976744</v>
      </c>
      <c r="N13" s="2">
        <f t="shared" si="3"/>
        <v>0.2776744186046512</v>
      </c>
      <c r="O13" s="2">
        <f t="shared" si="4"/>
        <v>0.37023255813953487</v>
      </c>
      <c r="P13" s="2">
        <f t="shared" si="5"/>
        <v>0.46279069767441866</v>
      </c>
      <c r="Q13" s="2">
        <f t="shared" si="6"/>
        <v>0.55534883720930239</v>
      </c>
      <c r="R13" s="2">
        <f t="shared" si="7"/>
        <v>166.6046511627907</v>
      </c>
      <c r="S13" s="2">
        <f t="shared" si="8"/>
        <v>30.852713178294572</v>
      </c>
      <c r="T13" s="2">
        <f t="shared" si="9"/>
        <v>61.705426356589143</v>
      </c>
      <c r="U13" s="2">
        <f t="shared" si="10"/>
        <v>92.558139534883736</v>
      </c>
      <c r="V13" s="2">
        <f t="shared" si="11"/>
        <v>123.41085271317829</v>
      </c>
      <c r="W13" s="2">
        <f t="shared" si="12"/>
        <v>154.26356589147289</v>
      </c>
      <c r="X13" s="2">
        <f t="shared" si="13"/>
        <v>185.11627906976747</v>
      </c>
      <c r="Y13" s="5" t="str">
        <f t="shared" si="14"/>
        <v>1</v>
      </c>
      <c r="Z13" s="5" t="str">
        <f t="shared" si="14"/>
        <v>1</v>
      </c>
      <c r="AA13" s="5" t="str">
        <f t="shared" si="14"/>
        <v>1</v>
      </c>
      <c r="AB13" s="5" t="str">
        <f t="shared" si="14"/>
        <v>1</v>
      </c>
      <c r="AC13" s="5" t="str">
        <f t="shared" si="14"/>
        <v>1</v>
      </c>
      <c r="AD13" s="5" t="str">
        <f t="shared" si="14"/>
        <v>1</v>
      </c>
      <c r="AE13" s="5" t="str">
        <f t="shared" si="14"/>
        <v>1</v>
      </c>
    </row>
    <row r="14" spans="1:1358" ht="14.4" x14ac:dyDescent="0.3">
      <c r="A14" s="14">
        <v>11</v>
      </c>
      <c r="B14" s="24" t="s">
        <v>134</v>
      </c>
      <c r="C14" s="10">
        <v>27</v>
      </c>
      <c r="D14" s="10">
        <v>43</v>
      </c>
      <c r="E14" s="15">
        <v>365</v>
      </c>
      <c r="F14" s="19">
        <v>1.9900000000000001E-2</v>
      </c>
      <c r="G14" s="10">
        <v>1200</v>
      </c>
      <c r="H14" s="13">
        <v>3.0000000000000001E-3</v>
      </c>
      <c r="I14" s="17">
        <v>10950</v>
      </c>
      <c r="J14" s="22">
        <v>27</v>
      </c>
      <c r="K14" s="18">
        <f t="shared" si="0"/>
        <v>0.49981395348837215</v>
      </c>
      <c r="L14" s="2">
        <f t="shared" si="1"/>
        <v>9.2558139534883718E-2</v>
      </c>
      <c r="M14" s="2">
        <f t="shared" si="2"/>
        <v>0.18511627906976744</v>
      </c>
      <c r="N14" s="2">
        <f t="shared" si="3"/>
        <v>0.2776744186046512</v>
      </c>
      <c r="O14" s="2">
        <f t="shared" si="4"/>
        <v>0.37023255813953487</v>
      </c>
      <c r="P14" s="2">
        <f t="shared" si="5"/>
        <v>0.46279069767441866</v>
      </c>
      <c r="Q14" s="2">
        <f t="shared" si="6"/>
        <v>0.55534883720930239</v>
      </c>
      <c r="R14" s="2">
        <f t="shared" si="7"/>
        <v>166.6046511627907</v>
      </c>
      <c r="S14" s="2">
        <f t="shared" si="8"/>
        <v>30.852713178294572</v>
      </c>
      <c r="T14" s="2">
        <f t="shared" si="9"/>
        <v>61.705426356589143</v>
      </c>
      <c r="U14" s="2">
        <f t="shared" si="10"/>
        <v>92.558139534883736</v>
      </c>
      <c r="V14" s="2">
        <f t="shared" si="11"/>
        <v>123.41085271317829</v>
      </c>
      <c r="W14" s="2">
        <f t="shared" si="12"/>
        <v>154.26356589147289</v>
      </c>
      <c r="X14" s="2">
        <f t="shared" si="13"/>
        <v>185.11627906976747</v>
      </c>
      <c r="Y14" s="5" t="str">
        <f t="shared" si="14"/>
        <v>1</v>
      </c>
      <c r="Z14" s="5" t="str">
        <f t="shared" si="14"/>
        <v>1</v>
      </c>
      <c r="AA14" s="5" t="str">
        <f t="shared" si="14"/>
        <v>1</v>
      </c>
      <c r="AB14" s="5" t="str">
        <f t="shared" si="14"/>
        <v>1</v>
      </c>
      <c r="AC14" s="5" t="str">
        <f t="shared" si="14"/>
        <v>1</v>
      </c>
      <c r="AD14" s="5" t="str">
        <f t="shared" si="14"/>
        <v>1</v>
      </c>
      <c r="AE14" s="5" t="str">
        <f t="shared" si="14"/>
        <v>1</v>
      </c>
    </row>
    <row r="15" spans="1:1358" ht="14.4" x14ac:dyDescent="0.3">
      <c r="A15" s="14">
        <v>12</v>
      </c>
      <c r="B15" s="24" t="s">
        <v>136</v>
      </c>
      <c r="C15" s="10">
        <v>27</v>
      </c>
      <c r="D15" s="10">
        <v>43</v>
      </c>
      <c r="E15" s="15">
        <v>365</v>
      </c>
      <c r="F15" s="19">
        <v>3.2000000000000002E-3</v>
      </c>
      <c r="G15" s="10">
        <v>1200</v>
      </c>
      <c r="H15" s="13">
        <v>3.0000000000000001E-3</v>
      </c>
      <c r="I15" s="17">
        <v>10950</v>
      </c>
      <c r="J15" s="22">
        <v>27</v>
      </c>
      <c r="K15" s="18">
        <f t="shared" si="0"/>
        <v>8.0372093023255819E-2</v>
      </c>
      <c r="L15" s="2">
        <f t="shared" si="1"/>
        <v>1.4883720930232561E-2</v>
      </c>
      <c r="M15" s="2">
        <f t="shared" si="2"/>
        <v>2.9767441860465121E-2</v>
      </c>
      <c r="N15" s="2">
        <f t="shared" si="3"/>
        <v>4.4651162790697682E-2</v>
      </c>
      <c r="O15" s="2">
        <f t="shared" si="4"/>
        <v>5.9534883720930243E-2</v>
      </c>
      <c r="P15" s="2">
        <f t="shared" si="5"/>
        <v>7.441860465116279E-2</v>
      </c>
      <c r="Q15" s="2">
        <f t="shared" si="6"/>
        <v>8.9302325581395364E-2</v>
      </c>
      <c r="R15" s="2">
        <f t="shared" si="7"/>
        <v>26.790697674418606</v>
      </c>
      <c r="S15" s="2">
        <f t="shared" si="8"/>
        <v>4.9612403100775202</v>
      </c>
      <c r="T15" s="2">
        <f t="shared" si="9"/>
        <v>9.9224806201550404</v>
      </c>
      <c r="U15" s="2">
        <f t="shared" si="10"/>
        <v>14.88372093023256</v>
      </c>
      <c r="V15" s="2">
        <f t="shared" si="11"/>
        <v>19.844961240310081</v>
      </c>
      <c r="W15" s="2">
        <f t="shared" si="12"/>
        <v>24.806201550387595</v>
      </c>
      <c r="X15" s="2">
        <f t="shared" si="13"/>
        <v>29.767441860465119</v>
      </c>
      <c r="Y15" s="5" t="str">
        <f t="shared" si="14"/>
        <v>1</v>
      </c>
      <c r="Z15" s="5" t="str">
        <f t="shared" si="14"/>
        <v>1</v>
      </c>
      <c r="AA15" s="5" t="str">
        <f t="shared" si="14"/>
        <v>1</v>
      </c>
      <c r="AB15" s="5" t="str">
        <f t="shared" si="14"/>
        <v>1</v>
      </c>
      <c r="AC15" s="5" t="str">
        <f t="shared" si="14"/>
        <v>1</v>
      </c>
      <c r="AD15" s="5" t="str">
        <f t="shared" si="14"/>
        <v>1</v>
      </c>
      <c r="AE15" s="5" t="str">
        <f t="shared" si="14"/>
        <v>1</v>
      </c>
    </row>
    <row r="16" spans="1:1358" ht="14.4" x14ac:dyDescent="0.3">
      <c r="A16" s="14">
        <v>13</v>
      </c>
      <c r="B16" s="24" t="s">
        <v>145</v>
      </c>
      <c r="C16" s="10">
        <v>27</v>
      </c>
      <c r="D16" s="10">
        <v>65</v>
      </c>
      <c r="E16" s="15">
        <v>365</v>
      </c>
      <c r="F16" s="19">
        <v>1.8E-3</v>
      </c>
      <c r="G16" s="10">
        <v>1200</v>
      </c>
      <c r="H16" s="13">
        <v>3.0000000000000001E-3</v>
      </c>
      <c r="I16" s="17">
        <v>10950</v>
      </c>
      <c r="J16" s="22">
        <v>27</v>
      </c>
      <c r="K16" s="18">
        <f t="shared" si="0"/>
        <v>2.9907692307692312E-2</v>
      </c>
      <c r="L16" s="2">
        <f t="shared" si="1"/>
        <v>5.538461538461539E-3</v>
      </c>
      <c r="M16" s="2">
        <f t="shared" si="2"/>
        <v>1.1076923076923078E-2</v>
      </c>
      <c r="N16" s="2">
        <f t="shared" si="3"/>
        <v>1.6615384615384619E-2</v>
      </c>
      <c r="O16" s="2">
        <f t="shared" si="4"/>
        <v>2.2153846153846156E-2</v>
      </c>
      <c r="P16" s="2">
        <f t="shared" si="5"/>
        <v>2.7692307692307697E-2</v>
      </c>
      <c r="Q16" s="2">
        <f t="shared" si="6"/>
        <v>3.3230769230769237E-2</v>
      </c>
      <c r="R16" s="2">
        <f t="shared" si="7"/>
        <v>9.9692307692307711</v>
      </c>
      <c r="S16" s="2">
        <f t="shared" si="8"/>
        <v>1.8461538461538463</v>
      </c>
      <c r="T16" s="2">
        <f t="shared" si="9"/>
        <v>3.6923076923076925</v>
      </c>
      <c r="U16" s="2">
        <f t="shared" si="10"/>
        <v>5.5384615384615392</v>
      </c>
      <c r="V16" s="2">
        <f t="shared" si="11"/>
        <v>7.384615384615385</v>
      </c>
      <c r="W16" s="2">
        <f t="shared" si="12"/>
        <v>9.2307692307692317</v>
      </c>
      <c r="X16" s="2">
        <f t="shared" si="13"/>
        <v>11.076923076923078</v>
      </c>
      <c r="Y16" s="5" t="str">
        <f t="shared" si="14"/>
        <v>1</v>
      </c>
      <c r="Z16" s="5" t="str">
        <f t="shared" si="14"/>
        <v>1</v>
      </c>
      <c r="AA16" s="5" t="str">
        <f t="shared" si="14"/>
        <v>1</v>
      </c>
      <c r="AB16" s="5" t="str">
        <f t="shared" si="14"/>
        <v>1</v>
      </c>
      <c r="AC16" s="5" t="str">
        <f t="shared" si="14"/>
        <v>1</v>
      </c>
      <c r="AD16" s="5" t="str">
        <f t="shared" si="14"/>
        <v>1</v>
      </c>
      <c r="AE16" s="5" t="str">
        <f t="shared" si="14"/>
        <v>1</v>
      </c>
    </row>
    <row r="17" spans="1:31" ht="14.4" x14ac:dyDescent="0.3">
      <c r="A17" s="14">
        <v>14</v>
      </c>
      <c r="B17" s="24" t="s">
        <v>155</v>
      </c>
      <c r="C17" s="10">
        <v>27</v>
      </c>
      <c r="D17" s="10">
        <v>43</v>
      </c>
      <c r="E17" s="15">
        <v>365</v>
      </c>
      <c r="F17" s="19">
        <v>1.8E-3</v>
      </c>
      <c r="G17" s="10">
        <v>1200</v>
      </c>
      <c r="H17" s="13">
        <v>3.0000000000000001E-3</v>
      </c>
      <c r="I17" s="17">
        <v>10950</v>
      </c>
      <c r="J17" s="22">
        <v>27</v>
      </c>
      <c r="K17" s="18">
        <f t="shared" si="0"/>
        <v>4.5209302325581402E-2</v>
      </c>
      <c r="L17" s="2">
        <f t="shared" si="1"/>
        <v>8.3720930232558145E-3</v>
      </c>
      <c r="M17" s="2">
        <f t="shared" si="2"/>
        <v>1.6744186046511629E-2</v>
      </c>
      <c r="N17" s="2">
        <f t="shared" si="3"/>
        <v>2.5116279069767447E-2</v>
      </c>
      <c r="O17" s="2">
        <f t="shared" si="4"/>
        <v>3.3488372093023258E-2</v>
      </c>
      <c r="P17" s="2">
        <f t="shared" si="5"/>
        <v>4.1860465116279076E-2</v>
      </c>
      <c r="Q17" s="2">
        <f t="shared" si="6"/>
        <v>5.0232558139534894E-2</v>
      </c>
      <c r="R17" s="2">
        <f t="shared" si="7"/>
        <v>15.069767441860467</v>
      </c>
      <c r="S17" s="2">
        <f t="shared" si="8"/>
        <v>2.7906976744186047</v>
      </c>
      <c r="T17" s="2">
        <f t="shared" si="9"/>
        <v>5.5813953488372094</v>
      </c>
      <c r="U17" s="2">
        <f t="shared" si="10"/>
        <v>8.3720930232558164</v>
      </c>
      <c r="V17" s="2">
        <f t="shared" si="11"/>
        <v>11.162790697674419</v>
      </c>
      <c r="W17" s="2">
        <f t="shared" si="12"/>
        <v>13.953488372093025</v>
      </c>
      <c r="X17" s="2">
        <f t="shared" si="13"/>
        <v>16.744186046511633</v>
      </c>
      <c r="Y17" s="5" t="str">
        <f t="shared" si="14"/>
        <v>1</v>
      </c>
      <c r="Z17" s="5" t="str">
        <f t="shared" si="14"/>
        <v>1</v>
      </c>
      <c r="AA17" s="5" t="str">
        <f t="shared" si="14"/>
        <v>1</v>
      </c>
      <c r="AB17" s="5" t="str">
        <f t="shared" si="14"/>
        <v>1</v>
      </c>
      <c r="AC17" s="5" t="str">
        <f t="shared" si="14"/>
        <v>1</v>
      </c>
      <c r="AD17" s="5" t="str">
        <f t="shared" si="14"/>
        <v>1</v>
      </c>
      <c r="AE17" s="5" t="str">
        <f t="shared" si="14"/>
        <v>1</v>
      </c>
    </row>
    <row r="18" spans="1:31" ht="14.4" x14ac:dyDescent="0.3">
      <c r="A18" s="14">
        <v>15</v>
      </c>
      <c r="B18" s="24" t="s">
        <v>105</v>
      </c>
      <c r="C18" s="10">
        <v>28</v>
      </c>
      <c r="D18" s="10">
        <v>70</v>
      </c>
      <c r="E18" s="15">
        <v>365</v>
      </c>
      <c r="F18" s="19">
        <v>1.4E-3</v>
      </c>
      <c r="G18" s="10">
        <v>900</v>
      </c>
      <c r="H18" s="13">
        <v>3.0000000000000001E-3</v>
      </c>
      <c r="I18" s="17">
        <v>10950</v>
      </c>
      <c r="J18" s="22">
        <v>28</v>
      </c>
      <c r="K18" s="18">
        <f t="shared" si="0"/>
        <v>1.6799999999999999E-2</v>
      </c>
      <c r="L18" s="2">
        <f t="shared" si="1"/>
        <v>3.0000000000000001E-3</v>
      </c>
      <c r="M18" s="2">
        <f t="shared" si="2"/>
        <v>6.0000000000000001E-3</v>
      </c>
      <c r="N18" s="2">
        <f t="shared" si="3"/>
        <v>8.9999999999999993E-3</v>
      </c>
      <c r="O18" s="2">
        <f t="shared" si="4"/>
        <v>1.2E-2</v>
      </c>
      <c r="P18" s="2">
        <f t="shared" si="5"/>
        <v>1.4999999999999999E-2</v>
      </c>
      <c r="Q18" s="2">
        <f t="shared" si="6"/>
        <v>1.7999999999999999E-2</v>
      </c>
      <c r="R18" s="2">
        <f t="shared" si="7"/>
        <v>5.6</v>
      </c>
      <c r="S18" s="2">
        <f t="shared" si="8"/>
        <v>1</v>
      </c>
      <c r="T18" s="2">
        <f t="shared" si="9"/>
        <v>2</v>
      </c>
      <c r="U18" s="2">
        <f t="shared" si="10"/>
        <v>2.9999999999999996</v>
      </c>
      <c r="V18" s="2">
        <f t="shared" si="11"/>
        <v>4</v>
      </c>
      <c r="W18" s="2">
        <f t="shared" si="12"/>
        <v>5</v>
      </c>
      <c r="X18" s="2">
        <f t="shared" si="13"/>
        <v>5.9999999999999991</v>
      </c>
      <c r="Y18" s="5" t="str">
        <f t="shared" si="14"/>
        <v>1</v>
      </c>
      <c r="Z18" s="5" t="str">
        <f t="shared" si="14"/>
        <v>2</v>
      </c>
      <c r="AA18" s="5" t="str">
        <f t="shared" si="14"/>
        <v>1</v>
      </c>
      <c r="AB18" s="5" t="str">
        <f t="shared" si="14"/>
        <v>1</v>
      </c>
      <c r="AC18" s="5" t="str">
        <f t="shared" si="14"/>
        <v>1</v>
      </c>
      <c r="AD18" s="5" t="str">
        <f t="shared" si="14"/>
        <v>1</v>
      </c>
      <c r="AE18" s="5" t="str">
        <f t="shared" si="14"/>
        <v>1</v>
      </c>
    </row>
    <row r="19" spans="1:31" ht="14.4" x14ac:dyDescent="0.3">
      <c r="A19" s="14">
        <v>16</v>
      </c>
      <c r="B19" s="24" t="s">
        <v>149</v>
      </c>
      <c r="C19" s="10">
        <v>28</v>
      </c>
      <c r="D19" s="10">
        <v>70</v>
      </c>
      <c r="E19" s="15">
        <v>365</v>
      </c>
      <c r="F19" s="19">
        <v>3.0999999999999999E-3</v>
      </c>
      <c r="G19" s="10">
        <v>900</v>
      </c>
      <c r="H19" s="13">
        <v>3.0000000000000001E-3</v>
      </c>
      <c r="I19" s="17">
        <v>10950</v>
      </c>
      <c r="J19" s="22">
        <v>28</v>
      </c>
      <c r="K19" s="18">
        <f t="shared" si="0"/>
        <v>3.7199999999999997E-2</v>
      </c>
      <c r="L19" s="2">
        <f t="shared" si="1"/>
        <v>6.6428571428571431E-3</v>
      </c>
      <c r="M19" s="2">
        <f t="shared" si="2"/>
        <v>1.3285714285714286E-2</v>
      </c>
      <c r="N19" s="2">
        <f t="shared" si="3"/>
        <v>1.9928571428571427E-2</v>
      </c>
      <c r="O19" s="2">
        <f t="shared" si="4"/>
        <v>2.6571428571428572E-2</v>
      </c>
      <c r="P19" s="2">
        <f t="shared" si="5"/>
        <v>3.3214285714285717E-2</v>
      </c>
      <c r="Q19" s="2">
        <f t="shared" si="6"/>
        <v>3.9857142857142855E-2</v>
      </c>
      <c r="R19" s="2">
        <f t="shared" si="7"/>
        <v>12.399999999999999</v>
      </c>
      <c r="S19" s="2">
        <f t="shared" si="8"/>
        <v>2.2142857142857144</v>
      </c>
      <c r="T19" s="2">
        <f t="shared" si="9"/>
        <v>4.4285714285714288</v>
      </c>
      <c r="U19" s="2">
        <f t="shared" si="10"/>
        <v>6.6428571428571423</v>
      </c>
      <c r="V19" s="2">
        <f t="shared" si="11"/>
        <v>8.8571428571428577</v>
      </c>
      <c r="W19" s="2">
        <f t="shared" si="12"/>
        <v>11.071428571428573</v>
      </c>
      <c r="X19" s="2">
        <f t="shared" si="13"/>
        <v>13.285714285714285</v>
      </c>
      <c r="Y19" s="5" t="str">
        <f t="shared" si="14"/>
        <v>1</v>
      </c>
      <c r="Z19" s="5" t="str">
        <f t="shared" si="14"/>
        <v>1</v>
      </c>
      <c r="AA19" s="5" t="str">
        <f t="shared" si="14"/>
        <v>1</v>
      </c>
      <c r="AB19" s="5" t="str">
        <f t="shared" si="14"/>
        <v>1</v>
      </c>
      <c r="AC19" s="5" t="str">
        <f t="shared" si="14"/>
        <v>1</v>
      </c>
      <c r="AD19" s="5" t="str">
        <f t="shared" si="14"/>
        <v>1</v>
      </c>
      <c r="AE19" s="5" t="str">
        <f t="shared" si="14"/>
        <v>1</v>
      </c>
    </row>
    <row r="20" spans="1:31" s="35" customFormat="1" ht="14.4" x14ac:dyDescent="0.3">
      <c r="A20" s="36">
        <v>17</v>
      </c>
      <c r="B20" s="28" t="s">
        <v>110</v>
      </c>
      <c r="C20" s="29">
        <v>29</v>
      </c>
      <c r="D20" s="29">
        <v>69</v>
      </c>
      <c r="E20" s="37">
        <v>365</v>
      </c>
      <c r="F20" s="38">
        <v>2.2000000000000001E-3</v>
      </c>
      <c r="G20" s="29">
        <v>1200</v>
      </c>
      <c r="H20" s="39">
        <v>3.0000000000000001E-3</v>
      </c>
      <c r="I20" s="40">
        <v>10950</v>
      </c>
      <c r="J20" s="26">
        <v>30</v>
      </c>
      <c r="K20" s="32">
        <f t="shared" si="0"/>
        <v>3.826086956521739E-2</v>
      </c>
      <c r="L20" s="33">
        <f t="shared" si="1"/>
        <v>6.3768115942028983E-3</v>
      </c>
      <c r="M20" s="33">
        <f t="shared" si="2"/>
        <v>1.2753623188405797E-2</v>
      </c>
      <c r="N20" s="33">
        <f t="shared" si="3"/>
        <v>1.9130434782608695E-2</v>
      </c>
      <c r="O20" s="33">
        <f t="shared" si="4"/>
        <v>2.5507246376811593E-2</v>
      </c>
      <c r="P20" s="33">
        <f t="shared" si="5"/>
        <v>3.1884057971014491E-2</v>
      </c>
      <c r="Q20" s="33">
        <f t="shared" si="6"/>
        <v>3.826086956521739E-2</v>
      </c>
      <c r="R20" s="33">
        <f t="shared" si="7"/>
        <v>12.753623188405797</v>
      </c>
      <c r="S20" s="33">
        <f t="shared" si="8"/>
        <v>2.1256038647342992</v>
      </c>
      <c r="T20" s="33">
        <f t="shared" si="9"/>
        <v>4.2512077294685984</v>
      </c>
      <c r="U20" s="33">
        <f t="shared" si="10"/>
        <v>6.3768115942028984</v>
      </c>
      <c r="V20" s="33">
        <f t="shared" si="11"/>
        <v>8.5024154589371967</v>
      </c>
      <c r="W20" s="33">
        <f t="shared" si="12"/>
        <v>10.628019323671497</v>
      </c>
      <c r="X20" s="33">
        <f t="shared" si="13"/>
        <v>12.753623188405797</v>
      </c>
      <c r="Y20" s="34" t="str">
        <f t="shared" si="14"/>
        <v>1</v>
      </c>
      <c r="Z20" s="34" t="str">
        <f t="shared" si="14"/>
        <v>1</v>
      </c>
      <c r="AA20" s="34" t="str">
        <f t="shared" si="14"/>
        <v>1</v>
      </c>
      <c r="AB20" s="34" t="str">
        <f t="shared" si="14"/>
        <v>1</v>
      </c>
      <c r="AC20" s="34" t="str">
        <f t="shared" si="14"/>
        <v>1</v>
      </c>
      <c r="AD20" s="34" t="str">
        <f t="shared" si="14"/>
        <v>1</v>
      </c>
      <c r="AE20" s="34" t="str">
        <f t="shared" si="14"/>
        <v>1</v>
      </c>
    </row>
    <row r="21" spans="1:31" s="35" customFormat="1" ht="14.4" x14ac:dyDescent="0.3">
      <c r="A21" s="36">
        <v>18</v>
      </c>
      <c r="B21" s="28" t="s">
        <v>197</v>
      </c>
      <c r="C21" s="29">
        <v>29</v>
      </c>
      <c r="D21" s="29">
        <v>69</v>
      </c>
      <c r="E21" s="37">
        <v>365</v>
      </c>
      <c r="F21" s="38">
        <v>2.2000000000000001E-3</v>
      </c>
      <c r="G21" s="29">
        <v>1200</v>
      </c>
      <c r="H21" s="39">
        <v>3.0000000000000001E-3</v>
      </c>
      <c r="I21" s="40">
        <v>10950</v>
      </c>
      <c r="J21" s="26">
        <v>30</v>
      </c>
      <c r="K21" s="32">
        <f t="shared" si="0"/>
        <v>3.826086956521739E-2</v>
      </c>
      <c r="L21" s="33">
        <f t="shared" si="1"/>
        <v>6.3768115942028983E-3</v>
      </c>
      <c r="M21" s="33">
        <f t="shared" si="2"/>
        <v>1.2753623188405797E-2</v>
      </c>
      <c r="N21" s="33">
        <f t="shared" si="3"/>
        <v>1.9130434782608695E-2</v>
      </c>
      <c r="O21" s="33">
        <f t="shared" si="4"/>
        <v>2.5507246376811593E-2</v>
      </c>
      <c r="P21" s="33">
        <f t="shared" si="5"/>
        <v>3.1884057971014491E-2</v>
      </c>
      <c r="Q21" s="33">
        <f t="shared" si="6"/>
        <v>3.826086956521739E-2</v>
      </c>
      <c r="R21" s="33">
        <f t="shared" si="7"/>
        <v>12.753623188405797</v>
      </c>
      <c r="S21" s="33">
        <f t="shared" si="8"/>
        <v>2.1256038647342992</v>
      </c>
      <c r="T21" s="33">
        <f t="shared" si="9"/>
        <v>4.2512077294685984</v>
      </c>
      <c r="U21" s="33">
        <f t="shared" si="10"/>
        <v>6.3768115942028984</v>
      </c>
      <c r="V21" s="33">
        <f t="shared" si="11"/>
        <v>8.5024154589371967</v>
      </c>
      <c r="W21" s="33">
        <f t="shared" si="12"/>
        <v>10.628019323671497</v>
      </c>
      <c r="X21" s="33">
        <f t="shared" si="13"/>
        <v>12.753623188405797</v>
      </c>
      <c r="Y21" s="34" t="str">
        <f t="shared" si="14"/>
        <v>1</v>
      </c>
      <c r="Z21" s="34" t="str">
        <f t="shared" si="14"/>
        <v>1</v>
      </c>
      <c r="AA21" s="34" t="str">
        <f t="shared" si="14"/>
        <v>1</v>
      </c>
      <c r="AB21" s="34" t="str">
        <f t="shared" si="14"/>
        <v>1</v>
      </c>
      <c r="AC21" s="34" t="str">
        <f t="shared" si="14"/>
        <v>1</v>
      </c>
      <c r="AD21" s="34" t="str">
        <f t="shared" si="14"/>
        <v>1</v>
      </c>
      <c r="AE21" s="34" t="str">
        <f t="shared" si="14"/>
        <v>1</v>
      </c>
    </row>
    <row r="22" spans="1:31" ht="14.4" x14ac:dyDescent="0.3">
      <c r="A22" s="14">
        <v>19</v>
      </c>
      <c r="B22" s="24" t="s">
        <v>113</v>
      </c>
      <c r="C22" s="10">
        <v>30</v>
      </c>
      <c r="D22" s="10">
        <v>58</v>
      </c>
      <c r="E22" s="15">
        <v>365</v>
      </c>
      <c r="F22" s="19">
        <v>6.3E-3</v>
      </c>
      <c r="G22" s="10">
        <v>1200</v>
      </c>
      <c r="H22" s="13">
        <v>3.0000000000000001E-3</v>
      </c>
      <c r="I22" s="17">
        <v>10950</v>
      </c>
      <c r="J22" s="22">
        <v>30</v>
      </c>
      <c r="K22" s="18">
        <f t="shared" si="0"/>
        <v>0.13034482758620689</v>
      </c>
      <c r="L22" s="2">
        <f t="shared" si="1"/>
        <v>2.1724137931034483E-2</v>
      </c>
      <c r="M22" s="2">
        <f t="shared" si="2"/>
        <v>4.3448275862068966E-2</v>
      </c>
      <c r="N22" s="2">
        <f t="shared" si="3"/>
        <v>6.5172413793103443E-2</v>
      </c>
      <c r="O22" s="2">
        <f t="shared" si="4"/>
        <v>8.6896551724137933E-2</v>
      </c>
      <c r="P22" s="2">
        <f t="shared" si="5"/>
        <v>0.10862068965517241</v>
      </c>
      <c r="Q22" s="2">
        <f t="shared" si="6"/>
        <v>0.13034482758620689</v>
      </c>
      <c r="R22" s="2">
        <f t="shared" si="7"/>
        <v>43.448275862068961</v>
      </c>
      <c r="S22" s="2">
        <f t="shared" si="8"/>
        <v>7.2413793103448274</v>
      </c>
      <c r="T22" s="2">
        <f t="shared" si="9"/>
        <v>14.482758620689655</v>
      </c>
      <c r="U22" s="2">
        <f t="shared" si="10"/>
        <v>21.72413793103448</v>
      </c>
      <c r="V22" s="2">
        <f t="shared" si="11"/>
        <v>28.96551724137931</v>
      </c>
      <c r="W22" s="2">
        <f t="shared" si="12"/>
        <v>36.206896551724135</v>
      </c>
      <c r="X22" s="2">
        <f t="shared" si="13"/>
        <v>43.448275862068961</v>
      </c>
      <c r="Y22" s="5" t="str">
        <f t="shared" si="14"/>
        <v>1</v>
      </c>
      <c r="Z22" s="5" t="str">
        <f t="shared" si="14"/>
        <v>1</v>
      </c>
      <c r="AA22" s="5" t="str">
        <f t="shared" si="14"/>
        <v>1</v>
      </c>
      <c r="AB22" s="5" t="str">
        <f t="shared" si="14"/>
        <v>1</v>
      </c>
      <c r="AC22" s="5" t="str">
        <f t="shared" si="14"/>
        <v>1</v>
      </c>
      <c r="AD22" s="5" t="str">
        <f t="shared" si="14"/>
        <v>1</v>
      </c>
      <c r="AE22" s="5" t="str">
        <f t="shared" si="14"/>
        <v>1</v>
      </c>
    </row>
    <row r="23" spans="1:31" ht="14.4" x14ac:dyDescent="0.3">
      <c r="A23" s="14">
        <v>20</v>
      </c>
      <c r="B23" s="24" t="s">
        <v>157</v>
      </c>
      <c r="C23" s="10">
        <v>30</v>
      </c>
      <c r="D23" s="10">
        <v>62</v>
      </c>
      <c r="E23" s="15">
        <v>365</v>
      </c>
      <c r="F23" s="19">
        <v>5.9999999999999995E-4</v>
      </c>
      <c r="G23" s="10">
        <v>900</v>
      </c>
      <c r="H23" s="13">
        <v>3.0000000000000001E-3</v>
      </c>
      <c r="I23" s="17">
        <v>10950</v>
      </c>
      <c r="J23" s="22">
        <v>30</v>
      </c>
      <c r="K23" s="18">
        <f t="shared" si="0"/>
        <v>8.7096774193548381E-3</v>
      </c>
      <c r="L23" s="2">
        <f t="shared" si="1"/>
        <v>1.4516129032258061E-3</v>
      </c>
      <c r="M23" s="2">
        <f t="shared" si="2"/>
        <v>2.9032258064516123E-3</v>
      </c>
      <c r="N23" s="2">
        <f t="shared" si="3"/>
        <v>4.354838709677419E-3</v>
      </c>
      <c r="O23" s="2">
        <f t="shared" si="4"/>
        <v>5.8064516129032245E-3</v>
      </c>
      <c r="P23" s="2">
        <f t="shared" si="5"/>
        <v>7.2580645161290308E-3</v>
      </c>
      <c r="Q23" s="2">
        <f t="shared" si="6"/>
        <v>8.7096774193548381E-3</v>
      </c>
      <c r="R23" s="2">
        <f t="shared" si="7"/>
        <v>2.9032258064516125</v>
      </c>
      <c r="S23" s="2">
        <f t="shared" si="8"/>
        <v>0.48387096774193539</v>
      </c>
      <c r="T23" s="2">
        <f t="shared" si="9"/>
        <v>0.96774193548387077</v>
      </c>
      <c r="U23" s="2">
        <f t="shared" si="10"/>
        <v>1.4516129032258063</v>
      </c>
      <c r="V23" s="2">
        <f t="shared" si="11"/>
        <v>1.9354838709677415</v>
      </c>
      <c r="W23" s="2">
        <f t="shared" si="12"/>
        <v>2.419354838709677</v>
      </c>
      <c r="X23" s="2">
        <f t="shared" si="13"/>
        <v>2.9032258064516125</v>
      </c>
      <c r="Y23" s="5" t="str">
        <f t="shared" si="14"/>
        <v>1</v>
      </c>
      <c r="Z23" s="5" t="str">
        <f t="shared" si="14"/>
        <v>2</v>
      </c>
      <c r="AA23" s="5" t="str">
        <f t="shared" si="14"/>
        <v>2</v>
      </c>
      <c r="AB23" s="5" t="str">
        <f t="shared" si="14"/>
        <v>1</v>
      </c>
      <c r="AC23" s="5" t="str">
        <f t="shared" si="14"/>
        <v>1</v>
      </c>
      <c r="AD23" s="5" t="str">
        <f t="shared" si="14"/>
        <v>1</v>
      </c>
      <c r="AE23" s="5" t="str">
        <f t="shared" si="14"/>
        <v>1</v>
      </c>
    </row>
    <row r="24" spans="1:31" ht="14.4" x14ac:dyDescent="0.3">
      <c r="A24" s="14">
        <v>21</v>
      </c>
      <c r="B24" s="24" t="s">
        <v>158</v>
      </c>
      <c r="C24" s="10">
        <v>30</v>
      </c>
      <c r="D24" s="10">
        <v>70</v>
      </c>
      <c r="E24" s="15">
        <v>365</v>
      </c>
      <c r="F24" s="19">
        <v>1.6000000000000001E-3</v>
      </c>
      <c r="G24" s="10">
        <v>900</v>
      </c>
      <c r="H24" s="13">
        <v>3.0000000000000001E-3</v>
      </c>
      <c r="I24" s="17">
        <v>10950</v>
      </c>
      <c r="J24" s="22">
        <v>15</v>
      </c>
      <c r="K24" s="18">
        <f t="shared" si="0"/>
        <v>1.0285714285714285E-2</v>
      </c>
      <c r="L24" s="2">
        <f t="shared" si="1"/>
        <v>3.4285714285714284E-3</v>
      </c>
      <c r="M24" s="2">
        <f t="shared" si="2"/>
        <v>6.8571428571428568E-3</v>
      </c>
      <c r="N24" s="2">
        <f t="shared" si="3"/>
        <v>1.0285714285714285E-2</v>
      </c>
      <c r="O24" s="2">
        <f t="shared" si="4"/>
        <v>1.3714285714285714E-2</v>
      </c>
      <c r="P24" s="2">
        <f t="shared" si="5"/>
        <v>1.7142857142857144E-2</v>
      </c>
      <c r="Q24" s="2">
        <f t="shared" si="6"/>
        <v>2.057142857142857E-2</v>
      </c>
      <c r="R24" s="2">
        <f t="shared" si="7"/>
        <v>3.4285714285714284</v>
      </c>
      <c r="S24" s="2">
        <f t="shared" si="8"/>
        <v>1.1428571428571428</v>
      </c>
      <c r="T24" s="2">
        <f t="shared" si="9"/>
        <v>2.2857142857142856</v>
      </c>
      <c r="U24" s="2">
        <f t="shared" si="10"/>
        <v>3.4285714285714284</v>
      </c>
      <c r="V24" s="2">
        <f t="shared" si="11"/>
        <v>4.5714285714285712</v>
      </c>
      <c r="W24" s="2">
        <f t="shared" si="12"/>
        <v>5.7142857142857144</v>
      </c>
      <c r="X24" s="2">
        <f t="shared" si="13"/>
        <v>6.8571428571428568</v>
      </c>
      <c r="Y24" s="5" t="str">
        <f t="shared" si="14"/>
        <v>1</v>
      </c>
      <c r="Z24" s="5" t="str">
        <f t="shared" si="14"/>
        <v>1</v>
      </c>
      <c r="AA24" s="5" t="str">
        <f t="shared" si="14"/>
        <v>1</v>
      </c>
      <c r="AB24" s="5" t="str">
        <f t="shared" si="14"/>
        <v>1</v>
      </c>
      <c r="AC24" s="5" t="str">
        <f t="shared" si="14"/>
        <v>1</v>
      </c>
      <c r="AD24" s="5" t="str">
        <f t="shared" si="14"/>
        <v>1</v>
      </c>
      <c r="AE24" s="5" t="str">
        <f t="shared" si="14"/>
        <v>1</v>
      </c>
    </row>
    <row r="25" spans="1:31" ht="14.4" x14ac:dyDescent="0.3">
      <c r="A25" s="14">
        <v>22</v>
      </c>
      <c r="B25" s="24" t="s">
        <v>113</v>
      </c>
      <c r="C25" s="10">
        <v>30</v>
      </c>
      <c r="D25" s="10">
        <v>58</v>
      </c>
      <c r="E25" s="15">
        <v>365</v>
      </c>
      <c r="F25" s="19">
        <v>1.6000000000000001E-3</v>
      </c>
      <c r="G25" s="10">
        <v>1200</v>
      </c>
      <c r="H25" s="13">
        <v>3.0000000000000001E-3</v>
      </c>
      <c r="I25" s="17">
        <v>10950</v>
      </c>
      <c r="J25" s="22">
        <v>30</v>
      </c>
      <c r="K25" s="18">
        <f t="shared" si="0"/>
        <v>3.3103448275862077E-2</v>
      </c>
      <c r="L25" s="2">
        <f t="shared" si="1"/>
        <v>5.5172413793103453E-3</v>
      </c>
      <c r="M25" s="2">
        <f t="shared" si="2"/>
        <v>1.1034482758620691E-2</v>
      </c>
      <c r="N25" s="2">
        <f t="shared" si="3"/>
        <v>1.6551724137931038E-2</v>
      </c>
      <c r="O25" s="2">
        <f t="shared" si="4"/>
        <v>2.2068965517241381E-2</v>
      </c>
      <c r="P25" s="2">
        <f t="shared" si="5"/>
        <v>2.7586206896551724E-2</v>
      </c>
      <c r="Q25" s="2">
        <f t="shared" si="6"/>
        <v>3.3103448275862077E-2</v>
      </c>
      <c r="R25" s="2">
        <f t="shared" si="7"/>
        <v>11.034482758620692</v>
      </c>
      <c r="S25" s="2">
        <f t="shared" si="8"/>
        <v>1.8390804597701151</v>
      </c>
      <c r="T25" s="2">
        <f t="shared" si="9"/>
        <v>3.6781609195402303</v>
      </c>
      <c r="U25" s="2">
        <f t="shared" si="10"/>
        <v>5.5172413793103461</v>
      </c>
      <c r="V25" s="2">
        <f t="shared" si="11"/>
        <v>7.3563218390804606</v>
      </c>
      <c r="W25" s="2">
        <f t="shared" si="12"/>
        <v>9.1954022988505741</v>
      </c>
      <c r="X25" s="2">
        <f t="shared" si="13"/>
        <v>11.034482758620692</v>
      </c>
      <c r="Y25" s="5" t="str">
        <f t="shared" si="14"/>
        <v>1</v>
      </c>
      <c r="Z25" s="5" t="str">
        <f t="shared" si="14"/>
        <v>1</v>
      </c>
      <c r="AA25" s="5" t="str">
        <f t="shared" si="14"/>
        <v>1</v>
      </c>
      <c r="AB25" s="5" t="str">
        <f t="shared" si="14"/>
        <v>1</v>
      </c>
      <c r="AC25" s="5" t="str">
        <f t="shared" si="14"/>
        <v>1</v>
      </c>
      <c r="AD25" s="5" t="str">
        <f t="shared" si="14"/>
        <v>1</v>
      </c>
      <c r="AE25" s="5" t="str">
        <f t="shared" si="14"/>
        <v>1</v>
      </c>
    </row>
    <row r="26" spans="1:31" ht="14.4" x14ac:dyDescent="0.3">
      <c r="A26" s="14">
        <v>23</v>
      </c>
      <c r="B26" s="24" t="s">
        <v>129</v>
      </c>
      <c r="C26" s="10">
        <v>30</v>
      </c>
      <c r="D26" s="10">
        <v>70</v>
      </c>
      <c r="E26" s="15">
        <v>365</v>
      </c>
      <c r="F26" s="19">
        <v>2.8E-3</v>
      </c>
      <c r="G26" s="10">
        <v>900</v>
      </c>
      <c r="H26" s="13">
        <v>3.0000000000000001E-3</v>
      </c>
      <c r="I26" s="17">
        <v>10950</v>
      </c>
      <c r="J26" s="22">
        <v>15</v>
      </c>
      <c r="K26" s="18">
        <f t="shared" si="0"/>
        <v>1.7999999999999999E-2</v>
      </c>
      <c r="L26" s="2">
        <f t="shared" si="1"/>
        <v>6.0000000000000001E-3</v>
      </c>
      <c r="M26" s="2">
        <f t="shared" si="2"/>
        <v>1.2E-2</v>
      </c>
      <c r="N26" s="2">
        <f t="shared" si="3"/>
        <v>1.7999999999999999E-2</v>
      </c>
      <c r="O26" s="2">
        <f t="shared" si="4"/>
        <v>2.4E-2</v>
      </c>
      <c r="P26" s="2">
        <f t="shared" si="5"/>
        <v>0.03</v>
      </c>
      <c r="Q26" s="2">
        <f t="shared" si="6"/>
        <v>3.5999999999999997E-2</v>
      </c>
      <c r="R26" s="2">
        <f t="shared" si="7"/>
        <v>5.9999999999999991</v>
      </c>
      <c r="S26" s="2">
        <f t="shared" si="8"/>
        <v>2</v>
      </c>
      <c r="T26" s="2">
        <f t="shared" si="9"/>
        <v>4</v>
      </c>
      <c r="U26" s="2">
        <f t="shared" si="10"/>
        <v>5.9999999999999991</v>
      </c>
      <c r="V26" s="2">
        <f t="shared" si="11"/>
        <v>8</v>
      </c>
      <c r="W26" s="2">
        <f t="shared" si="12"/>
        <v>10</v>
      </c>
      <c r="X26" s="2">
        <f t="shared" si="13"/>
        <v>11.999999999999998</v>
      </c>
      <c r="Y26" s="5" t="str">
        <f t="shared" si="14"/>
        <v>1</v>
      </c>
      <c r="Z26" s="5" t="str">
        <f t="shared" si="14"/>
        <v>1</v>
      </c>
      <c r="AA26" s="5" t="str">
        <f t="shared" si="14"/>
        <v>1</v>
      </c>
      <c r="AB26" s="5" t="str">
        <f t="shared" si="14"/>
        <v>1</v>
      </c>
      <c r="AC26" s="5" t="str">
        <f t="shared" si="14"/>
        <v>1</v>
      </c>
      <c r="AD26" s="5" t="str">
        <f t="shared" si="14"/>
        <v>1</v>
      </c>
      <c r="AE26" s="5" t="str">
        <f t="shared" si="14"/>
        <v>1</v>
      </c>
    </row>
    <row r="27" spans="1:31" ht="14.4" x14ac:dyDescent="0.3">
      <c r="A27" s="14">
        <v>24</v>
      </c>
      <c r="B27" s="24" t="s">
        <v>154</v>
      </c>
      <c r="C27" s="10">
        <v>30</v>
      </c>
      <c r="D27" s="10">
        <v>58</v>
      </c>
      <c r="E27" s="15">
        <v>365</v>
      </c>
      <c r="F27" s="19">
        <v>2.8E-3</v>
      </c>
      <c r="G27" s="10">
        <v>1200</v>
      </c>
      <c r="H27" s="13">
        <v>3.0000000000000001E-3</v>
      </c>
      <c r="I27" s="17">
        <v>10950</v>
      </c>
      <c r="J27" s="22">
        <v>30</v>
      </c>
      <c r="K27" s="18">
        <f t="shared" si="0"/>
        <v>5.793103448275861E-2</v>
      </c>
      <c r="L27" s="2">
        <f t="shared" si="1"/>
        <v>9.6551724137931023E-3</v>
      </c>
      <c r="M27" s="2">
        <f t="shared" si="2"/>
        <v>1.9310344827586205E-2</v>
      </c>
      <c r="N27" s="2">
        <f t="shared" si="3"/>
        <v>2.8965517241379305E-2</v>
      </c>
      <c r="O27" s="2">
        <f t="shared" si="4"/>
        <v>3.8620689655172409E-2</v>
      </c>
      <c r="P27" s="2">
        <f t="shared" si="5"/>
        <v>4.827586206896551E-2</v>
      </c>
      <c r="Q27" s="2">
        <f t="shared" si="6"/>
        <v>5.793103448275861E-2</v>
      </c>
      <c r="R27" s="2">
        <f t="shared" si="7"/>
        <v>19.310344827586203</v>
      </c>
      <c r="S27" s="2">
        <f t="shared" si="8"/>
        <v>3.2183908045977008</v>
      </c>
      <c r="T27" s="2">
        <f t="shared" si="9"/>
        <v>6.4367816091954015</v>
      </c>
      <c r="U27" s="2">
        <f t="shared" si="10"/>
        <v>9.6551724137931014</v>
      </c>
      <c r="V27" s="2">
        <f t="shared" si="11"/>
        <v>12.873563218390803</v>
      </c>
      <c r="W27" s="2">
        <f t="shared" si="12"/>
        <v>16.091954022988503</v>
      </c>
      <c r="X27" s="2">
        <f t="shared" si="13"/>
        <v>19.310344827586203</v>
      </c>
      <c r="Y27" s="5" t="str">
        <f t="shared" si="14"/>
        <v>1</v>
      </c>
      <c r="Z27" s="5" t="str">
        <f t="shared" si="14"/>
        <v>1</v>
      </c>
      <c r="AA27" s="5" t="str">
        <f t="shared" si="14"/>
        <v>1</v>
      </c>
      <c r="AB27" s="5" t="str">
        <f t="shared" si="14"/>
        <v>1</v>
      </c>
      <c r="AC27" s="5" t="str">
        <f t="shared" si="14"/>
        <v>1</v>
      </c>
      <c r="AD27" s="5" t="str">
        <f t="shared" si="14"/>
        <v>1</v>
      </c>
      <c r="AE27" s="5" t="str">
        <f t="shared" si="14"/>
        <v>1</v>
      </c>
    </row>
    <row r="28" spans="1:31" ht="14.4" x14ac:dyDescent="0.3">
      <c r="A28" s="14">
        <v>25</v>
      </c>
      <c r="B28" s="24" t="s">
        <v>138</v>
      </c>
      <c r="C28" s="10">
        <v>32</v>
      </c>
      <c r="D28" s="10">
        <v>40</v>
      </c>
      <c r="E28" s="15">
        <v>365</v>
      </c>
      <c r="F28" s="19">
        <v>2.9999999999999997E-4</v>
      </c>
      <c r="G28" s="10">
        <v>900</v>
      </c>
      <c r="H28" s="13">
        <v>3.0000000000000001E-3</v>
      </c>
      <c r="I28" s="17">
        <v>10950</v>
      </c>
      <c r="J28" s="22">
        <v>22</v>
      </c>
      <c r="K28" s="18">
        <f t="shared" si="0"/>
        <v>4.9499999999999987E-3</v>
      </c>
      <c r="L28" s="2">
        <f t="shared" si="1"/>
        <v>1.1249999999999997E-3</v>
      </c>
      <c r="M28" s="2">
        <f t="shared" si="2"/>
        <v>2.2499999999999994E-3</v>
      </c>
      <c r="N28" s="2">
        <f t="shared" si="3"/>
        <v>3.3749999999999995E-3</v>
      </c>
      <c r="O28" s="2">
        <f t="shared" si="4"/>
        <v>4.4999999999999988E-3</v>
      </c>
      <c r="P28" s="2">
        <f t="shared" si="5"/>
        <v>5.6249999999999989E-3</v>
      </c>
      <c r="Q28" s="2">
        <f t="shared" si="6"/>
        <v>6.7499999999999991E-3</v>
      </c>
      <c r="R28" s="2">
        <f t="shared" si="7"/>
        <v>1.6499999999999995</v>
      </c>
      <c r="S28" s="2">
        <f t="shared" si="8"/>
        <v>0.37499999999999989</v>
      </c>
      <c r="T28" s="2">
        <f t="shared" si="9"/>
        <v>0.74999999999999978</v>
      </c>
      <c r="U28" s="2">
        <f t="shared" si="10"/>
        <v>1.1249999999999998</v>
      </c>
      <c r="V28" s="2">
        <f t="shared" si="11"/>
        <v>1.4999999999999996</v>
      </c>
      <c r="W28" s="2">
        <f t="shared" si="12"/>
        <v>1.8749999999999996</v>
      </c>
      <c r="X28" s="2">
        <f t="shared" si="13"/>
        <v>2.2499999999999996</v>
      </c>
      <c r="Y28" s="5" t="str">
        <f t="shared" si="14"/>
        <v>1</v>
      </c>
      <c r="Z28" s="5" t="str">
        <f t="shared" si="14"/>
        <v>2</v>
      </c>
      <c r="AA28" s="5" t="str">
        <f t="shared" si="14"/>
        <v>2</v>
      </c>
      <c r="AB28" s="5" t="str">
        <f t="shared" si="14"/>
        <v>1</v>
      </c>
      <c r="AC28" s="5" t="str">
        <f t="shared" si="14"/>
        <v>1</v>
      </c>
      <c r="AD28" s="5" t="str">
        <f t="shared" si="14"/>
        <v>1</v>
      </c>
      <c r="AE28" s="5" t="str">
        <f t="shared" si="14"/>
        <v>1</v>
      </c>
    </row>
    <row r="29" spans="1:31" ht="14.4" x14ac:dyDescent="0.3">
      <c r="A29" s="14">
        <v>26</v>
      </c>
      <c r="B29" s="24" t="s">
        <v>159</v>
      </c>
      <c r="C29" s="10">
        <v>32</v>
      </c>
      <c r="D29" s="10">
        <v>39</v>
      </c>
      <c r="E29" s="15">
        <v>365</v>
      </c>
      <c r="F29" s="19">
        <v>2.9999999999999997E-4</v>
      </c>
      <c r="G29" s="10">
        <v>900</v>
      </c>
      <c r="H29" s="13">
        <v>3.0000000000000001E-3</v>
      </c>
      <c r="I29" s="17">
        <v>10950</v>
      </c>
      <c r="J29" s="22">
        <v>32</v>
      </c>
      <c r="K29" s="18">
        <f t="shared" si="0"/>
        <v>7.3846153846153836E-3</v>
      </c>
      <c r="L29" s="2">
        <f t="shared" si="1"/>
        <v>1.1538461538461535E-3</v>
      </c>
      <c r="M29" s="2">
        <f t="shared" si="2"/>
        <v>2.307692307692307E-3</v>
      </c>
      <c r="N29" s="2">
        <f t="shared" si="3"/>
        <v>3.4615384615384612E-3</v>
      </c>
      <c r="O29" s="2">
        <f t="shared" si="4"/>
        <v>4.6153846153846141E-3</v>
      </c>
      <c r="P29" s="2">
        <f t="shared" si="5"/>
        <v>5.7692307692307678E-3</v>
      </c>
      <c r="Q29" s="2">
        <f t="shared" si="6"/>
        <v>6.9230769230769224E-3</v>
      </c>
      <c r="R29" s="2">
        <f t="shared" si="7"/>
        <v>2.4615384615384612</v>
      </c>
      <c r="S29" s="2">
        <f t="shared" si="8"/>
        <v>0.38461538461538453</v>
      </c>
      <c r="T29" s="2">
        <f t="shared" si="9"/>
        <v>0.76923076923076905</v>
      </c>
      <c r="U29" s="2">
        <f t="shared" si="10"/>
        <v>1.1538461538461537</v>
      </c>
      <c r="V29" s="2">
        <f t="shared" si="11"/>
        <v>1.5384615384615381</v>
      </c>
      <c r="W29" s="2">
        <f t="shared" si="12"/>
        <v>1.9230769230769225</v>
      </c>
      <c r="X29" s="2">
        <f t="shared" si="13"/>
        <v>2.3076923076923075</v>
      </c>
      <c r="Y29" s="5" t="str">
        <f t="shared" ref="Y29:AE53" si="15">IF(R29&gt;1,"1","2")</f>
        <v>1</v>
      </c>
      <c r="Z29" s="5" t="str">
        <f t="shared" si="15"/>
        <v>2</v>
      </c>
      <c r="AA29" s="5" t="str">
        <f t="shared" si="15"/>
        <v>2</v>
      </c>
      <c r="AB29" s="5" t="str">
        <f t="shared" si="15"/>
        <v>1</v>
      </c>
      <c r="AC29" s="5" t="str">
        <f t="shared" si="15"/>
        <v>1</v>
      </c>
      <c r="AD29" s="5" t="str">
        <f t="shared" si="15"/>
        <v>1</v>
      </c>
      <c r="AE29" s="5" t="str">
        <f t="shared" si="15"/>
        <v>1</v>
      </c>
    </row>
    <row r="30" spans="1:31" ht="14.4" x14ac:dyDescent="0.3">
      <c r="A30" s="14">
        <v>27</v>
      </c>
      <c r="B30" s="24" t="s">
        <v>160</v>
      </c>
      <c r="C30" s="10">
        <v>32</v>
      </c>
      <c r="D30" s="10">
        <v>67</v>
      </c>
      <c r="E30" s="15">
        <v>365</v>
      </c>
      <c r="F30" s="19">
        <v>1.2999999999999999E-3</v>
      </c>
      <c r="G30" s="10">
        <v>3300</v>
      </c>
      <c r="H30" s="13">
        <v>3.0000000000000001E-3</v>
      </c>
      <c r="I30" s="17">
        <v>10950</v>
      </c>
      <c r="J30" s="22">
        <v>27</v>
      </c>
      <c r="K30" s="18">
        <f t="shared" si="0"/>
        <v>5.762686567164179E-2</v>
      </c>
      <c r="L30" s="2">
        <f t="shared" si="1"/>
        <v>1.0671641791044776E-2</v>
      </c>
      <c r="M30" s="2">
        <f t="shared" si="2"/>
        <v>2.1343283582089551E-2</v>
      </c>
      <c r="N30" s="2">
        <f t="shared" si="3"/>
        <v>3.2014925373134329E-2</v>
      </c>
      <c r="O30" s="2">
        <f t="shared" si="4"/>
        <v>4.2686567164179103E-2</v>
      </c>
      <c r="P30" s="2">
        <f t="shared" si="5"/>
        <v>5.3358208955223883E-2</v>
      </c>
      <c r="Q30" s="2">
        <f t="shared" si="6"/>
        <v>6.4029850746268657E-2</v>
      </c>
      <c r="R30" s="2">
        <f t="shared" si="7"/>
        <v>19.208955223880597</v>
      </c>
      <c r="S30" s="2">
        <f t="shared" si="8"/>
        <v>3.5572139303482584</v>
      </c>
      <c r="T30" s="2">
        <f t="shared" si="9"/>
        <v>7.1144278606965168</v>
      </c>
      <c r="U30" s="2">
        <f t="shared" si="10"/>
        <v>10.671641791044776</v>
      </c>
      <c r="V30" s="2">
        <f t="shared" si="11"/>
        <v>14.228855721393034</v>
      </c>
      <c r="W30" s="2">
        <f t="shared" si="12"/>
        <v>17.786069651741293</v>
      </c>
      <c r="X30" s="2">
        <f t="shared" si="13"/>
        <v>21.343283582089551</v>
      </c>
      <c r="Y30" s="5" t="str">
        <f t="shared" si="15"/>
        <v>1</v>
      </c>
      <c r="Z30" s="5" t="str">
        <f t="shared" si="15"/>
        <v>1</v>
      </c>
      <c r="AA30" s="5" t="str">
        <f t="shared" si="15"/>
        <v>1</v>
      </c>
      <c r="AB30" s="5" t="str">
        <f t="shared" si="15"/>
        <v>1</v>
      </c>
      <c r="AC30" s="5" t="str">
        <f t="shared" si="15"/>
        <v>1</v>
      </c>
      <c r="AD30" s="5" t="str">
        <f t="shared" si="15"/>
        <v>1</v>
      </c>
      <c r="AE30" s="5" t="str">
        <f t="shared" si="15"/>
        <v>1</v>
      </c>
    </row>
    <row r="31" spans="1:31" ht="14.4" x14ac:dyDescent="0.3">
      <c r="A31" s="14">
        <v>28</v>
      </c>
      <c r="B31" s="24" t="s">
        <v>131</v>
      </c>
      <c r="C31" s="10">
        <v>32</v>
      </c>
      <c r="D31" s="10">
        <v>40</v>
      </c>
      <c r="E31" s="15">
        <v>365</v>
      </c>
      <c r="F31" s="19">
        <v>1.2999999999999999E-3</v>
      </c>
      <c r="G31" s="10">
        <v>900</v>
      </c>
      <c r="H31" s="13">
        <v>3.0000000000000001E-3</v>
      </c>
      <c r="I31" s="17">
        <v>10950</v>
      </c>
      <c r="J31" s="22">
        <v>22</v>
      </c>
      <c r="K31" s="18">
        <f t="shared" si="0"/>
        <v>2.1449999999999997E-2</v>
      </c>
      <c r="L31" s="2">
        <f t="shared" si="1"/>
        <v>4.875E-3</v>
      </c>
      <c r="M31" s="2">
        <f t="shared" si="2"/>
        <v>9.75E-3</v>
      </c>
      <c r="N31" s="2">
        <f t="shared" si="3"/>
        <v>1.4624999999999997E-2</v>
      </c>
      <c r="O31" s="2">
        <f t="shared" si="4"/>
        <v>1.95E-2</v>
      </c>
      <c r="P31" s="2">
        <f t="shared" si="5"/>
        <v>2.4374999999999997E-2</v>
      </c>
      <c r="Q31" s="2">
        <f t="shared" si="6"/>
        <v>2.9249999999999995E-2</v>
      </c>
      <c r="R31" s="2">
        <f t="shared" si="7"/>
        <v>7.1499999999999986</v>
      </c>
      <c r="S31" s="2">
        <f t="shared" si="8"/>
        <v>1.625</v>
      </c>
      <c r="T31" s="2">
        <f t="shared" si="9"/>
        <v>3.25</v>
      </c>
      <c r="U31" s="2">
        <f t="shared" si="10"/>
        <v>4.8749999999999991</v>
      </c>
      <c r="V31" s="2">
        <f t="shared" si="11"/>
        <v>6.5</v>
      </c>
      <c r="W31" s="2">
        <f t="shared" si="12"/>
        <v>8.1249999999999982</v>
      </c>
      <c r="X31" s="2">
        <f t="shared" si="13"/>
        <v>9.7499999999999982</v>
      </c>
      <c r="Y31" s="5" t="str">
        <f t="shared" si="15"/>
        <v>1</v>
      </c>
      <c r="Z31" s="5" t="str">
        <f t="shared" si="15"/>
        <v>1</v>
      </c>
      <c r="AA31" s="5" t="str">
        <f t="shared" si="15"/>
        <v>1</v>
      </c>
      <c r="AB31" s="5" t="str">
        <f t="shared" si="15"/>
        <v>1</v>
      </c>
      <c r="AC31" s="5" t="str">
        <f t="shared" si="15"/>
        <v>1</v>
      </c>
      <c r="AD31" s="5" t="str">
        <f t="shared" si="15"/>
        <v>1</v>
      </c>
      <c r="AE31" s="5" t="str">
        <f t="shared" si="15"/>
        <v>1</v>
      </c>
    </row>
    <row r="32" spans="1:31" ht="14.4" x14ac:dyDescent="0.3">
      <c r="A32" s="14">
        <v>29</v>
      </c>
      <c r="B32" s="24" t="s">
        <v>148</v>
      </c>
      <c r="C32" s="10">
        <v>32</v>
      </c>
      <c r="D32" s="10">
        <v>39</v>
      </c>
      <c r="E32" s="15">
        <v>365</v>
      </c>
      <c r="F32" s="19">
        <v>1.2999999999999999E-3</v>
      </c>
      <c r="G32" s="10">
        <v>900</v>
      </c>
      <c r="H32" s="13">
        <v>3.0000000000000001E-3</v>
      </c>
      <c r="I32" s="17">
        <v>10950</v>
      </c>
      <c r="J32" s="22">
        <v>32</v>
      </c>
      <c r="K32" s="18">
        <f t="shared" si="0"/>
        <v>3.1999999999999994E-2</v>
      </c>
      <c r="L32" s="2">
        <f t="shared" si="1"/>
        <v>5.0000000000000001E-3</v>
      </c>
      <c r="M32" s="2">
        <f t="shared" si="2"/>
        <v>0.01</v>
      </c>
      <c r="N32" s="2">
        <f t="shared" si="3"/>
        <v>1.4999999999999998E-2</v>
      </c>
      <c r="O32" s="2">
        <f t="shared" si="4"/>
        <v>0.02</v>
      </c>
      <c r="P32" s="2">
        <f t="shared" si="5"/>
        <v>2.4999999999999994E-2</v>
      </c>
      <c r="Q32" s="2">
        <f t="shared" si="6"/>
        <v>2.9999999999999995E-2</v>
      </c>
      <c r="R32" s="2">
        <f t="shared" si="7"/>
        <v>10.666666666666664</v>
      </c>
      <c r="S32" s="2">
        <f t="shared" si="8"/>
        <v>1.6666666666666667</v>
      </c>
      <c r="T32" s="2">
        <f t="shared" si="9"/>
        <v>3.3333333333333335</v>
      </c>
      <c r="U32" s="2">
        <f t="shared" si="10"/>
        <v>4.9999999999999991</v>
      </c>
      <c r="V32" s="2">
        <f t="shared" si="11"/>
        <v>6.666666666666667</v>
      </c>
      <c r="W32" s="2">
        <f t="shared" si="12"/>
        <v>8.3333333333333321</v>
      </c>
      <c r="X32" s="2">
        <f t="shared" si="13"/>
        <v>9.9999999999999982</v>
      </c>
      <c r="Y32" s="5" t="str">
        <f t="shared" si="15"/>
        <v>1</v>
      </c>
      <c r="Z32" s="5" t="str">
        <f t="shared" si="15"/>
        <v>1</v>
      </c>
      <c r="AA32" s="5" t="str">
        <f t="shared" si="15"/>
        <v>1</v>
      </c>
      <c r="AB32" s="5" t="str">
        <f t="shared" si="15"/>
        <v>1</v>
      </c>
      <c r="AC32" s="5" t="str">
        <f t="shared" si="15"/>
        <v>1</v>
      </c>
      <c r="AD32" s="5" t="str">
        <f t="shared" si="15"/>
        <v>1</v>
      </c>
      <c r="AE32" s="5" t="str">
        <f t="shared" si="15"/>
        <v>1</v>
      </c>
    </row>
    <row r="33" spans="1:31" ht="14.4" x14ac:dyDescent="0.3">
      <c r="A33" s="14">
        <v>30</v>
      </c>
      <c r="B33" s="24" t="s">
        <v>111</v>
      </c>
      <c r="C33" s="10">
        <v>33</v>
      </c>
      <c r="D33" s="10">
        <v>75</v>
      </c>
      <c r="E33" s="15">
        <v>365</v>
      </c>
      <c r="F33" s="19">
        <v>8.9999999999999998E-4</v>
      </c>
      <c r="G33" s="10">
        <v>2100</v>
      </c>
      <c r="H33" s="13">
        <v>3.0000000000000001E-3</v>
      </c>
      <c r="I33" s="17">
        <v>10950</v>
      </c>
      <c r="J33" s="22">
        <v>8</v>
      </c>
      <c r="K33" s="18">
        <f t="shared" si="0"/>
        <v>6.7199999999999994E-3</v>
      </c>
      <c r="L33" s="2">
        <f t="shared" si="1"/>
        <v>4.1999999999999997E-3</v>
      </c>
      <c r="M33" s="2">
        <f t="shared" si="2"/>
        <v>8.3999999999999995E-3</v>
      </c>
      <c r="N33" s="2">
        <f t="shared" si="3"/>
        <v>1.2599999999999998E-2</v>
      </c>
      <c r="O33" s="2">
        <f t="shared" si="4"/>
        <v>1.6799999999999999E-2</v>
      </c>
      <c r="P33" s="2">
        <f t="shared" si="5"/>
        <v>2.0999999999999994E-2</v>
      </c>
      <c r="Q33" s="2">
        <f t="shared" si="6"/>
        <v>2.5199999999999997E-2</v>
      </c>
      <c r="R33" s="2">
        <f t="shared" si="7"/>
        <v>2.2399999999999998</v>
      </c>
      <c r="S33" s="2">
        <f t="shared" si="8"/>
        <v>1.4</v>
      </c>
      <c r="T33" s="2">
        <f t="shared" si="9"/>
        <v>2.8</v>
      </c>
      <c r="U33" s="2">
        <f t="shared" si="10"/>
        <v>4.1999999999999993</v>
      </c>
      <c r="V33" s="2">
        <f t="shared" si="11"/>
        <v>5.6</v>
      </c>
      <c r="W33" s="2">
        <f t="shared" si="12"/>
        <v>6.9999999999999982</v>
      </c>
      <c r="X33" s="2">
        <f t="shared" si="13"/>
        <v>8.3999999999999986</v>
      </c>
      <c r="Y33" s="5" t="str">
        <f t="shared" si="15"/>
        <v>1</v>
      </c>
      <c r="Z33" s="5" t="str">
        <f t="shared" si="15"/>
        <v>1</v>
      </c>
      <c r="AA33" s="5" t="str">
        <f t="shared" si="15"/>
        <v>1</v>
      </c>
      <c r="AB33" s="5" t="str">
        <f t="shared" si="15"/>
        <v>1</v>
      </c>
      <c r="AC33" s="5" t="str">
        <f t="shared" si="15"/>
        <v>1</v>
      </c>
      <c r="AD33" s="5" t="str">
        <f t="shared" si="15"/>
        <v>1</v>
      </c>
      <c r="AE33" s="5" t="str">
        <f t="shared" si="15"/>
        <v>1</v>
      </c>
    </row>
    <row r="34" spans="1:31" ht="14.4" x14ac:dyDescent="0.3">
      <c r="A34" s="14">
        <v>31</v>
      </c>
      <c r="B34" s="24" t="s">
        <v>161</v>
      </c>
      <c r="C34" s="10">
        <v>34</v>
      </c>
      <c r="D34" s="10">
        <v>65</v>
      </c>
      <c r="E34" s="15">
        <v>365</v>
      </c>
      <c r="F34" s="19">
        <v>8.9999999999999998E-4</v>
      </c>
      <c r="G34" s="10">
        <v>1800</v>
      </c>
      <c r="H34" s="13">
        <v>3.0000000000000001E-3</v>
      </c>
      <c r="I34" s="17">
        <v>10950</v>
      </c>
      <c r="J34" s="22">
        <v>34</v>
      </c>
      <c r="K34" s="18">
        <f t="shared" si="0"/>
        <v>2.8246153846153841E-2</v>
      </c>
      <c r="L34" s="2">
        <f t="shared" si="1"/>
        <v>4.1538461538461538E-3</v>
      </c>
      <c r="M34" s="2">
        <f t="shared" si="2"/>
        <v>8.3076923076923076E-3</v>
      </c>
      <c r="N34" s="2">
        <f t="shared" si="3"/>
        <v>1.2461538461538461E-2</v>
      </c>
      <c r="O34" s="2">
        <f t="shared" si="4"/>
        <v>1.6615384615384615E-2</v>
      </c>
      <c r="P34" s="2">
        <f t="shared" si="5"/>
        <v>2.0769230769230766E-2</v>
      </c>
      <c r="Q34" s="2">
        <f t="shared" si="6"/>
        <v>2.4923076923076923E-2</v>
      </c>
      <c r="R34" s="2">
        <f t="shared" si="7"/>
        <v>9.4153846153846139</v>
      </c>
      <c r="S34" s="2">
        <f t="shared" si="8"/>
        <v>1.3846153846153846</v>
      </c>
      <c r="T34" s="2">
        <f t="shared" si="9"/>
        <v>2.7692307692307692</v>
      </c>
      <c r="U34" s="2">
        <f t="shared" si="10"/>
        <v>4.1538461538461533</v>
      </c>
      <c r="V34" s="2">
        <f t="shared" si="11"/>
        <v>5.5384615384615383</v>
      </c>
      <c r="W34" s="2">
        <f t="shared" si="12"/>
        <v>6.9230769230769216</v>
      </c>
      <c r="X34" s="2">
        <f t="shared" si="13"/>
        <v>8.3076923076923066</v>
      </c>
      <c r="Y34" s="5" t="str">
        <f t="shared" si="15"/>
        <v>1</v>
      </c>
      <c r="Z34" s="5" t="str">
        <f t="shared" si="15"/>
        <v>1</v>
      </c>
      <c r="AA34" s="5" t="str">
        <f t="shared" si="15"/>
        <v>1</v>
      </c>
      <c r="AB34" s="5" t="str">
        <f t="shared" si="15"/>
        <v>1</v>
      </c>
      <c r="AC34" s="5" t="str">
        <f t="shared" si="15"/>
        <v>1</v>
      </c>
      <c r="AD34" s="5" t="str">
        <f t="shared" si="15"/>
        <v>1</v>
      </c>
      <c r="AE34" s="5" t="str">
        <f t="shared" si="15"/>
        <v>1</v>
      </c>
    </row>
    <row r="35" spans="1:31" ht="14.4" x14ac:dyDescent="0.3">
      <c r="A35" s="14">
        <v>32</v>
      </c>
      <c r="B35" s="24" t="s">
        <v>162</v>
      </c>
      <c r="C35" s="10">
        <v>34</v>
      </c>
      <c r="D35" s="10">
        <v>64</v>
      </c>
      <c r="E35" s="15">
        <v>365</v>
      </c>
      <c r="F35" s="19">
        <v>8.9999999999999998E-4</v>
      </c>
      <c r="G35" s="10">
        <v>1200</v>
      </c>
      <c r="H35" s="13">
        <v>3.0000000000000001E-3</v>
      </c>
      <c r="I35" s="17">
        <v>10950</v>
      </c>
      <c r="J35" s="22">
        <v>11</v>
      </c>
      <c r="K35" s="18">
        <f t="shared" si="0"/>
        <v>6.1875000000000012E-3</v>
      </c>
      <c r="L35" s="2">
        <f t="shared" si="1"/>
        <v>2.8125000000000003E-3</v>
      </c>
      <c r="M35" s="2">
        <f t="shared" si="2"/>
        <v>5.6250000000000007E-3</v>
      </c>
      <c r="N35" s="2">
        <f t="shared" si="3"/>
        <v>8.4375000000000006E-3</v>
      </c>
      <c r="O35" s="2">
        <f t="shared" si="4"/>
        <v>1.1250000000000001E-2</v>
      </c>
      <c r="P35" s="2">
        <f t="shared" si="5"/>
        <v>1.4062500000000002E-2</v>
      </c>
      <c r="Q35" s="2">
        <f t="shared" si="6"/>
        <v>1.6875000000000001E-2</v>
      </c>
      <c r="R35" s="2">
        <f t="shared" si="7"/>
        <v>2.0625000000000004</v>
      </c>
      <c r="S35" s="2">
        <f t="shared" si="8"/>
        <v>0.93750000000000011</v>
      </c>
      <c r="T35" s="2">
        <f t="shared" si="9"/>
        <v>1.8750000000000002</v>
      </c>
      <c r="U35" s="2">
        <f t="shared" si="10"/>
        <v>2.8125</v>
      </c>
      <c r="V35" s="2">
        <f t="shared" si="11"/>
        <v>3.7500000000000004</v>
      </c>
      <c r="W35" s="2">
        <f t="shared" si="12"/>
        <v>4.6875000000000009</v>
      </c>
      <c r="X35" s="2">
        <f t="shared" si="13"/>
        <v>5.625</v>
      </c>
      <c r="Y35" s="5" t="str">
        <f t="shared" si="15"/>
        <v>1</v>
      </c>
      <c r="Z35" s="5" t="str">
        <f t="shared" si="15"/>
        <v>2</v>
      </c>
      <c r="AA35" s="5" t="str">
        <f t="shared" si="15"/>
        <v>1</v>
      </c>
      <c r="AB35" s="5" t="str">
        <f t="shared" si="15"/>
        <v>1</v>
      </c>
      <c r="AC35" s="5" t="str">
        <f t="shared" si="15"/>
        <v>1</v>
      </c>
      <c r="AD35" s="5" t="str">
        <f t="shared" si="15"/>
        <v>1</v>
      </c>
      <c r="AE35" s="5" t="str">
        <f t="shared" si="15"/>
        <v>1</v>
      </c>
    </row>
    <row r="36" spans="1:31" ht="14.4" x14ac:dyDescent="0.3">
      <c r="A36" s="14">
        <v>33</v>
      </c>
      <c r="B36" s="24" t="s">
        <v>119</v>
      </c>
      <c r="C36" s="10">
        <v>34</v>
      </c>
      <c r="D36" s="10">
        <v>65</v>
      </c>
      <c r="E36" s="15">
        <v>365</v>
      </c>
      <c r="F36" s="19">
        <v>2.0000000000000001E-4</v>
      </c>
      <c r="G36" s="10">
        <v>1800</v>
      </c>
      <c r="H36" s="13">
        <v>3.0000000000000001E-3</v>
      </c>
      <c r="I36" s="17">
        <v>10950</v>
      </c>
      <c r="J36" s="22">
        <v>34</v>
      </c>
      <c r="K36" s="18">
        <f t="shared" si="0"/>
        <v>6.2769230769230775E-3</v>
      </c>
      <c r="L36" s="2">
        <f t="shared" si="1"/>
        <v>9.2307692307692305E-4</v>
      </c>
      <c r="M36" s="2">
        <f t="shared" si="2"/>
        <v>1.8461538461538461E-3</v>
      </c>
      <c r="N36" s="2">
        <f t="shared" si="3"/>
        <v>2.7692307692307691E-3</v>
      </c>
      <c r="O36" s="2">
        <f t="shared" si="4"/>
        <v>3.6923076923076922E-3</v>
      </c>
      <c r="P36" s="2">
        <f t="shared" si="5"/>
        <v>4.6153846153846158E-3</v>
      </c>
      <c r="Q36" s="2">
        <f t="shared" si="6"/>
        <v>5.5384615384615381E-3</v>
      </c>
      <c r="R36" s="2">
        <f t="shared" si="7"/>
        <v>2.0923076923076924</v>
      </c>
      <c r="S36" s="2">
        <f t="shared" si="8"/>
        <v>0.30769230769230765</v>
      </c>
      <c r="T36" s="2">
        <f t="shared" si="9"/>
        <v>0.61538461538461531</v>
      </c>
      <c r="U36" s="2">
        <f t="shared" si="10"/>
        <v>0.92307692307692302</v>
      </c>
      <c r="V36" s="2">
        <f t="shared" si="11"/>
        <v>1.2307692307692306</v>
      </c>
      <c r="W36" s="2">
        <f t="shared" si="12"/>
        <v>1.5384615384615385</v>
      </c>
      <c r="X36" s="2">
        <f t="shared" si="13"/>
        <v>1.846153846153846</v>
      </c>
      <c r="Y36" s="5" t="str">
        <f t="shared" si="15"/>
        <v>1</v>
      </c>
      <c r="Z36" s="5" t="str">
        <f t="shared" si="15"/>
        <v>2</v>
      </c>
      <c r="AA36" s="5" t="str">
        <f t="shared" si="15"/>
        <v>2</v>
      </c>
      <c r="AB36" s="5" t="str">
        <f t="shared" si="15"/>
        <v>2</v>
      </c>
      <c r="AC36" s="5" t="str">
        <f t="shared" si="15"/>
        <v>1</v>
      </c>
      <c r="AD36" s="5" t="str">
        <f t="shared" si="15"/>
        <v>1</v>
      </c>
      <c r="AE36" s="5" t="str">
        <f t="shared" si="15"/>
        <v>1</v>
      </c>
    </row>
    <row r="37" spans="1:31" ht="14.4" x14ac:dyDescent="0.3">
      <c r="A37" s="14">
        <v>34</v>
      </c>
      <c r="B37" s="24" t="s">
        <v>139</v>
      </c>
      <c r="C37" s="10">
        <v>34</v>
      </c>
      <c r="D37" s="10">
        <v>65</v>
      </c>
      <c r="E37" s="16">
        <v>365</v>
      </c>
      <c r="F37" s="19">
        <v>2.0000000000000001E-4</v>
      </c>
      <c r="G37" s="10">
        <v>1800</v>
      </c>
      <c r="H37" s="13">
        <v>3.0000000000000001E-3</v>
      </c>
      <c r="I37" s="17">
        <v>10950</v>
      </c>
      <c r="J37" s="22">
        <v>34</v>
      </c>
      <c r="K37" s="18">
        <f t="shared" si="0"/>
        <v>6.2769230769230775E-3</v>
      </c>
      <c r="L37" s="2">
        <f t="shared" si="1"/>
        <v>9.2307692307692305E-4</v>
      </c>
      <c r="M37" s="2">
        <f t="shared" si="2"/>
        <v>1.8461538461538461E-3</v>
      </c>
      <c r="N37" s="2">
        <f t="shared" si="3"/>
        <v>2.7692307692307691E-3</v>
      </c>
      <c r="O37" s="2">
        <f t="shared" si="4"/>
        <v>3.6923076923076922E-3</v>
      </c>
      <c r="P37" s="2">
        <f t="shared" si="5"/>
        <v>4.6153846153846158E-3</v>
      </c>
      <c r="Q37" s="2">
        <f t="shared" si="6"/>
        <v>5.5384615384615381E-3</v>
      </c>
      <c r="R37" s="2">
        <f t="shared" si="7"/>
        <v>2.0923076923076924</v>
      </c>
      <c r="S37" s="2">
        <f t="shared" si="8"/>
        <v>0.30769230769230765</v>
      </c>
      <c r="T37" s="2">
        <f t="shared" si="9"/>
        <v>0.61538461538461531</v>
      </c>
      <c r="U37" s="2">
        <f t="shared" si="10"/>
        <v>0.92307692307692302</v>
      </c>
      <c r="V37" s="2">
        <f t="shared" si="11"/>
        <v>1.2307692307692306</v>
      </c>
      <c r="W37" s="2">
        <f t="shared" si="12"/>
        <v>1.5384615384615385</v>
      </c>
      <c r="X37" s="2">
        <f t="shared" si="13"/>
        <v>1.846153846153846</v>
      </c>
      <c r="Y37" s="5" t="str">
        <f t="shared" si="15"/>
        <v>1</v>
      </c>
      <c r="Z37" s="5" t="str">
        <f t="shared" si="15"/>
        <v>2</v>
      </c>
      <c r="AA37" s="5" t="str">
        <f t="shared" si="15"/>
        <v>2</v>
      </c>
      <c r="AB37" s="5" t="str">
        <f t="shared" si="15"/>
        <v>2</v>
      </c>
      <c r="AC37" s="5" t="str">
        <f t="shared" si="15"/>
        <v>1</v>
      </c>
      <c r="AD37" s="5" t="str">
        <f t="shared" si="15"/>
        <v>1</v>
      </c>
      <c r="AE37" s="5" t="str">
        <f t="shared" si="15"/>
        <v>1</v>
      </c>
    </row>
    <row r="38" spans="1:31" ht="14.4" x14ac:dyDescent="0.3">
      <c r="A38" s="14">
        <v>35</v>
      </c>
      <c r="B38" s="24" t="s">
        <v>119</v>
      </c>
      <c r="C38" s="10">
        <v>34</v>
      </c>
      <c r="D38" s="10">
        <v>65</v>
      </c>
      <c r="E38" s="16">
        <v>365</v>
      </c>
      <c r="F38" s="19">
        <v>2.0000000000000001E-4</v>
      </c>
      <c r="G38" s="10">
        <v>1800</v>
      </c>
      <c r="H38" s="13">
        <v>3.0000000000000001E-3</v>
      </c>
      <c r="I38" s="17">
        <v>10950</v>
      </c>
      <c r="J38" s="22">
        <v>34</v>
      </c>
      <c r="K38" s="18">
        <f t="shared" si="0"/>
        <v>6.2769230769230775E-3</v>
      </c>
      <c r="L38" s="2">
        <f t="shared" si="1"/>
        <v>9.2307692307692305E-4</v>
      </c>
      <c r="M38" s="2">
        <f t="shared" si="2"/>
        <v>1.8461538461538461E-3</v>
      </c>
      <c r="N38" s="2">
        <f t="shared" si="3"/>
        <v>2.7692307692307691E-3</v>
      </c>
      <c r="O38" s="2">
        <f t="shared" si="4"/>
        <v>3.6923076923076922E-3</v>
      </c>
      <c r="P38" s="2">
        <f t="shared" si="5"/>
        <v>4.6153846153846158E-3</v>
      </c>
      <c r="Q38" s="2">
        <f t="shared" si="6"/>
        <v>5.5384615384615381E-3</v>
      </c>
      <c r="R38" s="2">
        <f t="shared" si="7"/>
        <v>2.0923076923076924</v>
      </c>
      <c r="S38" s="2">
        <f t="shared" si="8"/>
        <v>0.30769230769230765</v>
      </c>
      <c r="T38" s="2">
        <f t="shared" si="9"/>
        <v>0.61538461538461531</v>
      </c>
      <c r="U38" s="2">
        <f t="shared" si="10"/>
        <v>0.92307692307692302</v>
      </c>
      <c r="V38" s="2">
        <f t="shared" si="11"/>
        <v>1.2307692307692306</v>
      </c>
      <c r="W38" s="2">
        <f t="shared" si="12"/>
        <v>1.5384615384615385</v>
      </c>
      <c r="X38" s="2">
        <f t="shared" si="13"/>
        <v>1.846153846153846</v>
      </c>
      <c r="Y38" s="5" t="str">
        <f t="shared" si="15"/>
        <v>1</v>
      </c>
      <c r="Z38" s="5" t="str">
        <f t="shared" si="15"/>
        <v>2</v>
      </c>
      <c r="AA38" s="5" t="str">
        <f t="shared" si="15"/>
        <v>2</v>
      </c>
      <c r="AB38" s="5" t="str">
        <f t="shared" si="15"/>
        <v>2</v>
      </c>
      <c r="AC38" s="5" t="str">
        <f t="shared" si="15"/>
        <v>1</v>
      </c>
      <c r="AD38" s="5" t="str">
        <f t="shared" si="15"/>
        <v>1</v>
      </c>
      <c r="AE38" s="5" t="str">
        <f t="shared" si="15"/>
        <v>1</v>
      </c>
    </row>
    <row r="39" spans="1:31" ht="14.4" x14ac:dyDescent="0.3">
      <c r="A39" s="14">
        <v>36</v>
      </c>
      <c r="B39" s="24" t="s">
        <v>163</v>
      </c>
      <c r="C39" s="10">
        <v>35</v>
      </c>
      <c r="D39" s="10">
        <v>75</v>
      </c>
      <c r="E39" s="16">
        <v>365</v>
      </c>
      <c r="F39" s="19">
        <v>9.7999999999999997E-3</v>
      </c>
      <c r="G39" s="10">
        <v>1200</v>
      </c>
      <c r="H39" s="13">
        <v>3.0000000000000001E-3</v>
      </c>
      <c r="I39" s="17">
        <v>10950</v>
      </c>
      <c r="J39" s="22">
        <v>5</v>
      </c>
      <c r="K39" s="18">
        <f t="shared" si="0"/>
        <v>2.6133333333333335E-2</v>
      </c>
      <c r="L39" s="2">
        <f t="shared" si="1"/>
        <v>2.6133333333333335E-2</v>
      </c>
      <c r="M39" s="2">
        <f t="shared" si="2"/>
        <v>5.226666666666667E-2</v>
      </c>
      <c r="N39" s="2">
        <f t="shared" si="3"/>
        <v>7.8399999999999997E-2</v>
      </c>
      <c r="O39" s="2">
        <f t="shared" si="4"/>
        <v>0.10453333333333334</v>
      </c>
      <c r="P39" s="2">
        <f t="shared" si="5"/>
        <v>0.13066666666666665</v>
      </c>
      <c r="Q39" s="2">
        <f t="shared" si="6"/>
        <v>0.15679999999999999</v>
      </c>
      <c r="R39" s="2">
        <f t="shared" si="7"/>
        <v>8.7111111111111121</v>
      </c>
      <c r="S39" s="2">
        <f t="shared" si="8"/>
        <v>8.7111111111111121</v>
      </c>
      <c r="T39" s="2">
        <f t="shared" si="9"/>
        <v>17.422222222222224</v>
      </c>
      <c r="U39" s="2">
        <f t="shared" si="10"/>
        <v>26.133333333333333</v>
      </c>
      <c r="V39" s="2">
        <f t="shared" si="11"/>
        <v>34.844444444444449</v>
      </c>
      <c r="W39" s="2">
        <f t="shared" si="12"/>
        <v>43.55555555555555</v>
      </c>
      <c r="X39" s="2">
        <f t="shared" si="13"/>
        <v>52.266666666666666</v>
      </c>
      <c r="Y39" s="5" t="str">
        <f t="shared" si="15"/>
        <v>1</v>
      </c>
      <c r="Z39" s="5" t="str">
        <f t="shared" si="15"/>
        <v>1</v>
      </c>
      <c r="AA39" s="5" t="str">
        <f t="shared" si="15"/>
        <v>1</v>
      </c>
      <c r="AB39" s="5" t="str">
        <f t="shared" si="15"/>
        <v>1</v>
      </c>
      <c r="AC39" s="5" t="str">
        <f t="shared" si="15"/>
        <v>1</v>
      </c>
      <c r="AD39" s="5" t="str">
        <f t="shared" si="15"/>
        <v>1</v>
      </c>
      <c r="AE39" s="5" t="str">
        <f t="shared" si="15"/>
        <v>1</v>
      </c>
    </row>
    <row r="40" spans="1:31" ht="14.4" x14ac:dyDescent="0.3">
      <c r="A40" s="14">
        <v>37</v>
      </c>
      <c r="B40" s="24" t="s">
        <v>164</v>
      </c>
      <c r="C40" s="10">
        <v>35</v>
      </c>
      <c r="D40" s="10">
        <v>85</v>
      </c>
      <c r="E40" s="16">
        <v>365</v>
      </c>
      <c r="F40" s="19">
        <v>1.9900000000000001E-2</v>
      </c>
      <c r="G40" s="10">
        <v>900</v>
      </c>
      <c r="H40" s="13">
        <v>3.0000000000000001E-3</v>
      </c>
      <c r="I40" s="17">
        <v>10950</v>
      </c>
      <c r="J40" s="22">
        <v>6</v>
      </c>
      <c r="K40" s="18">
        <f t="shared" si="0"/>
        <v>4.2141176470588231E-2</v>
      </c>
      <c r="L40" s="2">
        <f t="shared" si="1"/>
        <v>3.5117647058823531E-2</v>
      </c>
      <c r="M40" s="2">
        <f t="shared" si="2"/>
        <v>7.0235294117647062E-2</v>
      </c>
      <c r="N40" s="2">
        <f t="shared" si="3"/>
        <v>0.10535294117647059</v>
      </c>
      <c r="O40" s="2">
        <f t="shared" si="4"/>
        <v>0.14047058823529412</v>
      </c>
      <c r="P40" s="2">
        <f t="shared" si="5"/>
        <v>0.17558823529411766</v>
      </c>
      <c r="Q40" s="2">
        <f t="shared" si="6"/>
        <v>0.21070588235294119</v>
      </c>
      <c r="R40" s="2">
        <f t="shared" si="7"/>
        <v>14.04705882352941</v>
      </c>
      <c r="S40" s="2">
        <f t="shared" si="8"/>
        <v>11.705882352941178</v>
      </c>
      <c r="T40" s="2">
        <f t="shared" si="9"/>
        <v>23.411764705882355</v>
      </c>
      <c r="U40" s="2">
        <f t="shared" si="10"/>
        <v>35.117647058823529</v>
      </c>
      <c r="V40" s="2">
        <f t="shared" si="11"/>
        <v>46.82352941176471</v>
      </c>
      <c r="W40" s="2">
        <f t="shared" si="12"/>
        <v>58.529411764705884</v>
      </c>
      <c r="X40" s="2">
        <f t="shared" si="13"/>
        <v>70.235294117647058</v>
      </c>
      <c r="Y40" s="5" t="str">
        <f t="shared" si="15"/>
        <v>1</v>
      </c>
      <c r="Z40" s="5" t="str">
        <f t="shared" si="15"/>
        <v>1</v>
      </c>
      <c r="AA40" s="5" t="str">
        <f t="shared" si="15"/>
        <v>1</v>
      </c>
      <c r="AB40" s="5" t="str">
        <f t="shared" si="15"/>
        <v>1</v>
      </c>
      <c r="AC40" s="5" t="str">
        <f t="shared" si="15"/>
        <v>1</v>
      </c>
      <c r="AD40" s="5" t="str">
        <f t="shared" si="15"/>
        <v>1</v>
      </c>
      <c r="AE40" s="5" t="str">
        <f t="shared" si="15"/>
        <v>1</v>
      </c>
    </row>
    <row r="41" spans="1:31" ht="14.4" x14ac:dyDescent="0.3">
      <c r="A41" s="14">
        <v>38</v>
      </c>
      <c r="B41" s="24" t="s">
        <v>165</v>
      </c>
      <c r="C41" s="10">
        <v>35</v>
      </c>
      <c r="D41" s="10">
        <v>55</v>
      </c>
      <c r="E41" s="16">
        <v>365</v>
      </c>
      <c r="F41" s="19">
        <v>1.9900000000000001E-2</v>
      </c>
      <c r="G41" s="10">
        <v>900</v>
      </c>
      <c r="H41" s="13">
        <v>3.0000000000000001E-3</v>
      </c>
      <c r="I41" s="17">
        <v>10950</v>
      </c>
      <c r="J41" s="22">
        <v>35</v>
      </c>
      <c r="K41" s="18">
        <f t="shared" si="0"/>
        <v>0.37990909090909092</v>
      </c>
      <c r="L41" s="2">
        <f t="shared" si="1"/>
        <v>5.4272727272727271E-2</v>
      </c>
      <c r="M41" s="2">
        <f t="shared" si="2"/>
        <v>0.10854545454545454</v>
      </c>
      <c r="N41" s="2">
        <f t="shared" si="3"/>
        <v>0.16281818181818181</v>
      </c>
      <c r="O41" s="2">
        <f t="shared" si="4"/>
        <v>0.21709090909090908</v>
      </c>
      <c r="P41" s="2">
        <f t="shared" si="5"/>
        <v>0.27136363636363636</v>
      </c>
      <c r="Q41" s="2">
        <f t="shared" si="6"/>
        <v>0.32563636363636361</v>
      </c>
      <c r="R41" s="2">
        <f t="shared" si="7"/>
        <v>126.63636363636364</v>
      </c>
      <c r="S41" s="2">
        <f t="shared" si="8"/>
        <v>18.09090909090909</v>
      </c>
      <c r="T41" s="2">
        <f t="shared" si="9"/>
        <v>36.18181818181818</v>
      </c>
      <c r="U41" s="2">
        <f t="shared" si="10"/>
        <v>54.272727272727266</v>
      </c>
      <c r="V41" s="2">
        <f t="shared" si="11"/>
        <v>72.36363636363636</v>
      </c>
      <c r="W41" s="2">
        <f t="shared" si="12"/>
        <v>90.454545454545453</v>
      </c>
      <c r="X41" s="2">
        <f t="shared" si="13"/>
        <v>108.54545454545453</v>
      </c>
      <c r="Y41" s="5" t="str">
        <f t="shared" si="15"/>
        <v>1</v>
      </c>
      <c r="Z41" s="5" t="str">
        <f t="shared" si="15"/>
        <v>1</v>
      </c>
      <c r="AA41" s="5" t="str">
        <f t="shared" si="15"/>
        <v>1</v>
      </c>
      <c r="AB41" s="5" t="str">
        <f t="shared" si="15"/>
        <v>1</v>
      </c>
      <c r="AC41" s="5" t="str">
        <f t="shared" si="15"/>
        <v>1</v>
      </c>
      <c r="AD41" s="5" t="str">
        <f t="shared" si="15"/>
        <v>1</v>
      </c>
      <c r="AE41" s="5" t="str">
        <f t="shared" si="15"/>
        <v>1</v>
      </c>
    </row>
    <row r="42" spans="1:31" ht="14.4" x14ac:dyDescent="0.3">
      <c r="A42" s="14">
        <v>39</v>
      </c>
      <c r="B42" s="24" t="s">
        <v>106</v>
      </c>
      <c r="C42" s="10">
        <v>35</v>
      </c>
      <c r="D42" s="10">
        <v>55</v>
      </c>
      <c r="E42" s="16">
        <v>365</v>
      </c>
      <c r="F42" s="19">
        <v>1.9900000000000001E-2</v>
      </c>
      <c r="G42" s="10">
        <v>1200</v>
      </c>
      <c r="H42" s="13">
        <v>3.0000000000000001E-3</v>
      </c>
      <c r="I42" s="17">
        <v>10950</v>
      </c>
      <c r="J42" s="22">
        <v>4</v>
      </c>
      <c r="K42" s="18">
        <f t="shared" si="0"/>
        <v>5.7890909090909097E-2</v>
      </c>
      <c r="L42" s="2">
        <f t="shared" si="1"/>
        <v>7.2363636363636366E-2</v>
      </c>
      <c r="M42" s="2">
        <f t="shared" si="2"/>
        <v>0.14472727272727273</v>
      </c>
      <c r="N42" s="2">
        <f t="shared" si="3"/>
        <v>0.21709090909090911</v>
      </c>
      <c r="O42" s="2">
        <f t="shared" si="4"/>
        <v>0.28945454545454546</v>
      </c>
      <c r="P42" s="2">
        <f t="shared" si="5"/>
        <v>0.36181818181818187</v>
      </c>
      <c r="Q42" s="2">
        <f t="shared" si="6"/>
        <v>0.43418181818181822</v>
      </c>
      <c r="R42" s="2">
        <f t="shared" si="7"/>
        <v>19.296969696969697</v>
      </c>
      <c r="S42" s="2">
        <f t="shared" si="8"/>
        <v>24.121212121212121</v>
      </c>
      <c r="T42" s="2">
        <f t="shared" si="9"/>
        <v>48.242424242424242</v>
      </c>
      <c r="U42" s="2">
        <f t="shared" si="10"/>
        <v>72.363636363636374</v>
      </c>
      <c r="V42" s="2">
        <f t="shared" si="11"/>
        <v>96.484848484848484</v>
      </c>
      <c r="W42" s="2">
        <f t="shared" si="12"/>
        <v>120.60606060606062</v>
      </c>
      <c r="X42" s="2">
        <f t="shared" si="13"/>
        <v>144.72727272727275</v>
      </c>
      <c r="Y42" s="5" t="str">
        <f t="shared" si="15"/>
        <v>1</v>
      </c>
      <c r="Z42" s="5" t="str">
        <f t="shared" si="15"/>
        <v>1</v>
      </c>
      <c r="AA42" s="5" t="str">
        <f t="shared" si="15"/>
        <v>1</v>
      </c>
      <c r="AB42" s="5" t="str">
        <f t="shared" si="15"/>
        <v>1</v>
      </c>
      <c r="AC42" s="5" t="str">
        <f t="shared" si="15"/>
        <v>1</v>
      </c>
      <c r="AD42" s="5" t="str">
        <f t="shared" si="15"/>
        <v>1</v>
      </c>
      <c r="AE42" s="5" t="str">
        <f t="shared" si="15"/>
        <v>1</v>
      </c>
    </row>
    <row r="43" spans="1:31" ht="14.4" x14ac:dyDescent="0.3">
      <c r="A43" s="14">
        <v>40</v>
      </c>
      <c r="B43" s="24" t="s">
        <v>166</v>
      </c>
      <c r="C43" s="10">
        <v>35</v>
      </c>
      <c r="D43" s="10">
        <v>47</v>
      </c>
      <c r="E43" s="16">
        <v>365</v>
      </c>
      <c r="F43" s="19">
        <v>3.2000000000000002E-3</v>
      </c>
      <c r="G43" s="10">
        <v>1200</v>
      </c>
      <c r="H43" s="13">
        <v>3.0000000000000001E-3</v>
      </c>
      <c r="I43" s="17">
        <v>10950</v>
      </c>
      <c r="J43" s="22">
        <v>20</v>
      </c>
      <c r="K43" s="18">
        <f t="shared" si="0"/>
        <v>5.4468085106382985E-2</v>
      </c>
      <c r="L43" s="2">
        <f t="shared" si="1"/>
        <v>1.3617021276595746E-2</v>
      </c>
      <c r="M43" s="2">
        <f t="shared" si="2"/>
        <v>2.7234042553191493E-2</v>
      </c>
      <c r="N43" s="2">
        <f t="shared" si="3"/>
        <v>4.0851063829787239E-2</v>
      </c>
      <c r="O43" s="2">
        <f t="shared" si="4"/>
        <v>5.4468085106382985E-2</v>
      </c>
      <c r="P43" s="2">
        <f t="shared" si="5"/>
        <v>6.8085106382978725E-2</v>
      </c>
      <c r="Q43" s="2">
        <f t="shared" si="6"/>
        <v>8.1702127659574478E-2</v>
      </c>
      <c r="R43" s="2">
        <f t="shared" si="7"/>
        <v>18.156028368794328</v>
      </c>
      <c r="S43" s="2">
        <f>L43/H43</f>
        <v>4.5390070921985819</v>
      </c>
      <c r="T43" s="2">
        <f t="shared" si="9"/>
        <v>9.0780141843971638</v>
      </c>
      <c r="U43" s="2">
        <f t="shared" si="10"/>
        <v>13.617021276595747</v>
      </c>
      <c r="V43" s="2">
        <f t="shared" si="11"/>
        <v>18.156028368794328</v>
      </c>
      <c r="W43" s="2">
        <f t="shared" si="12"/>
        <v>22.695035460992909</v>
      </c>
      <c r="X43" s="2">
        <f t="shared" si="13"/>
        <v>27.234042553191493</v>
      </c>
      <c r="Y43" s="5" t="str">
        <f t="shared" si="15"/>
        <v>1</v>
      </c>
      <c r="Z43" s="5" t="str">
        <f t="shared" si="15"/>
        <v>1</v>
      </c>
      <c r="AA43" s="5" t="str">
        <f t="shared" si="15"/>
        <v>1</v>
      </c>
      <c r="AB43" s="5" t="str">
        <f t="shared" si="15"/>
        <v>1</v>
      </c>
      <c r="AC43" s="5" t="str">
        <f t="shared" si="15"/>
        <v>1</v>
      </c>
      <c r="AD43" s="5" t="str">
        <f t="shared" si="15"/>
        <v>1</v>
      </c>
      <c r="AE43" s="5" t="str">
        <f t="shared" si="15"/>
        <v>1</v>
      </c>
    </row>
    <row r="44" spans="1:31" ht="14.4" x14ac:dyDescent="0.3">
      <c r="A44" s="14">
        <v>41</v>
      </c>
      <c r="B44" s="24" t="s">
        <v>118</v>
      </c>
      <c r="C44" s="10">
        <v>35</v>
      </c>
      <c r="D44" s="10">
        <v>75</v>
      </c>
      <c r="E44" s="16">
        <v>365</v>
      </c>
      <c r="F44" s="19">
        <v>3.2000000000000002E-3</v>
      </c>
      <c r="G44" s="10">
        <v>1200</v>
      </c>
      <c r="H44" s="13">
        <v>3.0000000000000001E-3</v>
      </c>
      <c r="I44" s="17">
        <v>10950</v>
      </c>
      <c r="J44" s="22">
        <v>5</v>
      </c>
      <c r="K44" s="18">
        <f t="shared" si="0"/>
        <v>8.5333333333333337E-3</v>
      </c>
      <c r="L44" s="2">
        <f t="shared" si="1"/>
        <v>8.5333333333333337E-3</v>
      </c>
      <c r="M44" s="2">
        <f t="shared" si="2"/>
        <v>1.7066666666666667E-2</v>
      </c>
      <c r="N44" s="2">
        <f t="shared" si="3"/>
        <v>2.5600000000000005E-2</v>
      </c>
      <c r="O44" s="2">
        <f t="shared" si="4"/>
        <v>3.4133333333333335E-2</v>
      </c>
      <c r="P44" s="2">
        <f t="shared" si="5"/>
        <v>4.2666666666666665E-2</v>
      </c>
      <c r="Q44" s="2">
        <f t="shared" si="6"/>
        <v>5.1200000000000009E-2</v>
      </c>
      <c r="R44" s="2">
        <f t="shared" si="7"/>
        <v>2.8444444444444446</v>
      </c>
      <c r="S44" s="2">
        <f t="shared" ref="S44:S103" si="16">L44/H44</f>
        <v>2.8444444444444446</v>
      </c>
      <c r="T44" s="2">
        <f t="shared" si="9"/>
        <v>5.6888888888888891</v>
      </c>
      <c r="U44" s="2">
        <f>N44/H44</f>
        <v>8.533333333333335</v>
      </c>
      <c r="V44" s="2">
        <f>O44/H44</f>
        <v>11.377777777777778</v>
      </c>
      <c r="W44" s="2">
        <f>P44/H44</f>
        <v>14.222222222222221</v>
      </c>
      <c r="X44" s="2">
        <f>Q44/H44</f>
        <v>17.06666666666667</v>
      </c>
      <c r="Y44" s="5" t="str">
        <f t="shared" si="15"/>
        <v>1</v>
      </c>
      <c r="Z44" s="5" t="str">
        <f t="shared" si="15"/>
        <v>1</v>
      </c>
      <c r="AA44" s="5" t="str">
        <f t="shared" si="15"/>
        <v>1</v>
      </c>
      <c r="AB44" s="5" t="str">
        <f t="shared" si="15"/>
        <v>1</v>
      </c>
      <c r="AC44" s="5" t="str">
        <f t="shared" si="15"/>
        <v>1</v>
      </c>
      <c r="AD44" s="5" t="str">
        <f t="shared" si="15"/>
        <v>1</v>
      </c>
      <c r="AE44" s="5" t="str">
        <f t="shared" si="15"/>
        <v>1</v>
      </c>
    </row>
    <row r="45" spans="1:31" ht="14.4" x14ac:dyDescent="0.3">
      <c r="A45" s="14">
        <v>42</v>
      </c>
      <c r="B45" s="24" t="s">
        <v>130</v>
      </c>
      <c r="C45" s="10">
        <v>35</v>
      </c>
      <c r="D45" s="10">
        <v>47</v>
      </c>
      <c r="E45" s="16">
        <v>365</v>
      </c>
      <c r="F45" s="19">
        <v>3.2000000000000002E-3</v>
      </c>
      <c r="G45" s="10">
        <v>1200</v>
      </c>
      <c r="H45" s="13">
        <v>3.0000000000000001E-3</v>
      </c>
      <c r="I45" s="17">
        <v>10950</v>
      </c>
      <c r="J45" s="22">
        <v>20</v>
      </c>
      <c r="K45" s="18">
        <f t="shared" si="0"/>
        <v>5.4468085106382985E-2</v>
      </c>
      <c r="L45" s="2">
        <f t="shared" si="1"/>
        <v>1.3617021276595746E-2</v>
      </c>
      <c r="M45" s="2">
        <f t="shared" si="2"/>
        <v>2.7234042553191493E-2</v>
      </c>
      <c r="N45" s="2">
        <f t="shared" si="3"/>
        <v>4.0851063829787239E-2</v>
      </c>
      <c r="O45" s="2">
        <f t="shared" si="4"/>
        <v>5.4468085106382985E-2</v>
      </c>
      <c r="P45" s="2">
        <f t="shared" si="5"/>
        <v>6.8085106382978725E-2</v>
      </c>
      <c r="Q45" s="2">
        <f t="shared" si="6"/>
        <v>8.1702127659574478E-2</v>
      </c>
      <c r="R45" s="2">
        <f t="shared" si="7"/>
        <v>18.156028368794328</v>
      </c>
      <c r="S45" s="2">
        <f t="shared" si="16"/>
        <v>4.5390070921985819</v>
      </c>
      <c r="T45" s="2">
        <f t="shared" si="9"/>
        <v>9.0780141843971638</v>
      </c>
      <c r="U45" s="2">
        <f>N45/H45</f>
        <v>13.617021276595747</v>
      </c>
      <c r="V45" s="2">
        <f>O45/H45</f>
        <v>18.156028368794328</v>
      </c>
      <c r="W45" s="2">
        <f>P45/H45</f>
        <v>22.695035460992909</v>
      </c>
      <c r="X45" s="2">
        <f>Q45/H45</f>
        <v>27.234042553191493</v>
      </c>
      <c r="Y45" s="5" t="str">
        <f t="shared" si="15"/>
        <v>1</v>
      </c>
      <c r="Z45" s="5" t="str">
        <f t="shared" si="15"/>
        <v>1</v>
      </c>
      <c r="AA45" s="5" t="str">
        <f t="shared" si="15"/>
        <v>1</v>
      </c>
      <c r="AB45" s="5" t="str">
        <f t="shared" si="15"/>
        <v>1</v>
      </c>
      <c r="AC45" s="5" t="str">
        <f t="shared" si="15"/>
        <v>1</v>
      </c>
      <c r="AD45" s="5" t="str">
        <f t="shared" si="15"/>
        <v>1</v>
      </c>
      <c r="AE45" s="5" t="str">
        <f t="shared" si="15"/>
        <v>1</v>
      </c>
    </row>
    <row r="46" spans="1:31" ht="14.4" x14ac:dyDescent="0.3">
      <c r="A46" s="14">
        <v>43</v>
      </c>
      <c r="B46" s="24" t="s">
        <v>138</v>
      </c>
      <c r="C46" s="10">
        <v>35</v>
      </c>
      <c r="D46" s="10">
        <v>75</v>
      </c>
      <c r="E46" s="16">
        <v>365</v>
      </c>
      <c r="F46" s="19">
        <v>1.8E-3</v>
      </c>
      <c r="G46" s="10">
        <v>1200</v>
      </c>
      <c r="H46" s="13">
        <v>3.0000000000000001E-3</v>
      </c>
      <c r="I46" s="17">
        <v>10950</v>
      </c>
      <c r="J46" s="22">
        <v>5</v>
      </c>
      <c r="K46" s="18">
        <f t="shared" si="0"/>
        <v>4.8000000000000004E-3</v>
      </c>
      <c r="L46" s="2">
        <f>(F46*G46*E46*5)/(D46*I46)</f>
        <v>4.8000000000000004E-3</v>
      </c>
      <c r="M46" s="2">
        <f t="shared" si="2"/>
        <v>9.6000000000000009E-3</v>
      </c>
      <c r="N46" s="2">
        <f t="shared" si="3"/>
        <v>1.4400000000000003E-2</v>
      </c>
      <c r="O46" s="2">
        <f t="shared" si="4"/>
        <v>1.9200000000000002E-2</v>
      </c>
      <c r="P46" s="2">
        <f t="shared" si="5"/>
        <v>2.4000000000000004E-2</v>
      </c>
      <c r="Q46" s="2">
        <f t="shared" si="6"/>
        <v>2.8800000000000006E-2</v>
      </c>
      <c r="R46" s="2">
        <f t="shared" si="7"/>
        <v>1.6</v>
      </c>
      <c r="S46" s="2">
        <f t="shared" si="16"/>
        <v>1.6</v>
      </c>
      <c r="T46" s="2">
        <f t="shared" si="9"/>
        <v>3.2</v>
      </c>
      <c r="U46" s="2">
        <f t="shared" ref="U46:U103" si="17">N46/H46</f>
        <v>4.8000000000000007</v>
      </c>
      <c r="V46" s="2">
        <f t="shared" ref="V46:V103" si="18">O46/H46</f>
        <v>6.4</v>
      </c>
      <c r="W46" s="2">
        <f t="shared" ref="W46:W103" si="19">P46/H46</f>
        <v>8.0000000000000018</v>
      </c>
      <c r="X46" s="2">
        <f t="shared" ref="X46:X103" si="20">Q46/H46</f>
        <v>9.6000000000000014</v>
      </c>
      <c r="Y46" s="5" t="str">
        <f t="shared" si="15"/>
        <v>1</v>
      </c>
      <c r="Z46" s="5" t="str">
        <f t="shared" si="15"/>
        <v>1</v>
      </c>
      <c r="AA46" s="5" t="str">
        <f t="shared" si="15"/>
        <v>1</v>
      </c>
      <c r="AB46" s="5" t="str">
        <f t="shared" si="15"/>
        <v>1</v>
      </c>
      <c r="AC46" s="5" t="str">
        <f t="shared" si="15"/>
        <v>1</v>
      </c>
      <c r="AD46" s="5" t="str">
        <f t="shared" si="15"/>
        <v>1</v>
      </c>
      <c r="AE46" s="5" t="str">
        <f t="shared" si="15"/>
        <v>1</v>
      </c>
    </row>
    <row r="47" spans="1:31" ht="14.4" x14ac:dyDescent="0.3">
      <c r="A47" s="14">
        <v>44</v>
      </c>
      <c r="B47" s="24" t="s">
        <v>167</v>
      </c>
      <c r="C47" s="10">
        <v>37</v>
      </c>
      <c r="D47" s="10">
        <v>85</v>
      </c>
      <c r="E47" s="16">
        <v>365</v>
      </c>
      <c r="F47" s="19">
        <v>2.3999999999999998E-3</v>
      </c>
      <c r="G47" s="10">
        <v>1500</v>
      </c>
      <c r="H47" s="13">
        <v>3.0000000000000001E-3</v>
      </c>
      <c r="I47" s="17">
        <v>10950</v>
      </c>
      <c r="J47" s="22">
        <v>6</v>
      </c>
      <c r="K47" s="18">
        <f t="shared" si="0"/>
        <v>8.4705882352941152E-3</v>
      </c>
      <c r="L47" s="2">
        <f t="shared" ref="L47:L103" si="21">(F47*G47*E47*5)/(D47*I47)</f>
        <v>7.0588235294117641E-3</v>
      </c>
      <c r="M47" s="2">
        <f t="shared" si="2"/>
        <v>1.4117647058823528E-2</v>
      </c>
      <c r="N47" s="2">
        <f t="shared" si="3"/>
        <v>2.117647058823529E-2</v>
      </c>
      <c r="O47" s="2">
        <f t="shared" si="4"/>
        <v>2.8235294117647056E-2</v>
      </c>
      <c r="P47" s="2">
        <f t="shared" si="5"/>
        <v>3.5294117647058816E-2</v>
      </c>
      <c r="Q47" s="2">
        <f t="shared" si="6"/>
        <v>4.2352941176470579E-2</v>
      </c>
      <c r="R47" s="2">
        <f t="shared" si="7"/>
        <v>2.8235294117647052</v>
      </c>
      <c r="S47" s="2">
        <f t="shared" si="16"/>
        <v>2.3529411764705879</v>
      </c>
      <c r="T47" s="2">
        <f t="shared" si="9"/>
        <v>4.7058823529411757</v>
      </c>
      <c r="U47" s="2">
        <f t="shared" si="17"/>
        <v>7.0588235294117627</v>
      </c>
      <c r="V47" s="2">
        <f t="shared" si="18"/>
        <v>9.4117647058823515</v>
      </c>
      <c r="W47" s="2">
        <f t="shared" si="19"/>
        <v>11.764705882352938</v>
      </c>
      <c r="X47" s="2">
        <f t="shared" si="20"/>
        <v>14.117647058823525</v>
      </c>
      <c r="Y47" s="5" t="str">
        <f t="shared" si="15"/>
        <v>1</v>
      </c>
      <c r="Z47" s="5" t="str">
        <f t="shared" si="15"/>
        <v>1</v>
      </c>
      <c r="AA47" s="5" t="str">
        <f t="shared" si="15"/>
        <v>1</v>
      </c>
      <c r="AB47" s="5" t="str">
        <f t="shared" si="15"/>
        <v>1</v>
      </c>
      <c r="AC47" s="5" t="str">
        <f t="shared" si="15"/>
        <v>1</v>
      </c>
      <c r="AD47" s="5" t="str">
        <f t="shared" si="15"/>
        <v>1</v>
      </c>
      <c r="AE47" s="5" t="str">
        <f t="shared" si="15"/>
        <v>1</v>
      </c>
    </row>
    <row r="48" spans="1:31" ht="14.4" x14ac:dyDescent="0.3">
      <c r="A48" s="14">
        <v>45</v>
      </c>
      <c r="B48" s="24" t="s">
        <v>168</v>
      </c>
      <c r="C48" s="10">
        <v>37</v>
      </c>
      <c r="D48" s="10">
        <v>60</v>
      </c>
      <c r="E48" s="16">
        <v>365</v>
      </c>
      <c r="F48" s="19">
        <v>2.3999999999999998E-3</v>
      </c>
      <c r="G48" s="10">
        <v>2400</v>
      </c>
      <c r="H48" s="13">
        <v>3.0000000000000001E-3</v>
      </c>
      <c r="I48" s="17">
        <v>10950</v>
      </c>
      <c r="J48" s="22">
        <v>19</v>
      </c>
      <c r="K48" s="18">
        <f t="shared" si="0"/>
        <v>6.08E-2</v>
      </c>
      <c r="L48" s="2">
        <f t="shared" si="21"/>
        <v>1.6E-2</v>
      </c>
      <c r="M48" s="2">
        <f t="shared" si="2"/>
        <v>3.2000000000000001E-2</v>
      </c>
      <c r="N48" s="2">
        <f t="shared" si="3"/>
        <v>4.8000000000000001E-2</v>
      </c>
      <c r="O48" s="2">
        <f t="shared" si="4"/>
        <v>6.4000000000000001E-2</v>
      </c>
      <c r="P48" s="2">
        <f t="shared" si="5"/>
        <v>0.08</v>
      </c>
      <c r="Q48" s="2">
        <f t="shared" si="6"/>
        <v>9.6000000000000002E-2</v>
      </c>
      <c r="R48" s="2">
        <f t="shared" si="7"/>
        <v>20.266666666666666</v>
      </c>
      <c r="S48" s="2">
        <f t="shared" si="16"/>
        <v>5.333333333333333</v>
      </c>
      <c r="T48" s="2">
        <f t="shared" si="9"/>
        <v>10.666666666666666</v>
      </c>
      <c r="U48" s="2">
        <f t="shared" si="17"/>
        <v>16</v>
      </c>
      <c r="V48" s="2">
        <f t="shared" si="18"/>
        <v>21.333333333333332</v>
      </c>
      <c r="W48" s="2">
        <f t="shared" si="19"/>
        <v>26.666666666666668</v>
      </c>
      <c r="X48" s="2">
        <f t="shared" si="20"/>
        <v>32</v>
      </c>
      <c r="Y48" s="5" t="str">
        <f t="shared" si="15"/>
        <v>1</v>
      </c>
      <c r="Z48" s="5" t="str">
        <f t="shared" si="15"/>
        <v>1</v>
      </c>
      <c r="AA48" s="5" t="str">
        <f t="shared" si="15"/>
        <v>1</v>
      </c>
      <c r="AB48" s="5" t="str">
        <f t="shared" si="15"/>
        <v>1</v>
      </c>
      <c r="AC48" s="5" t="str">
        <f t="shared" si="15"/>
        <v>1</v>
      </c>
      <c r="AD48" s="5" t="str">
        <f t="shared" si="15"/>
        <v>1</v>
      </c>
      <c r="AE48" s="5" t="str">
        <f t="shared" si="15"/>
        <v>1</v>
      </c>
    </row>
    <row r="49" spans="1:31" ht="14.4" x14ac:dyDescent="0.3">
      <c r="A49" s="14">
        <v>46</v>
      </c>
      <c r="B49" s="24" t="s">
        <v>125</v>
      </c>
      <c r="C49" s="10">
        <v>37</v>
      </c>
      <c r="D49" s="10">
        <v>85</v>
      </c>
      <c r="E49" s="16">
        <v>365</v>
      </c>
      <c r="F49" s="19">
        <v>2.3999999999999998E-3</v>
      </c>
      <c r="G49" s="10">
        <v>1500</v>
      </c>
      <c r="H49" s="13">
        <v>3.0000000000000001E-3</v>
      </c>
      <c r="I49" s="17">
        <v>10950</v>
      </c>
      <c r="J49" s="22">
        <v>6</v>
      </c>
      <c r="K49" s="18">
        <f t="shared" si="0"/>
        <v>8.4705882352941152E-3</v>
      </c>
      <c r="L49" s="2">
        <f t="shared" si="21"/>
        <v>7.0588235294117641E-3</v>
      </c>
      <c r="M49" s="2">
        <f t="shared" si="2"/>
        <v>1.4117647058823528E-2</v>
      </c>
      <c r="N49" s="2">
        <f t="shared" si="3"/>
        <v>2.117647058823529E-2</v>
      </c>
      <c r="O49" s="2">
        <f t="shared" si="4"/>
        <v>2.8235294117647056E-2</v>
      </c>
      <c r="P49" s="2">
        <f t="shared" si="5"/>
        <v>3.5294117647058816E-2</v>
      </c>
      <c r="Q49" s="2">
        <f t="shared" si="6"/>
        <v>4.2352941176470579E-2</v>
      </c>
      <c r="R49" s="2">
        <f t="shared" si="7"/>
        <v>2.8235294117647052</v>
      </c>
      <c r="S49" s="2">
        <f t="shared" si="16"/>
        <v>2.3529411764705879</v>
      </c>
      <c r="T49" s="2">
        <f t="shared" si="9"/>
        <v>4.7058823529411757</v>
      </c>
      <c r="U49" s="2">
        <f t="shared" si="17"/>
        <v>7.0588235294117627</v>
      </c>
      <c r="V49" s="2">
        <f t="shared" si="18"/>
        <v>9.4117647058823515</v>
      </c>
      <c r="W49" s="2">
        <f t="shared" si="19"/>
        <v>11.764705882352938</v>
      </c>
      <c r="X49" s="2">
        <f t="shared" si="20"/>
        <v>14.117647058823525</v>
      </c>
      <c r="Y49" s="5" t="str">
        <f t="shared" si="15"/>
        <v>1</v>
      </c>
      <c r="Z49" s="5" t="str">
        <f t="shared" si="15"/>
        <v>1</v>
      </c>
      <c r="AA49" s="5" t="str">
        <f t="shared" si="15"/>
        <v>1</v>
      </c>
      <c r="AB49" s="5" t="str">
        <f t="shared" si="15"/>
        <v>1</v>
      </c>
      <c r="AC49" s="5" t="str">
        <f t="shared" si="15"/>
        <v>1</v>
      </c>
      <c r="AD49" s="5" t="str">
        <f t="shared" si="15"/>
        <v>1</v>
      </c>
      <c r="AE49" s="5" t="str">
        <f t="shared" si="15"/>
        <v>1</v>
      </c>
    </row>
    <row r="50" spans="1:31" ht="14.4" x14ac:dyDescent="0.3">
      <c r="A50" s="14">
        <v>47</v>
      </c>
      <c r="B50" s="24" t="s">
        <v>128</v>
      </c>
      <c r="C50" s="10">
        <v>37</v>
      </c>
      <c r="D50" s="10">
        <v>60</v>
      </c>
      <c r="E50" s="16">
        <v>365</v>
      </c>
      <c r="F50" s="19">
        <v>1.4E-3</v>
      </c>
      <c r="G50" s="10">
        <v>2400</v>
      </c>
      <c r="H50" s="13">
        <v>3.0000000000000001E-3</v>
      </c>
      <c r="I50" s="17">
        <v>10950</v>
      </c>
      <c r="J50" s="22">
        <v>19</v>
      </c>
      <c r="K50" s="18">
        <f t="shared" si="0"/>
        <v>3.5466666666666667E-2</v>
      </c>
      <c r="L50" s="2">
        <f t="shared" si="21"/>
        <v>9.3333333333333324E-3</v>
      </c>
      <c r="M50" s="2">
        <f t="shared" si="2"/>
        <v>1.8666666666666665E-2</v>
      </c>
      <c r="N50" s="2">
        <f t="shared" si="3"/>
        <v>2.7999999999999994E-2</v>
      </c>
      <c r="O50" s="2">
        <f t="shared" si="4"/>
        <v>3.7333333333333329E-2</v>
      </c>
      <c r="P50" s="2">
        <f t="shared" si="5"/>
        <v>4.6666666666666662E-2</v>
      </c>
      <c r="Q50" s="2">
        <f t="shared" si="6"/>
        <v>5.5999999999999987E-2</v>
      </c>
      <c r="R50" s="2">
        <f t="shared" si="7"/>
        <v>11.822222222222223</v>
      </c>
      <c r="S50" s="2">
        <f t="shared" si="16"/>
        <v>3.1111111111111107</v>
      </c>
      <c r="T50" s="2">
        <f t="shared" si="9"/>
        <v>6.2222222222222214</v>
      </c>
      <c r="U50" s="2">
        <f t="shared" si="17"/>
        <v>9.3333333333333304</v>
      </c>
      <c r="V50" s="2">
        <f t="shared" si="18"/>
        <v>12.444444444444443</v>
      </c>
      <c r="W50" s="2">
        <f t="shared" si="19"/>
        <v>15.555555555555554</v>
      </c>
      <c r="X50" s="2">
        <f t="shared" si="20"/>
        <v>18.666666666666661</v>
      </c>
      <c r="Y50" s="5" t="str">
        <f t="shared" si="15"/>
        <v>1</v>
      </c>
      <c r="Z50" s="5" t="str">
        <f t="shared" si="15"/>
        <v>1</v>
      </c>
      <c r="AA50" s="5" t="str">
        <f t="shared" si="15"/>
        <v>1</v>
      </c>
      <c r="AB50" s="5" t="str">
        <f t="shared" si="15"/>
        <v>1</v>
      </c>
      <c r="AC50" s="5" t="str">
        <f t="shared" si="15"/>
        <v>1</v>
      </c>
      <c r="AD50" s="5" t="str">
        <f t="shared" si="15"/>
        <v>1</v>
      </c>
      <c r="AE50" s="5" t="str">
        <f t="shared" si="15"/>
        <v>1</v>
      </c>
    </row>
    <row r="51" spans="1:31" ht="14.4" x14ac:dyDescent="0.3">
      <c r="A51" s="14">
        <v>48</v>
      </c>
      <c r="B51" s="24" t="s">
        <v>169</v>
      </c>
      <c r="C51" s="10">
        <v>38</v>
      </c>
      <c r="D51" s="10">
        <v>43</v>
      </c>
      <c r="E51" s="16">
        <v>365</v>
      </c>
      <c r="F51" s="19">
        <v>1.4E-3</v>
      </c>
      <c r="G51" s="10">
        <v>2100</v>
      </c>
      <c r="H51" s="13">
        <v>3.0000000000000001E-3</v>
      </c>
      <c r="I51" s="17">
        <v>10950</v>
      </c>
      <c r="J51" s="22">
        <v>11</v>
      </c>
      <c r="K51" s="18">
        <f t="shared" si="0"/>
        <v>2.5069767441860461E-2</v>
      </c>
      <c r="L51" s="2">
        <f t="shared" si="21"/>
        <v>1.1395348837209301E-2</v>
      </c>
      <c r="M51" s="2">
        <f t="shared" si="2"/>
        <v>2.2790697674418603E-2</v>
      </c>
      <c r="N51" s="2">
        <f t="shared" si="3"/>
        <v>3.4186046511627904E-2</v>
      </c>
      <c r="O51" s="2">
        <f t="shared" si="4"/>
        <v>4.5581395348837206E-2</v>
      </c>
      <c r="P51" s="2">
        <f t="shared" si="5"/>
        <v>5.6976744186046507E-2</v>
      </c>
      <c r="Q51" s="2">
        <f t="shared" si="6"/>
        <v>6.8372093023255809E-2</v>
      </c>
      <c r="R51" s="2">
        <f t="shared" si="7"/>
        <v>8.3565891472868206</v>
      </c>
      <c r="S51" s="2">
        <f t="shared" si="16"/>
        <v>3.7984496124031004</v>
      </c>
      <c r="T51" s="2">
        <f t="shared" si="9"/>
        <v>7.5968992248062008</v>
      </c>
      <c r="U51" s="2">
        <f t="shared" si="17"/>
        <v>11.395348837209301</v>
      </c>
      <c r="V51" s="2">
        <f t="shared" si="18"/>
        <v>15.193798449612402</v>
      </c>
      <c r="W51" s="2">
        <f t="shared" si="19"/>
        <v>18.992248062015502</v>
      </c>
      <c r="X51" s="2">
        <f t="shared" si="20"/>
        <v>22.790697674418603</v>
      </c>
      <c r="Y51" s="5" t="str">
        <f t="shared" si="15"/>
        <v>1</v>
      </c>
      <c r="Z51" s="5" t="str">
        <f t="shared" si="15"/>
        <v>1</v>
      </c>
      <c r="AA51" s="5" t="str">
        <f t="shared" si="15"/>
        <v>1</v>
      </c>
      <c r="AB51" s="5" t="str">
        <f t="shared" si="15"/>
        <v>1</v>
      </c>
      <c r="AC51" s="5" t="str">
        <f t="shared" si="15"/>
        <v>1</v>
      </c>
      <c r="AD51" s="5" t="str">
        <f t="shared" si="15"/>
        <v>1</v>
      </c>
      <c r="AE51" s="5" t="str">
        <f t="shared" si="15"/>
        <v>1</v>
      </c>
    </row>
    <row r="52" spans="1:31" ht="14.4" x14ac:dyDescent="0.3">
      <c r="A52" s="14">
        <v>49</v>
      </c>
      <c r="B52" s="24" t="s">
        <v>170</v>
      </c>
      <c r="C52" s="10">
        <v>38</v>
      </c>
      <c r="D52" s="10">
        <v>50</v>
      </c>
      <c r="E52" s="16">
        <v>365</v>
      </c>
      <c r="F52" s="19">
        <v>1.4E-3</v>
      </c>
      <c r="G52" s="10">
        <v>900</v>
      </c>
      <c r="H52" s="13">
        <v>3.0000000000000001E-3</v>
      </c>
      <c r="I52" s="17">
        <v>10950</v>
      </c>
      <c r="J52" s="22">
        <v>1</v>
      </c>
      <c r="K52" s="18">
        <f t="shared" si="0"/>
        <v>8.3999999999999993E-4</v>
      </c>
      <c r="L52" s="2">
        <f t="shared" si="21"/>
        <v>4.1999999999999997E-3</v>
      </c>
      <c r="M52" s="2">
        <f t="shared" si="2"/>
        <v>8.3999999999999995E-3</v>
      </c>
      <c r="N52" s="2">
        <f t="shared" si="3"/>
        <v>1.26E-2</v>
      </c>
      <c r="O52" s="2">
        <f t="shared" si="4"/>
        <v>1.6799999999999999E-2</v>
      </c>
      <c r="P52" s="2">
        <f t="shared" si="5"/>
        <v>2.1000000000000001E-2</v>
      </c>
      <c r="Q52" s="2">
        <f t="shared" si="6"/>
        <v>2.52E-2</v>
      </c>
      <c r="R52" s="2">
        <f t="shared" si="7"/>
        <v>0.27999999999999997</v>
      </c>
      <c r="S52" s="2">
        <f t="shared" si="16"/>
        <v>1.4</v>
      </c>
      <c r="T52" s="2">
        <f t="shared" si="9"/>
        <v>2.8</v>
      </c>
      <c r="U52" s="2">
        <f t="shared" si="17"/>
        <v>4.2</v>
      </c>
      <c r="V52" s="2">
        <f t="shared" si="18"/>
        <v>5.6</v>
      </c>
      <c r="W52" s="2">
        <f t="shared" si="19"/>
        <v>7</v>
      </c>
      <c r="X52" s="2">
        <f t="shared" si="20"/>
        <v>8.4</v>
      </c>
      <c r="Y52" s="5" t="str">
        <f t="shared" si="15"/>
        <v>2</v>
      </c>
      <c r="Z52" s="5" t="str">
        <f t="shared" si="15"/>
        <v>1</v>
      </c>
      <c r="AA52" s="5" t="str">
        <f t="shared" si="15"/>
        <v>1</v>
      </c>
      <c r="AB52" s="5" t="str">
        <f t="shared" si="15"/>
        <v>1</v>
      </c>
      <c r="AC52" s="5" t="str">
        <f t="shared" si="15"/>
        <v>1</v>
      </c>
      <c r="AD52" s="5" t="str">
        <f t="shared" si="15"/>
        <v>1</v>
      </c>
      <c r="AE52" s="5" t="str">
        <f t="shared" si="15"/>
        <v>1</v>
      </c>
    </row>
    <row r="53" spans="1:31" ht="14.4" x14ac:dyDescent="0.3">
      <c r="A53" s="14">
        <v>50</v>
      </c>
      <c r="B53" s="24" t="s">
        <v>121</v>
      </c>
      <c r="C53" s="10">
        <v>38</v>
      </c>
      <c r="D53" s="10">
        <v>43</v>
      </c>
      <c r="E53" s="16">
        <v>365</v>
      </c>
      <c r="F53" s="19">
        <v>3.0999999999999999E-3</v>
      </c>
      <c r="G53" s="10">
        <v>2100</v>
      </c>
      <c r="H53" s="13">
        <v>3.0000000000000001E-3</v>
      </c>
      <c r="I53" s="17">
        <v>10950</v>
      </c>
      <c r="J53" s="22">
        <v>11</v>
      </c>
      <c r="K53" s="18">
        <f t="shared" si="0"/>
        <v>5.5511627906976745E-2</v>
      </c>
      <c r="L53" s="2">
        <f t="shared" si="21"/>
        <v>2.5232558139534882E-2</v>
      </c>
      <c r="M53" s="2">
        <f t="shared" si="2"/>
        <v>5.0465116279069765E-2</v>
      </c>
      <c r="N53" s="2">
        <f t="shared" si="3"/>
        <v>7.5697674418604657E-2</v>
      </c>
      <c r="O53" s="2">
        <f t="shared" si="4"/>
        <v>0.10093023255813953</v>
      </c>
      <c r="P53" s="2">
        <f t="shared" si="5"/>
        <v>0.12616279069767442</v>
      </c>
      <c r="Q53" s="2">
        <f t="shared" si="6"/>
        <v>0.15139534883720931</v>
      </c>
      <c r="R53" s="2">
        <f t="shared" si="7"/>
        <v>18.503875968992247</v>
      </c>
      <c r="S53" s="2">
        <f t="shared" si="16"/>
        <v>8.4108527131782935</v>
      </c>
      <c r="T53" s="2">
        <f t="shared" si="9"/>
        <v>16.821705426356587</v>
      </c>
      <c r="U53" s="2">
        <f t="shared" si="17"/>
        <v>25.232558139534884</v>
      </c>
      <c r="V53" s="2">
        <f t="shared" si="18"/>
        <v>33.643410852713174</v>
      </c>
      <c r="W53" s="2">
        <f t="shared" si="19"/>
        <v>42.054263565891468</v>
      </c>
      <c r="X53" s="2">
        <f t="shared" si="20"/>
        <v>50.465116279069768</v>
      </c>
      <c r="Y53" s="5" t="str">
        <f t="shared" si="15"/>
        <v>1</v>
      </c>
      <c r="Z53" s="5" t="str">
        <f t="shared" si="15"/>
        <v>1</v>
      </c>
      <c r="AA53" s="5" t="str">
        <f t="shared" si="15"/>
        <v>1</v>
      </c>
      <c r="AB53" s="5" t="str">
        <f t="shared" si="15"/>
        <v>1</v>
      </c>
      <c r="AC53" s="5" t="str">
        <f t="shared" si="15"/>
        <v>1</v>
      </c>
      <c r="AD53" s="5" t="str">
        <f t="shared" si="15"/>
        <v>1</v>
      </c>
      <c r="AE53" s="5" t="str">
        <f t="shared" si="15"/>
        <v>1</v>
      </c>
    </row>
    <row r="54" spans="1:31" ht="14.4" x14ac:dyDescent="0.3">
      <c r="A54" s="14">
        <v>51</v>
      </c>
      <c r="B54" s="24" t="s">
        <v>142</v>
      </c>
      <c r="C54" s="10">
        <v>38</v>
      </c>
      <c r="D54" s="10">
        <v>50</v>
      </c>
      <c r="E54" s="16">
        <v>365</v>
      </c>
      <c r="F54" s="19">
        <v>6.3E-3</v>
      </c>
      <c r="G54" s="10">
        <v>900</v>
      </c>
      <c r="H54" s="13">
        <v>3.0000000000000001E-3</v>
      </c>
      <c r="I54" s="17">
        <v>10950</v>
      </c>
      <c r="J54" s="22">
        <v>1</v>
      </c>
      <c r="K54" s="18">
        <f t="shared" si="0"/>
        <v>3.7800000000000004E-3</v>
      </c>
      <c r="L54" s="2">
        <f t="shared" si="21"/>
        <v>1.89E-2</v>
      </c>
      <c r="M54" s="2">
        <f t="shared" si="2"/>
        <v>3.78E-2</v>
      </c>
      <c r="N54" s="2">
        <f t="shared" si="3"/>
        <v>5.6700000000000007E-2</v>
      </c>
      <c r="O54" s="2">
        <f t="shared" si="4"/>
        <v>7.5600000000000001E-2</v>
      </c>
      <c r="P54" s="2">
        <f t="shared" si="5"/>
        <v>9.4500000000000015E-2</v>
      </c>
      <c r="Q54" s="2">
        <f t="shared" si="6"/>
        <v>0.11340000000000001</v>
      </c>
      <c r="R54" s="2">
        <f t="shared" si="7"/>
        <v>1.26</v>
      </c>
      <c r="S54" s="2">
        <f t="shared" si="16"/>
        <v>6.3</v>
      </c>
      <c r="T54" s="2">
        <f t="shared" si="9"/>
        <v>12.6</v>
      </c>
      <c r="U54" s="2">
        <f t="shared" si="17"/>
        <v>18.900000000000002</v>
      </c>
      <c r="V54" s="2">
        <f t="shared" si="18"/>
        <v>25.2</v>
      </c>
      <c r="W54" s="2">
        <f t="shared" si="19"/>
        <v>31.500000000000004</v>
      </c>
      <c r="X54" s="2">
        <f t="shared" si="20"/>
        <v>37.800000000000004</v>
      </c>
      <c r="Y54" s="5" t="str">
        <f t="shared" ref="Y54:AE90" si="22">IF(R54&gt;1,"1","2")</f>
        <v>1</v>
      </c>
      <c r="Z54" s="5" t="str">
        <f t="shared" si="22"/>
        <v>1</v>
      </c>
      <c r="AA54" s="5" t="str">
        <f t="shared" si="22"/>
        <v>1</v>
      </c>
      <c r="AB54" s="5" t="str">
        <f t="shared" si="22"/>
        <v>1</v>
      </c>
      <c r="AC54" s="5" t="str">
        <f t="shared" si="22"/>
        <v>1</v>
      </c>
      <c r="AD54" s="5" t="str">
        <f t="shared" si="22"/>
        <v>1</v>
      </c>
      <c r="AE54" s="5" t="str">
        <f t="shared" si="22"/>
        <v>1</v>
      </c>
    </row>
    <row r="55" spans="1:31" ht="14.4" x14ac:dyDescent="0.3">
      <c r="A55" s="14">
        <v>52</v>
      </c>
      <c r="B55" s="24" t="s">
        <v>142</v>
      </c>
      <c r="C55" s="10">
        <v>38</v>
      </c>
      <c r="D55" s="10">
        <v>50</v>
      </c>
      <c r="E55" s="16">
        <v>365</v>
      </c>
      <c r="F55" s="19">
        <v>6.3E-3</v>
      </c>
      <c r="G55" s="10">
        <v>900</v>
      </c>
      <c r="H55" s="13">
        <v>3.0000000000000001E-3</v>
      </c>
      <c r="I55" s="17">
        <v>10950</v>
      </c>
      <c r="J55" s="22">
        <v>1</v>
      </c>
      <c r="K55" s="18">
        <f t="shared" si="0"/>
        <v>3.7800000000000004E-3</v>
      </c>
      <c r="L55" s="2">
        <f t="shared" si="21"/>
        <v>1.89E-2</v>
      </c>
      <c r="M55" s="2">
        <f t="shared" si="2"/>
        <v>3.78E-2</v>
      </c>
      <c r="N55" s="2">
        <f t="shared" si="3"/>
        <v>5.6700000000000007E-2</v>
      </c>
      <c r="O55" s="2">
        <f t="shared" si="4"/>
        <v>7.5600000000000001E-2</v>
      </c>
      <c r="P55" s="2">
        <f t="shared" si="5"/>
        <v>9.4500000000000015E-2</v>
      </c>
      <c r="Q55" s="2">
        <f t="shared" si="6"/>
        <v>0.11340000000000001</v>
      </c>
      <c r="R55" s="2">
        <f t="shared" si="7"/>
        <v>1.26</v>
      </c>
      <c r="S55" s="2">
        <f t="shared" si="16"/>
        <v>6.3</v>
      </c>
      <c r="T55" s="2">
        <f t="shared" si="9"/>
        <v>12.6</v>
      </c>
      <c r="U55" s="2">
        <f t="shared" si="17"/>
        <v>18.900000000000002</v>
      </c>
      <c r="V55" s="2">
        <f t="shared" si="18"/>
        <v>25.2</v>
      </c>
      <c r="W55" s="2">
        <f t="shared" si="19"/>
        <v>31.500000000000004</v>
      </c>
      <c r="X55" s="2">
        <f t="shared" si="20"/>
        <v>37.800000000000004</v>
      </c>
      <c r="Y55" s="5" t="str">
        <f t="shared" si="22"/>
        <v>1</v>
      </c>
      <c r="Z55" s="5" t="str">
        <f t="shared" si="22"/>
        <v>1</v>
      </c>
      <c r="AA55" s="5" t="str">
        <f t="shared" si="22"/>
        <v>1</v>
      </c>
      <c r="AB55" s="5" t="str">
        <f t="shared" si="22"/>
        <v>1</v>
      </c>
      <c r="AC55" s="5" t="str">
        <f t="shared" si="22"/>
        <v>1</v>
      </c>
      <c r="AD55" s="5" t="str">
        <f t="shared" si="22"/>
        <v>1</v>
      </c>
      <c r="AE55" s="5" t="str">
        <f t="shared" si="22"/>
        <v>1</v>
      </c>
    </row>
    <row r="56" spans="1:31" ht="14.4" x14ac:dyDescent="0.3">
      <c r="A56" s="14">
        <v>53</v>
      </c>
      <c r="B56" s="24" t="s">
        <v>171</v>
      </c>
      <c r="C56" s="10">
        <v>39</v>
      </c>
      <c r="D56" s="10">
        <v>65</v>
      </c>
      <c r="E56" s="16">
        <v>365</v>
      </c>
      <c r="F56" s="19">
        <v>6.3E-3</v>
      </c>
      <c r="G56" s="10">
        <v>1200</v>
      </c>
      <c r="H56" s="13">
        <v>3.0000000000000001E-3</v>
      </c>
      <c r="I56" s="17">
        <v>10950</v>
      </c>
      <c r="J56" s="22">
        <v>12</v>
      </c>
      <c r="K56" s="18">
        <f t="shared" si="0"/>
        <v>4.6523076923076924E-2</v>
      </c>
      <c r="L56" s="2">
        <f t="shared" si="21"/>
        <v>1.9384615384615386E-2</v>
      </c>
      <c r="M56" s="2">
        <f t="shared" si="2"/>
        <v>3.8769230769230771E-2</v>
      </c>
      <c r="N56" s="2">
        <f t="shared" si="3"/>
        <v>5.8153846153846153E-2</v>
      </c>
      <c r="O56" s="2">
        <f t="shared" si="4"/>
        <v>7.7538461538461542E-2</v>
      </c>
      <c r="P56" s="2">
        <f t="shared" si="5"/>
        <v>9.6923076923076917E-2</v>
      </c>
      <c r="Q56" s="2">
        <f t="shared" si="6"/>
        <v>0.11630769230769231</v>
      </c>
      <c r="R56" s="2">
        <f t="shared" si="7"/>
        <v>15.507692307692308</v>
      </c>
      <c r="S56" s="2">
        <f t="shared" si="16"/>
        <v>6.4615384615384617</v>
      </c>
      <c r="T56" s="2">
        <f t="shared" si="9"/>
        <v>12.923076923076923</v>
      </c>
      <c r="U56" s="2">
        <f t="shared" si="17"/>
        <v>19.384615384615383</v>
      </c>
      <c r="V56" s="2">
        <f t="shared" si="18"/>
        <v>25.846153846153847</v>
      </c>
      <c r="W56" s="2">
        <f t="shared" si="19"/>
        <v>32.307692307692307</v>
      </c>
      <c r="X56" s="2">
        <f t="shared" si="20"/>
        <v>38.769230769230766</v>
      </c>
      <c r="Y56" s="5" t="str">
        <f t="shared" si="22"/>
        <v>1</v>
      </c>
      <c r="Z56" s="5" t="str">
        <f t="shared" si="22"/>
        <v>1</v>
      </c>
      <c r="AA56" s="5" t="str">
        <f t="shared" si="22"/>
        <v>1</v>
      </c>
      <c r="AB56" s="5" t="str">
        <f t="shared" si="22"/>
        <v>1</v>
      </c>
      <c r="AC56" s="5" t="str">
        <f t="shared" si="22"/>
        <v>1</v>
      </c>
      <c r="AD56" s="5" t="str">
        <f t="shared" si="22"/>
        <v>1</v>
      </c>
      <c r="AE56" s="5" t="str">
        <f t="shared" si="22"/>
        <v>1</v>
      </c>
    </row>
    <row r="57" spans="1:31" ht="14.4" x14ac:dyDescent="0.3">
      <c r="A57" s="14">
        <v>54</v>
      </c>
      <c r="B57" s="24" t="s">
        <v>172</v>
      </c>
      <c r="C57" s="10">
        <v>39</v>
      </c>
      <c r="D57" s="10">
        <v>83</v>
      </c>
      <c r="E57" s="16">
        <v>365</v>
      </c>
      <c r="F57" s="19">
        <v>6.9999999999999999E-4</v>
      </c>
      <c r="G57" s="10">
        <v>900</v>
      </c>
      <c r="H57" s="13">
        <v>3.0000000000000001E-3</v>
      </c>
      <c r="I57" s="17">
        <v>10950</v>
      </c>
      <c r="J57" s="22">
        <v>39</v>
      </c>
      <c r="K57" s="18">
        <f t="shared" si="0"/>
        <v>9.8674698795180715E-3</v>
      </c>
      <c r="L57" s="2">
        <f t="shared" si="21"/>
        <v>1.2650602409638553E-3</v>
      </c>
      <c r="M57" s="2">
        <f t="shared" si="2"/>
        <v>2.5301204819277107E-3</v>
      </c>
      <c r="N57" s="2">
        <f t="shared" si="3"/>
        <v>3.7951807228915665E-3</v>
      </c>
      <c r="O57" s="2">
        <f t="shared" si="4"/>
        <v>5.0602409638554214E-3</v>
      </c>
      <c r="P57" s="2">
        <f t="shared" si="5"/>
        <v>6.3253012048192772E-3</v>
      </c>
      <c r="Q57" s="2">
        <f t="shared" si="6"/>
        <v>7.590361445783133E-3</v>
      </c>
      <c r="R57" s="2">
        <f t="shared" si="7"/>
        <v>3.2891566265060237</v>
      </c>
      <c r="S57" s="2">
        <f t="shared" si="16"/>
        <v>0.42168674698795178</v>
      </c>
      <c r="T57" s="2">
        <f t="shared" si="9"/>
        <v>0.84337349397590355</v>
      </c>
      <c r="U57" s="2">
        <f t="shared" si="17"/>
        <v>1.2650602409638554</v>
      </c>
      <c r="V57" s="2">
        <f t="shared" si="18"/>
        <v>1.6867469879518071</v>
      </c>
      <c r="W57" s="2">
        <f t="shared" si="19"/>
        <v>2.1084337349397591</v>
      </c>
      <c r="X57" s="2">
        <f t="shared" si="20"/>
        <v>2.5301204819277108</v>
      </c>
      <c r="Y57" s="5" t="str">
        <f t="shared" si="22"/>
        <v>1</v>
      </c>
      <c r="Z57" s="5" t="str">
        <f t="shared" si="22"/>
        <v>2</v>
      </c>
      <c r="AA57" s="5" t="str">
        <f t="shared" si="22"/>
        <v>2</v>
      </c>
      <c r="AB57" s="5" t="str">
        <f t="shared" si="22"/>
        <v>1</v>
      </c>
      <c r="AC57" s="5" t="str">
        <f t="shared" si="22"/>
        <v>1</v>
      </c>
      <c r="AD57" s="5" t="str">
        <f t="shared" si="22"/>
        <v>1</v>
      </c>
      <c r="AE57" s="5" t="str">
        <f t="shared" si="22"/>
        <v>1</v>
      </c>
    </row>
    <row r="58" spans="1:31" ht="14.4" x14ac:dyDescent="0.3">
      <c r="A58" s="14">
        <v>55</v>
      </c>
      <c r="B58" s="24" t="s">
        <v>173</v>
      </c>
      <c r="C58" s="10">
        <v>39</v>
      </c>
      <c r="D58" s="10">
        <v>65</v>
      </c>
      <c r="E58" s="16">
        <v>365</v>
      </c>
      <c r="F58" s="19">
        <v>6.9999999999999999E-4</v>
      </c>
      <c r="G58" s="10">
        <v>900</v>
      </c>
      <c r="H58" s="13">
        <v>3.0000000000000001E-3</v>
      </c>
      <c r="I58" s="17">
        <v>10950</v>
      </c>
      <c r="J58" s="22">
        <v>20</v>
      </c>
      <c r="K58" s="18">
        <f t="shared" si="0"/>
        <v>6.4615384615384613E-3</v>
      </c>
      <c r="L58" s="2">
        <f t="shared" si="21"/>
        <v>1.6153846153846153E-3</v>
      </c>
      <c r="M58" s="2">
        <f t="shared" si="2"/>
        <v>3.2307692307692306E-3</v>
      </c>
      <c r="N58" s="2">
        <f t="shared" si="3"/>
        <v>4.8461538461538464E-3</v>
      </c>
      <c r="O58" s="2">
        <f t="shared" si="4"/>
        <v>6.4615384615384613E-3</v>
      </c>
      <c r="P58" s="2">
        <f t="shared" si="5"/>
        <v>8.076923076923077E-3</v>
      </c>
      <c r="Q58" s="2">
        <f t="shared" si="6"/>
        <v>9.6923076923076928E-3</v>
      </c>
      <c r="R58" s="2">
        <f t="shared" si="7"/>
        <v>2.1538461538461537</v>
      </c>
      <c r="S58" s="2">
        <f t="shared" si="16"/>
        <v>0.53846153846153844</v>
      </c>
      <c r="T58" s="2">
        <f t="shared" si="9"/>
        <v>1.0769230769230769</v>
      </c>
      <c r="U58" s="2">
        <f t="shared" si="17"/>
        <v>1.6153846153846154</v>
      </c>
      <c r="V58" s="2">
        <f t="shared" si="18"/>
        <v>2.1538461538461537</v>
      </c>
      <c r="W58" s="2">
        <f t="shared" si="19"/>
        <v>2.6923076923076921</v>
      </c>
      <c r="X58" s="2">
        <f t="shared" si="20"/>
        <v>3.2307692307692308</v>
      </c>
      <c r="Y58" s="5" t="str">
        <f t="shared" si="22"/>
        <v>1</v>
      </c>
      <c r="Z58" s="5" t="str">
        <f t="shared" si="22"/>
        <v>2</v>
      </c>
      <c r="AA58" s="5" t="str">
        <f t="shared" si="22"/>
        <v>1</v>
      </c>
      <c r="AB58" s="5" t="str">
        <f t="shared" si="22"/>
        <v>1</v>
      </c>
      <c r="AC58" s="5" t="str">
        <f t="shared" si="22"/>
        <v>1</v>
      </c>
      <c r="AD58" s="5" t="str">
        <f t="shared" si="22"/>
        <v>1</v>
      </c>
      <c r="AE58" s="5" t="str">
        <f t="shared" si="22"/>
        <v>1</v>
      </c>
    </row>
    <row r="59" spans="1:31" ht="14.4" x14ac:dyDescent="0.3">
      <c r="A59" s="14">
        <v>56</v>
      </c>
      <c r="B59" s="24" t="s">
        <v>174</v>
      </c>
      <c r="C59" s="10">
        <v>39</v>
      </c>
      <c r="D59" s="10">
        <v>53</v>
      </c>
      <c r="E59" s="16">
        <v>365</v>
      </c>
      <c r="F59" s="19">
        <v>6.9999999999999999E-4</v>
      </c>
      <c r="G59" s="10">
        <v>900</v>
      </c>
      <c r="H59" s="13">
        <v>3.0000000000000001E-3</v>
      </c>
      <c r="I59" s="17">
        <v>10950</v>
      </c>
      <c r="J59" s="22">
        <v>4</v>
      </c>
      <c r="K59" s="18">
        <f t="shared" si="0"/>
        <v>1.5849056603773584E-3</v>
      </c>
      <c r="L59" s="2">
        <f t="shared" si="21"/>
        <v>1.9811320754716979E-3</v>
      </c>
      <c r="M59" s="2">
        <f t="shared" si="2"/>
        <v>3.9622641509433959E-3</v>
      </c>
      <c r="N59" s="2">
        <f t="shared" si="3"/>
        <v>5.9433962264150942E-3</v>
      </c>
      <c r="O59" s="2">
        <f t="shared" si="4"/>
        <v>7.9245283018867917E-3</v>
      </c>
      <c r="P59" s="2">
        <f t="shared" si="5"/>
        <v>9.9056603773584901E-3</v>
      </c>
      <c r="Q59" s="2">
        <f t="shared" si="6"/>
        <v>1.1886792452830188E-2</v>
      </c>
      <c r="R59" s="2">
        <f t="shared" si="7"/>
        <v>0.52830188679245282</v>
      </c>
      <c r="S59" s="2">
        <f t="shared" si="16"/>
        <v>0.660377358490566</v>
      </c>
      <c r="T59" s="2">
        <f t="shared" si="9"/>
        <v>1.320754716981132</v>
      </c>
      <c r="U59" s="2">
        <f t="shared" si="17"/>
        <v>1.9811320754716981</v>
      </c>
      <c r="V59" s="2">
        <f t="shared" si="18"/>
        <v>2.641509433962264</v>
      </c>
      <c r="W59" s="2">
        <f t="shared" si="19"/>
        <v>3.3018867924528301</v>
      </c>
      <c r="X59" s="2">
        <f t="shared" si="20"/>
        <v>3.9622641509433962</v>
      </c>
      <c r="Y59" s="5" t="str">
        <f t="shared" si="22"/>
        <v>2</v>
      </c>
      <c r="Z59" s="5" t="str">
        <f t="shared" si="22"/>
        <v>2</v>
      </c>
      <c r="AA59" s="5" t="str">
        <f t="shared" si="22"/>
        <v>1</v>
      </c>
      <c r="AB59" s="5" t="str">
        <f t="shared" si="22"/>
        <v>1</v>
      </c>
      <c r="AC59" s="5" t="str">
        <f t="shared" si="22"/>
        <v>1</v>
      </c>
      <c r="AD59" s="5" t="str">
        <f t="shared" si="22"/>
        <v>1</v>
      </c>
      <c r="AE59" s="5" t="str">
        <f t="shared" si="22"/>
        <v>1</v>
      </c>
    </row>
    <row r="60" spans="1:31" ht="14.4" x14ac:dyDescent="0.3">
      <c r="A60" s="14">
        <v>57</v>
      </c>
      <c r="B60" s="24" t="s">
        <v>146</v>
      </c>
      <c r="C60" s="10">
        <v>39</v>
      </c>
      <c r="D60" s="10">
        <v>83</v>
      </c>
      <c r="E60" s="16">
        <v>365</v>
      </c>
      <c r="F60" s="19">
        <v>5.9999999999999995E-4</v>
      </c>
      <c r="G60" s="10">
        <v>900</v>
      </c>
      <c r="H60" s="13">
        <v>3.0000000000000001E-3</v>
      </c>
      <c r="I60" s="17">
        <v>10950</v>
      </c>
      <c r="J60" s="22">
        <v>39</v>
      </c>
      <c r="K60" s="18">
        <f t="shared" si="0"/>
        <v>8.4578313253012034E-3</v>
      </c>
      <c r="L60" s="2">
        <f t="shared" si="21"/>
        <v>1.0843373493975902E-3</v>
      </c>
      <c r="M60" s="2">
        <f t="shared" si="2"/>
        <v>2.1686746987951804E-3</v>
      </c>
      <c r="N60" s="2">
        <f t="shared" si="3"/>
        <v>3.2530120481927705E-3</v>
      </c>
      <c r="O60" s="2">
        <f t="shared" si="4"/>
        <v>4.3373493975903607E-3</v>
      </c>
      <c r="P60" s="2">
        <f t="shared" si="5"/>
        <v>5.4216867469879509E-3</v>
      </c>
      <c r="Q60" s="2">
        <f t="shared" si="6"/>
        <v>6.5060240963855411E-3</v>
      </c>
      <c r="R60" s="2">
        <f t="shared" si="7"/>
        <v>2.8192771084337345</v>
      </c>
      <c r="S60" s="2">
        <f t="shared" si="16"/>
        <v>0.36144578313253006</v>
      </c>
      <c r="T60" s="2">
        <f t="shared" si="9"/>
        <v>0.72289156626506013</v>
      </c>
      <c r="U60" s="2">
        <f t="shared" si="17"/>
        <v>1.0843373493975901</v>
      </c>
      <c r="V60" s="2">
        <f t="shared" si="18"/>
        <v>1.4457831325301203</v>
      </c>
      <c r="W60" s="2">
        <f t="shared" si="19"/>
        <v>1.8072289156626502</v>
      </c>
      <c r="X60" s="2">
        <f t="shared" si="20"/>
        <v>2.1686746987951802</v>
      </c>
      <c r="Y60" s="5" t="str">
        <f t="shared" si="22"/>
        <v>1</v>
      </c>
      <c r="Z60" s="5" t="str">
        <f t="shared" si="22"/>
        <v>2</v>
      </c>
      <c r="AA60" s="5" t="str">
        <f t="shared" si="22"/>
        <v>2</v>
      </c>
      <c r="AB60" s="5" t="str">
        <f t="shared" si="22"/>
        <v>1</v>
      </c>
      <c r="AC60" s="5" t="str">
        <f t="shared" si="22"/>
        <v>1</v>
      </c>
      <c r="AD60" s="5" t="str">
        <f t="shared" si="22"/>
        <v>1</v>
      </c>
      <c r="AE60" s="5" t="str">
        <f t="shared" si="22"/>
        <v>1</v>
      </c>
    </row>
    <row r="61" spans="1:31" ht="14.4" x14ac:dyDescent="0.3">
      <c r="A61" s="14">
        <v>58</v>
      </c>
      <c r="B61" s="24" t="s">
        <v>175</v>
      </c>
      <c r="C61" s="10">
        <v>40</v>
      </c>
      <c r="D61" s="10">
        <v>64</v>
      </c>
      <c r="E61" s="16">
        <v>365</v>
      </c>
      <c r="F61" s="19">
        <v>5.9999999999999995E-4</v>
      </c>
      <c r="G61" s="10">
        <v>900</v>
      </c>
      <c r="H61" s="13">
        <v>3.0000000000000001E-3</v>
      </c>
      <c r="I61" s="17">
        <v>10950</v>
      </c>
      <c r="J61" s="22">
        <v>5</v>
      </c>
      <c r="K61" s="18">
        <f t="shared" si="0"/>
        <v>1.4062499999999997E-3</v>
      </c>
      <c r="L61" s="2">
        <f t="shared" si="21"/>
        <v>1.4062499999999997E-3</v>
      </c>
      <c r="M61" s="2">
        <f t="shared" si="2"/>
        <v>2.8124999999999995E-3</v>
      </c>
      <c r="N61" s="2">
        <f t="shared" si="3"/>
        <v>4.2187499999999994E-3</v>
      </c>
      <c r="O61" s="2">
        <f t="shared" si="4"/>
        <v>5.6249999999999989E-3</v>
      </c>
      <c r="P61" s="2">
        <f t="shared" si="5"/>
        <v>7.0312499999999984E-3</v>
      </c>
      <c r="Q61" s="2">
        <f t="shared" si="6"/>
        <v>8.4374999999999988E-3</v>
      </c>
      <c r="R61" s="2">
        <f t="shared" si="7"/>
        <v>0.46874999999999989</v>
      </c>
      <c r="S61" s="2">
        <f t="shared" si="16"/>
        <v>0.46874999999999989</v>
      </c>
      <c r="T61" s="2">
        <f t="shared" si="9"/>
        <v>0.93749999999999978</v>
      </c>
      <c r="U61" s="2">
        <f t="shared" si="17"/>
        <v>1.4062499999999998</v>
      </c>
      <c r="V61" s="2">
        <f t="shared" si="18"/>
        <v>1.8749999999999996</v>
      </c>
      <c r="W61" s="2">
        <f t="shared" si="19"/>
        <v>2.3437499999999996</v>
      </c>
      <c r="X61" s="2">
        <f t="shared" si="20"/>
        <v>2.8124999999999996</v>
      </c>
      <c r="Y61" s="5" t="str">
        <f t="shared" si="22"/>
        <v>2</v>
      </c>
      <c r="Z61" s="5" t="str">
        <f t="shared" si="22"/>
        <v>2</v>
      </c>
      <c r="AA61" s="5" t="str">
        <f t="shared" si="22"/>
        <v>2</v>
      </c>
      <c r="AB61" s="5" t="str">
        <f t="shared" si="22"/>
        <v>1</v>
      </c>
      <c r="AC61" s="5" t="str">
        <f t="shared" si="22"/>
        <v>1</v>
      </c>
      <c r="AD61" s="5" t="str">
        <f t="shared" si="22"/>
        <v>1</v>
      </c>
      <c r="AE61" s="5" t="str">
        <f t="shared" si="22"/>
        <v>1</v>
      </c>
    </row>
    <row r="62" spans="1:31" ht="14.4" x14ac:dyDescent="0.3">
      <c r="A62" s="14">
        <v>59</v>
      </c>
      <c r="B62" s="24" t="s">
        <v>176</v>
      </c>
      <c r="C62" s="10">
        <v>40</v>
      </c>
      <c r="D62" s="10">
        <v>57</v>
      </c>
      <c r="E62" s="16">
        <v>365</v>
      </c>
      <c r="F62" s="19">
        <v>1.6000000000000001E-3</v>
      </c>
      <c r="G62" s="10">
        <v>1500</v>
      </c>
      <c r="H62" s="13">
        <v>3.0000000000000001E-3</v>
      </c>
      <c r="I62" s="17">
        <v>10950</v>
      </c>
      <c r="J62" s="22">
        <v>6</v>
      </c>
      <c r="K62" s="18">
        <f t="shared" si="0"/>
        <v>8.4210526315789472E-3</v>
      </c>
      <c r="L62" s="2">
        <f t="shared" si="21"/>
        <v>7.0175438596491229E-3</v>
      </c>
      <c r="M62" s="2">
        <f t="shared" si="2"/>
        <v>1.4035087719298246E-2</v>
      </c>
      <c r="N62" s="2">
        <f t="shared" si="3"/>
        <v>2.1052631578947368E-2</v>
      </c>
      <c r="O62" s="2">
        <f t="shared" si="4"/>
        <v>2.8070175438596492E-2</v>
      </c>
      <c r="P62" s="2">
        <f t="shared" si="5"/>
        <v>3.5087719298245612E-2</v>
      </c>
      <c r="Q62" s="2">
        <f t="shared" si="6"/>
        <v>4.2105263157894736E-2</v>
      </c>
      <c r="R62" s="2">
        <f t="shared" si="7"/>
        <v>2.807017543859649</v>
      </c>
      <c r="S62" s="2">
        <f t="shared" si="16"/>
        <v>2.3391812865497075</v>
      </c>
      <c r="T62" s="2">
        <f t="shared" si="9"/>
        <v>4.6783625730994149</v>
      </c>
      <c r="U62" s="2">
        <f t="shared" si="17"/>
        <v>7.0175438596491224</v>
      </c>
      <c r="V62" s="2">
        <f t="shared" si="18"/>
        <v>9.3567251461988299</v>
      </c>
      <c r="W62" s="2">
        <f t="shared" si="19"/>
        <v>11.695906432748536</v>
      </c>
      <c r="X62" s="2">
        <f t="shared" si="20"/>
        <v>14.035087719298245</v>
      </c>
      <c r="Y62" s="5" t="str">
        <f t="shared" si="22"/>
        <v>1</v>
      </c>
      <c r="Z62" s="5" t="str">
        <f t="shared" si="22"/>
        <v>1</v>
      </c>
      <c r="AA62" s="5" t="str">
        <f t="shared" si="22"/>
        <v>1</v>
      </c>
      <c r="AB62" s="5" t="str">
        <f t="shared" si="22"/>
        <v>1</v>
      </c>
      <c r="AC62" s="5" t="str">
        <f t="shared" si="22"/>
        <v>1</v>
      </c>
      <c r="AD62" s="5" t="str">
        <f t="shared" si="22"/>
        <v>1</v>
      </c>
      <c r="AE62" s="5" t="str">
        <f t="shared" si="22"/>
        <v>1</v>
      </c>
    </row>
    <row r="63" spans="1:31" ht="14.4" x14ac:dyDescent="0.3">
      <c r="A63" s="14">
        <v>60</v>
      </c>
      <c r="B63" s="24" t="s">
        <v>107</v>
      </c>
      <c r="C63" s="10">
        <v>40</v>
      </c>
      <c r="D63" s="10">
        <v>76</v>
      </c>
      <c r="E63" s="16">
        <v>365</v>
      </c>
      <c r="F63" s="19">
        <v>2.8E-3</v>
      </c>
      <c r="G63" s="10">
        <v>3000</v>
      </c>
      <c r="H63" s="13">
        <v>3.0000000000000001E-3</v>
      </c>
      <c r="I63" s="17">
        <v>10950</v>
      </c>
      <c r="J63" s="22">
        <v>1</v>
      </c>
      <c r="K63" s="18">
        <f t="shared" si="0"/>
        <v>3.6842105263157894E-3</v>
      </c>
      <c r="L63" s="2">
        <f t="shared" si="21"/>
        <v>1.8421052631578946E-2</v>
      </c>
      <c r="M63" s="2">
        <f t="shared" si="2"/>
        <v>3.6842105263157891E-2</v>
      </c>
      <c r="N63" s="2">
        <f t="shared" si="3"/>
        <v>5.526315789473684E-2</v>
      </c>
      <c r="O63" s="2">
        <f t="shared" si="4"/>
        <v>7.3684210526315783E-2</v>
      </c>
      <c r="P63" s="2">
        <f t="shared" si="5"/>
        <v>9.2105263157894732E-2</v>
      </c>
      <c r="Q63" s="2">
        <f t="shared" si="6"/>
        <v>0.11052631578947368</v>
      </c>
      <c r="R63" s="2">
        <f t="shared" si="7"/>
        <v>1.2280701754385965</v>
      </c>
      <c r="S63" s="2">
        <f t="shared" si="16"/>
        <v>6.140350877192982</v>
      </c>
      <c r="T63" s="2">
        <f t="shared" si="9"/>
        <v>12.280701754385964</v>
      </c>
      <c r="U63" s="2">
        <f t="shared" si="17"/>
        <v>18.421052631578945</v>
      </c>
      <c r="V63" s="2">
        <f t="shared" si="18"/>
        <v>24.561403508771928</v>
      </c>
      <c r="W63" s="2">
        <f t="shared" si="19"/>
        <v>30.701754385964911</v>
      </c>
      <c r="X63" s="2">
        <f t="shared" si="20"/>
        <v>36.84210526315789</v>
      </c>
      <c r="Y63" s="5" t="str">
        <f t="shared" si="22"/>
        <v>1</v>
      </c>
      <c r="Z63" s="5" t="str">
        <f t="shared" si="22"/>
        <v>1</v>
      </c>
      <c r="AA63" s="5" t="str">
        <f t="shared" si="22"/>
        <v>1</v>
      </c>
      <c r="AB63" s="5" t="str">
        <f t="shared" si="22"/>
        <v>1</v>
      </c>
      <c r="AC63" s="5" t="str">
        <f t="shared" si="22"/>
        <v>1</v>
      </c>
      <c r="AD63" s="5" t="str">
        <f t="shared" si="22"/>
        <v>1</v>
      </c>
      <c r="AE63" s="5" t="str">
        <f t="shared" si="22"/>
        <v>1</v>
      </c>
    </row>
    <row r="64" spans="1:31" ht="14.4" x14ac:dyDescent="0.3">
      <c r="A64" s="14">
        <v>61</v>
      </c>
      <c r="B64" s="24" t="s">
        <v>147</v>
      </c>
      <c r="C64" s="10">
        <v>40</v>
      </c>
      <c r="D64" s="10">
        <v>64</v>
      </c>
      <c r="E64" s="16">
        <v>365</v>
      </c>
      <c r="F64" s="19">
        <v>2.8E-3</v>
      </c>
      <c r="G64" s="10">
        <v>900</v>
      </c>
      <c r="H64" s="13">
        <v>3.0000000000000001E-3</v>
      </c>
      <c r="I64" s="17">
        <v>10950</v>
      </c>
      <c r="J64" s="22">
        <v>5</v>
      </c>
      <c r="K64" s="18">
        <f t="shared" si="0"/>
        <v>6.5624999999999998E-3</v>
      </c>
      <c r="L64" s="2">
        <f t="shared" si="21"/>
        <v>6.5624999999999998E-3</v>
      </c>
      <c r="M64" s="2">
        <f t="shared" si="2"/>
        <v>1.3125E-2</v>
      </c>
      <c r="N64" s="2">
        <f t="shared" si="3"/>
        <v>1.96875E-2</v>
      </c>
      <c r="O64" s="2">
        <f t="shared" si="4"/>
        <v>2.6249999999999999E-2</v>
      </c>
      <c r="P64" s="2">
        <f t="shared" si="5"/>
        <v>3.2812500000000001E-2</v>
      </c>
      <c r="Q64" s="2">
        <f t="shared" si="6"/>
        <v>3.9375E-2</v>
      </c>
      <c r="R64" s="2">
        <f t="shared" si="7"/>
        <v>2.1875</v>
      </c>
      <c r="S64" s="2">
        <f t="shared" si="16"/>
        <v>2.1875</v>
      </c>
      <c r="T64" s="2">
        <f t="shared" si="9"/>
        <v>4.375</v>
      </c>
      <c r="U64" s="2">
        <f t="shared" si="17"/>
        <v>6.5625</v>
      </c>
      <c r="V64" s="2">
        <f t="shared" si="18"/>
        <v>8.75</v>
      </c>
      <c r="W64" s="2">
        <f t="shared" si="19"/>
        <v>10.9375</v>
      </c>
      <c r="X64" s="2">
        <f t="shared" si="20"/>
        <v>13.125</v>
      </c>
      <c r="Y64" s="5" t="str">
        <f t="shared" si="22"/>
        <v>1</v>
      </c>
      <c r="Z64" s="5" t="str">
        <f t="shared" si="22"/>
        <v>1</v>
      </c>
      <c r="AA64" s="5" t="str">
        <f t="shared" si="22"/>
        <v>1</v>
      </c>
      <c r="AB64" s="5" t="str">
        <f t="shared" si="22"/>
        <v>1</v>
      </c>
      <c r="AC64" s="5" t="str">
        <f t="shared" si="22"/>
        <v>1</v>
      </c>
      <c r="AD64" s="5" t="str">
        <f t="shared" si="22"/>
        <v>1</v>
      </c>
      <c r="AE64" s="5" t="str">
        <f t="shared" si="22"/>
        <v>1</v>
      </c>
    </row>
    <row r="65" spans="1:31" ht="14.4" x14ac:dyDescent="0.3">
      <c r="A65" s="14">
        <v>62</v>
      </c>
      <c r="B65" s="24" t="s">
        <v>177</v>
      </c>
      <c r="C65" s="10">
        <v>41</v>
      </c>
      <c r="D65" s="10">
        <v>55</v>
      </c>
      <c r="E65" s="16">
        <v>365</v>
      </c>
      <c r="F65" s="19">
        <v>3.5000000000000001E-3</v>
      </c>
      <c r="G65" s="10">
        <v>2100</v>
      </c>
      <c r="H65" s="13">
        <v>3.0000000000000001E-3</v>
      </c>
      <c r="I65" s="17">
        <v>10950</v>
      </c>
      <c r="J65" s="22">
        <v>6</v>
      </c>
      <c r="K65" s="18">
        <f t="shared" si="0"/>
        <v>2.6727272727272728E-2</v>
      </c>
      <c r="L65" s="2">
        <f t="shared" si="21"/>
        <v>2.2272727272727274E-2</v>
      </c>
      <c r="M65" s="2">
        <f t="shared" si="2"/>
        <v>4.4545454545454548E-2</v>
      </c>
      <c r="N65" s="2">
        <f t="shared" si="3"/>
        <v>6.6818181818181818E-2</v>
      </c>
      <c r="O65" s="2">
        <f t="shared" si="4"/>
        <v>8.9090909090909096E-2</v>
      </c>
      <c r="P65" s="2">
        <f t="shared" si="5"/>
        <v>0.11136363636363636</v>
      </c>
      <c r="Q65" s="2">
        <f t="shared" si="6"/>
        <v>0.13363636363636364</v>
      </c>
      <c r="R65" s="2">
        <f t="shared" si="7"/>
        <v>8.9090909090909083</v>
      </c>
      <c r="S65" s="2">
        <f t="shared" si="16"/>
        <v>7.4242424242424248</v>
      </c>
      <c r="T65" s="2">
        <f t="shared" si="9"/>
        <v>14.84848484848485</v>
      </c>
      <c r="U65" s="2">
        <f t="shared" si="17"/>
        <v>22.272727272727273</v>
      </c>
      <c r="V65" s="2">
        <f t="shared" si="18"/>
        <v>29.696969696969699</v>
      </c>
      <c r="W65" s="2">
        <f t="shared" si="19"/>
        <v>37.121212121212118</v>
      </c>
      <c r="X65" s="2">
        <f t="shared" si="20"/>
        <v>44.545454545454547</v>
      </c>
      <c r="Y65" s="5" t="str">
        <f t="shared" si="22"/>
        <v>1</v>
      </c>
      <c r="Z65" s="5" t="str">
        <f t="shared" si="22"/>
        <v>1</v>
      </c>
      <c r="AA65" s="5" t="str">
        <f t="shared" si="22"/>
        <v>1</v>
      </c>
      <c r="AB65" s="5" t="str">
        <f t="shared" si="22"/>
        <v>1</v>
      </c>
      <c r="AC65" s="5" t="str">
        <f t="shared" si="22"/>
        <v>1</v>
      </c>
      <c r="AD65" s="5" t="str">
        <f t="shared" si="22"/>
        <v>1</v>
      </c>
      <c r="AE65" s="5" t="str">
        <f t="shared" si="22"/>
        <v>1</v>
      </c>
    </row>
    <row r="66" spans="1:31" ht="14.4" x14ac:dyDescent="0.3">
      <c r="A66" s="14">
        <v>63</v>
      </c>
      <c r="B66" s="24" t="s">
        <v>126</v>
      </c>
      <c r="C66" s="10">
        <v>41</v>
      </c>
      <c r="D66" s="10">
        <v>55</v>
      </c>
      <c r="E66" s="16">
        <v>365</v>
      </c>
      <c r="F66" s="19">
        <v>3.5000000000000001E-3</v>
      </c>
      <c r="G66" s="10">
        <v>2100</v>
      </c>
      <c r="H66" s="13">
        <v>3.0000000000000001E-3</v>
      </c>
      <c r="I66" s="17">
        <v>10950</v>
      </c>
      <c r="J66" s="22">
        <v>6</v>
      </c>
      <c r="K66" s="18">
        <f t="shared" si="0"/>
        <v>2.6727272727272728E-2</v>
      </c>
      <c r="L66" s="2">
        <f t="shared" si="21"/>
        <v>2.2272727272727274E-2</v>
      </c>
      <c r="M66" s="2">
        <f t="shared" si="2"/>
        <v>4.4545454545454548E-2</v>
      </c>
      <c r="N66" s="2">
        <f t="shared" si="3"/>
        <v>6.6818181818181818E-2</v>
      </c>
      <c r="O66" s="2">
        <f t="shared" si="4"/>
        <v>8.9090909090909096E-2</v>
      </c>
      <c r="P66" s="2">
        <f t="shared" si="5"/>
        <v>0.11136363636363636</v>
      </c>
      <c r="Q66" s="2">
        <f t="shared" si="6"/>
        <v>0.13363636363636364</v>
      </c>
      <c r="R66" s="2">
        <f t="shared" si="7"/>
        <v>8.9090909090909083</v>
      </c>
      <c r="S66" s="2">
        <f t="shared" si="16"/>
        <v>7.4242424242424248</v>
      </c>
      <c r="T66" s="2">
        <f t="shared" si="9"/>
        <v>14.84848484848485</v>
      </c>
      <c r="U66" s="2">
        <f t="shared" si="17"/>
        <v>22.272727272727273</v>
      </c>
      <c r="V66" s="2">
        <f t="shared" si="18"/>
        <v>29.696969696969699</v>
      </c>
      <c r="W66" s="2">
        <f t="shared" si="19"/>
        <v>37.121212121212118</v>
      </c>
      <c r="X66" s="2">
        <f t="shared" si="20"/>
        <v>44.545454545454547</v>
      </c>
      <c r="Y66" s="5" t="str">
        <f t="shared" si="22"/>
        <v>1</v>
      </c>
      <c r="Z66" s="5" t="str">
        <f t="shared" si="22"/>
        <v>1</v>
      </c>
      <c r="AA66" s="5" t="str">
        <f t="shared" si="22"/>
        <v>1</v>
      </c>
      <c r="AB66" s="5" t="str">
        <f t="shared" si="22"/>
        <v>1</v>
      </c>
      <c r="AC66" s="5" t="str">
        <f t="shared" si="22"/>
        <v>1</v>
      </c>
      <c r="AD66" s="5" t="str">
        <f t="shared" si="22"/>
        <v>1</v>
      </c>
      <c r="AE66" s="5" t="str">
        <f t="shared" si="22"/>
        <v>1</v>
      </c>
    </row>
    <row r="67" spans="1:31" ht="14.4" x14ac:dyDescent="0.3">
      <c r="A67" s="14">
        <v>64</v>
      </c>
      <c r="B67" s="24" t="s">
        <v>178</v>
      </c>
      <c r="C67" s="10">
        <v>42</v>
      </c>
      <c r="D67" s="10">
        <v>78</v>
      </c>
      <c r="E67" s="16">
        <v>365</v>
      </c>
      <c r="F67" s="19">
        <v>3.5000000000000001E-3</v>
      </c>
      <c r="G67" s="10">
        <v>1500</v>
      </c>
      <c r="H67" s="13">
        <v>3.0000000000000001E-3</v>
      </c>
      <c r="I67" s="17">
        <v>10950</v>
      </c>
      <c r="J67" s="22">
        <v>26</v>
      </c>
      <c r="K67" s="18">
        <f t="shared" si="0"/>
        <v>5.8333333333333334E-2</v>
      </c>
      <c r="L67" s="2">
        <f t="shared" si="21"/>
        <v>1.1217948717948718E-2</v>
      </c>
      <c r="M67" s="2">
        <f t="shared" si="2"/>
        <v>2.2435897435897436E-2</v>
      </c>
      <c r="N67" s="2">
        <f t="shared" si="3"/>
        <v>3.3653846153846152E-2</v>
      </c>
      <c r="O67" s="2">
        <f t="shared" si="4"/>
        <v>4.4871794871794872E-2</v>
      </c>
      <c r="P67" s="2">
        <f t="shared" si="5"/>
        <v>5.6089743589743592E-2</v>
      </c>
      <c r="Q67" s="2">
        <f t="shared" si="6"/>
        <v>6.7307692307692304E-2</v>
      </c>
      <c r="R67" s="2">
        <f t="shared" si="7"/>
        <v>19.444444444444443</v>
      </c>
      <c r="S67" s="2">
        <f t="shared" si="16"/>
        <v>3.7393162393162394</v>
      </c>
      <c r="T67" s="2">
        <f t="shared" si="9"/>
        <v>7.4786324786324787</v>
      </c>
      <c r="U67" s="2">
        <f t="shared" si="17"/>
        <v>11.217948717948717</v>
      </c>
      <c r="V67" s="2">
        <f t="shared" si="18"/>
        <v>14.957264957264957</v>
      </c>
      <c r="W67" s="2">
        <f t="shared" si="19"/>
        <v>18.696581196581196</v>
      </c>
      <c r="X67" s="2">
        <f t="shared" si="20"/>
        <v>22.435897435897434</v>
      </c>
      <c r="Y67" s="5" t="str">
        <f t="shared" si="22"/>
        <v>1</v>
      </c>
      <c r="Z67" s="5" t="str">
        <f t="shared" si="22"/>
        <v>1</v>
      </c>
      <c r="AA67" s="5" t="str">
        <f t="shared" si="22"/>
        <v>1</v>
      </c>
      <c r="AB67" s="5" t="str">
        <f t="shared" si="22"/>
        <v>1</v>
      </c>
      <c r="AC67" s="5" t="str">
        <f t="shared" si="22"/>
        <v>1</v>
      </c>
      <c r="AD67" s="5" t="str">
        <f t="shared" si="22"/>
        <v>1</v>
      </c>
      <c r="AE67" s="5" t="str">
        <f t="shared" si="22"/>
        <v>1</v>
      </c>
    </row>
    <row r="68" spans="1:31" ht="14.4" x14ac:dyDescent="0.3">
      <c r="A68" s="14">
        <v>65</v>
      </c>
      <c r="B68" s="24" t="s">
        <v>144</v>
      </c>
      <c r="C68" s="10">
        <v>42</v>
      </c>
      <c r="D68" s="10">
        <v>80</v>
      </c>
      <c r="E68" s="16">
        <v>365</v>
      </c>
      <c r="F68" s="19">
        <v>4.4000000000000003E-3</v>
      </c>
      <c r="G68" s="10">
        <v>900</v>
      </c>
      <c r="H68" s="13">
        <v>3.0000000000000001E-3</v>
      </c>
      <c r="I68" s="17">
        <v>10950</v>
      </c>
      <c r="J68" s="22">
        <v>20</v>
      </c>
      <c r="K68" s="18">
        <f t="shared" ref="K68:K103" si="23">(F68*G68*E68*J68)/(D68*I68)</f>
        <v>3.3000000000000002E-2</v>
      </c>
      <c r="L68" s="2">
        <f t="shared" si="21"/>
        <v>8.2500000000000004E-3</v>
      </c>
      <c r="M68" s="2">
        <f t="shared" ref="M68:M103" si="24">(F68*G68*E68*10)/(D68*I68)</f>
        <v>1.6500000000000001E-2</v>
      </c>
      <c r="N68" s="2">
        <f t="shared" ref="N68:N103" si="25">(F68*G68*E68*15)/(D68*I68)</f>
        <v>2.4750000000000001E-2</v>
      </c>
      <c r="O68" s="2">
        <f t="shared" ref="O68:O103" si="26">(F68*G68*E68*20)/(D68*I68)</f>
        <v>3.3000000000000002E-2</v>
      </c>
      <c r="P68" s="2">
        <f t="shared" ref="P68:P103" si="27">(F68*G68*E68*25)/(D68*I68)</f>
        <v>4.1250000000000002E-2</v>
      </c>
      <c r="Q68" s="2">
        <f t="shared" ref="Q68:Q103" si="28">(F68*G68*E68*30)/(D68*I68)</f>
        <v>4.9500000000000002E-2</v>
      </c>
      <c r="R68" s="2">
        <f t="shared" ref="R68:R103" si="29">K68/H68</f>
        <v>11</v>
      </c>
      <c r="S68" s="2">
        <f t="shared" si="16"/>
        <v>2.75</v>
      </c>
      <c r="T68" s="2">
        <f t="shared" ref="T68:T103" si="30">M68/H68</f>
        <v>5.5</v>
      </c>
      <c r="U68" s="2">
        <f t="shared" si="17"/>
        <v>8.25</v>
      </c>
      <c r="V68" s="2">
        <f t="shared" si="18"/>
        <v>11</v>
      </c>
      <c r="W68" s="2">
        <f t="shared" si="19"/>
        <v>13.75</v>
      </c>
      <c r="X68" s="2">
        <f t="shared" si="20"/>
        <v>16.5</v>
      </c>
      <c r="Y68" s="5" t="str">
        <f t="shared" si="22"/>
        <v>1</v>
      </c>
      <c r="Z68" s="5" t="str">
        <f t="shared" si="22"/>
        <v>1</v>
      </c>
      <c r="AA68" s="5" t="str">
        <f t="shared" si="22"/>
        <v>1</v>
      </c>
      <c r="AB68" s="5" t="str">
        <f t="shared" si="22"/>
        <v>1</v>
      </c>
      <c r="AC68" s="5" t="str">
        <f t="shared" si="22"/>
        <v>1</v>
      </c>
      <c r="AD68" s="5" t="str">
        <f t="shared" si="22"/>
        <v>1</v>
      </c>
      <c r="AE68" s="5" t="str">
        <f t="shared" si="22"/>
        <v>1</v>
      </c>
    </row>
    <row r="69" spans="1:31" ht="14.4" x14ac:dyDescent="0.3">
      <c r="A69" s="14">
        <v>66</v>
      </c>
      <c r="B69" s="24" t="s">
        <v>179</v>
      </c>
      <c r="C69" s="10">
        <v>42</v>
      </c>
      <c r="D69" s="10">
        <v>49</v>
      </c>
      <c r="E69" s="16">
        <v>365</v>
      </c>
      <c r="F69" s="19">
        <v>9.7999999999999997E-3</v>
      </c>
      <c r="G69" s="10">
        <v>900</v>
      </c>
      <c r="H69" s="13">
        <v>3.0000000000000001E-3</v>
      </c>
      <c r="I69" s="17">
        <v>10950</v>
      </c>
      <c r="J69" s="22">
        <v>1</v>
      </c>
      <c r="K69" s="18">
        <f t="shared" si="23"/>
        <v>6.0000000000000001E-3</v>
      </c>
      <c r="L69" s="2">
        <f t="shared" si="21"/>
        <v>0.03</v>
      </c>
      <c r="M69" s="2">
        <f t="shared" si="24"/>
        <v>0.06</v>
      </c>
      <c r="N69" s="2">
        <f t="shared" si="25"/>
        <v>0.09</v>
      </c>
      <c r="O69" s="2">
        <f t="shared" si="26"/>
        <v>0.12</v>
      </c>
      <c r="P69" s="2">
        <f t="shared" si="27"/>
        <v>0.15</v>
      </c>
      <c r="Q69" s="2">
        <f t="shared" si="28"/>
        <v>0.18</v>
      </c>
      <c r="R69" s="2">
        <f t="shared" si="29"/>
        <v>2</v>
      </c>
      <c r="S69" s="2">
        <f t="shared" si="16"/>
        <v>10</v>
      </c>
      <c r="T69" s="2">
        <f t="shared" si="30"/>
        <v>20</v>
      </c>
      <c r="U69" s="2">
        <f t="shared" si="17"/>
        <v>30</v>
      </c>
      <c r="V69" s="2">
        <f t="shared" si="18"/>
        <v>40</v>
      </c>
      <c r="W69" s="2">
        <f t="shared" si="19"/>
        <v>50</v>
      </c>
      <c r="X69" s="2">
        <f t="shared" si="20"/>
        <v>60</v>
      </c>
      <c r="Y69" s="5" t="str">
        <f t="shared" si="22"/>
        <v>1</v>
      </c>
      <c r="Z69" s="5" t="str">
        <f t="shared" si="22"/>
        <v>1</v>
      </c>
      <c r="AA69" s="5" t="str">
        <f t="shared" si="22"/>
        <v>1</v>
      </c>
      <c r="AB69" s="5" t="str">
        <f t="shared" si="22"/>
        <v>1</v>
      </c>
      <c r="AC69" s="5" t="str">
        <f t="shared" si="22"/>
        <v>1</v>
      </c>
      <c r="AD69" s="5" t="str">
        <f t="shared" si="22"/>
        <v>1</v>
      </c>
      <c r="AE69" s="5" t="str">
        <f t="shared" si="22"/>
        <v>1</v>
      </c>
    </row>
    <row r="70" spans="1:31" ht="14.4" x14ac:dyDescent="0.3">
      <c r="A70" s="14">
        <v>67</v>
      </c>
      <c r="B70" s="24" t="s">
        <v>112</v>
      </c>
      <c r="C70" s="10">
        <v>42</v>
      </c>
      <c r="D70" s="10">
        <v>78</v>
      </c>
      <c r="E70" s="16">
        <v>365</v>
      </c>
      <c r="F70" s="19">
        <v>9.7999999999999997E-3</v>
      </c>
      <c r="G70" s="10">
        <v>1500</v>
      </c>
      <c r="H70" s="13">
        <v>3.0000000000000001E-3</v>
      </c>
      <c r="I70" s="17">
        <v>10950</v>
      </c>
      <c r="J70" s="22">
        <v>26</v>
      </c>
      <c r="K70" s="18">
        <f t="shared" si="23"/>
        <v>0.16333333333333333</v>
      </c>
      <c r="L70" s="2">
        <f t="shared" si="21"/>
        <v>3.141025641025641E-2</v>
      </c>
      <c r="M70" s="2">
        <f t="shared" si="24"/>
        <v>6.2820512820512819E-2</v>
      </c>
      <c r="N70" s="2">
        <f t="shared" si="25"/>
        <v>9.4230769230769229E-2</v>
      </c>
      <c r="O70" s="2">
        <f t="shared" si="26"/>
        <v>0.12564102564102564</v>
      </c>
      <c r="P70" s="2">
        <f t="shared" si="27"/>
        <v>0.15705128205128205</v>
      </c>
      <c r="Q70" s="2">
        <f t="shared" si="28"/>
        <v>0.18846153846153846</v>
      </c>
      <c r="R70" s="2">
        <f t="shared" si="29"/>
        <v>54.444444444444443</v>
      </c>
      <c r="S70" s="2">
        <f t="shared" si="16"/>
        <v>10.47008547008547</v>
      </c>
      <c r="T70" s="2">
        <f t="shared" si="30"/>
        <v>20.94017094017094</v>
      </c>
      <c r="U70" s="2">
        <f t="shared" si="17"/>
        <v>31.410256410256409</v>
      </c>
      <c r="V70" s="2">
        <f t="shared" si="18"/>
        <v>41.880341880341881</v>
      </c>
      <c r="W70" s="2">
        <f t="shared" si="19"/>
        <v>52.350427350427346</v>
      </c>
      <c r="X70" s="2">
        <f t="shared" si="20"/>
        <v>62.820512820512818</v>
      </c>
      <c r="Y70" s="5" t="str">
        <f t="shared" si="22"/>
        <v>1</v>
      </c>
      <c r="Z70" s="5" t="str">
        <f t="shared" si="22"/>
        <v>1</v>
      </c>
      <c r="AA70" s="5" t="str">
        <f t="shared" si="22"/>
        <v>1</v>
      </c>
      <c r="AB70" s="5" t="str">
        <f t="shared" si="22"/>
        <v>1</v>
      </c>
      <c r="AC70" s="5" t="str">
        <f t="shared" si="22"/>
        <v>1</v>
      </c>
      <c r="AD70" s="5" t="str">
        <f t="shared" si="22"/>
        <v>1</v>
      </c>
      <c r="AE70" s="5" t="str">
        <f t="shared" si="22"/>
        <v>1</v>
      </c>
    </row>
    <row r="71" spans="1:31" ht="14.4" x14ac:dyDescent="0.3">
      <c r="A71" s="14">
        <v>68</v>
      </c>
      <c r="B71" s="24" t="s">
        <v>144</v>
      </c>
      <c r="C71" s="10">
        <v>42</v>
      </c>
      <c r="D71" s="10">
        <v>80</v>
      </c>
      <c r="E71" s="16">
        <v>365</v>
      </c>
      <c r="F71" s="19">
        <v>1.9900000000000001E-2</v>
      </c>
      <c r="G71" s="10">
        <v>900</v>
      </c>
      <c r="H71" s="13">
        <v>3.0000000000000001E-3</v>
      </c>
      <c r="I71" s="17">
        <v>10950</v>
      </c>
      <c r="J71" s="22">
        <v>20</v>
      </c>
      <c r="K71" s="18">
        <f t="shared" si="23"/>
        <v>0.14924999999999999</v>
      </c>
      <c r="L71" s="2">
        <f t="shared" si="21"/>
        <v>3.7312499999999998E-2</v>
      </c>
      <c r="M71" s="2">
        <f t="shared" si="24"/>
        <v>7.4624999999999997E-2</v>
      </c>
      <c r="N71" s="2">
        <f t="shared" si="25"/>
        <v>0.1119375</v>
      </c>
      <c r="O71" s="2">
        <f t="shared" si="26"/>
        <v>0.14924999999999999</v>
      </c>
      <c r="P71" s="2">
        <f t="shared" si="27"/>
        <v>0.18656249999999999</v>
      </c>
      <c r="Q71" s="2">
        <f t="shared" si="28"/>
        <v>0.22387499999999999</v>
      </c>
      <c r="R71" s="2">
        <f t="shared" si="29"/>
        <v>49.75</v>
      </c>
      <c r="S71" s="2">
        <f t="shared" si="16"/>
        <v>12.4375</v>
      </c>
      <c r="T71" s="2">
        <f t="shared" si="30"/>
        <v>24.875</v>
      </c>
      <c r="U71" s="2">
        <f t="shared" si="17"/>
        <v>37.3125</v>
      </c>
      <c r="V71" s="2">
        <f t="shared" si="18"/>
        <v>49.75</v>
      </c>
      <c r="W71" s="2">
        <f t="shared" si="19"/>
        <v>62.187499999999993</v>
      </c>
      <c r="X71" s="2">
        <f t="shared" si="20"/>
        <v>74.625</v>
      </c>
      <c r="Y71" s="5" t="str">
        <f t="shared" si="22"/>
        <v>1</v>
      </c>
      <c r="Z71" s="5" t="str">
        <f t="shared" si="22"/>
        <v>1</v>
      </c>
      <c r="AA71" s="5" t="str">
        <f t="shared" si="22"/>
        <v>1</v>
      </c>
      <c r="AB71" s="5" t="str">
        <f t="shared" si="22"/>
        <v>1</v>
      </c>
      <c r="AC71" s="5" t="str">
        <f t="shared" si="22"/>
        <v>1</v>
      </c>
      <c r="AD71" s="5" t="str">
        <f t="shared" si="22"/>
        <v>1</v>
      </c>
      <c r="AE71" s="5" t="str">
        <f t="shared" si="22"/>
        <v>1</v>
      </c>
    </row>
    <row r="72" spans="1:31" ht="14.4" x14ac:dyDescent="0.3">
      <c r="A72" s="14">
        <v>69</v>
      </c>
      <c r="B72" s="24" t="s">
        <v>153</v>
      </c>
      <c r="C72" s="10">
        <v>42</v>
      </c>
      <c r="D72" s="10">
        <v>80</v>
      </c>
      <c r="E72" s="16">
        <v>365</v>
      </c>
      <c r="F72" s="19">
        <v>1.8E-3</v>
      </c>
      <c r="G72" s="10">
        <v>900</v>
      </c>
      <c r="H72" s="13">
        <v>3.0000000000000001E-3</v>
      </c>
      <c r="I72" s="17">
        <v>10950</v>
      </c>
      <c r="J72" s="22">
        <v>20</v>
      </c>
      <c r="K72" s="18">
        <f t="shared" si="23"/>
        <v>1.35E-2</v>
      </c>
      <c r="L72" s="2">
        <f t="shared" si="21"/>
        <v>3.375E-3</v>
      </c>
      <c r="M72" s="2">
        <f t="shared" si="24"/>
        <v>6.7499999999999999E-3</v>
      </c>
      <c r="N72" s="2">
        <f t="shared" si="25"/>
        <v>1.0125E-2</v>
      </c>
      <c r="O72" s="2">
        <f t="shared" si="26"/>
        <v>1.35E-2</v>
      </c>
      <c r="P72" s="2">
        <f t="shared" si="27"/>
        <v>1.6874999999999998E-2</v>
      </c>
      <c r="Q72" s="2">
        <f t="shared" si="28"/>
        <v>2.0250000000000001E-2</v>
      </c>
      <c r="R72" s="2">
        <f t="shared" si="29"/>
        <v>4.5</v>
      </c>
      <c r="S72" s="2">
        <f t="shared" si="16"/>
        <v>1.125</v>
      </c>
      <c r="T72" s="2">
        <f t="shared" si="30"/>
        <v>2.25</v>
      </c>
      <c r="U72" s="2">
        <f t="shared" si="17"/>
        <v>3.375</v>
      </c>
      <c r="V72" s="2">
        <f t="shared" si="18"/>
        <v>4.5</v>
      </c>
      <c r="W72" s="2">
        <f t="shared" si="19"/>
        <v>5.6249999999999991</v>
      </c>
      <c r="X72" s="2">
        <f t="shared" si="20"/>
        <v>6.75</v>
      </c>
      <c r="Y72" s="5" t="str">
        <f t="shared" si="22"/>
        <v>1</v>
      </c>
      <c r="Z72" s="5" t="str">
        <f t="shared" si="22"/>
        <v>1</v>
      </c>
      <c r="AA72" s="5" t="str">
        <f t="shared" si="22"/>
        <v>1</v>
      </c>
      <c r="AB72" s="5" t="str">
        <f t="shared" si="22"/>
        <v>1</v>
      </c>
      <c r="AC72" s="5" t="str">
        <f t="shared" si="22"/>
        <v>1</v>
      </c>
      <c r="AD72" s="5" t="str">
        <f t="shared" si="22"/>
        <v>1</v>
      </c>
      <c r="AE72" s="5" t="str">
        <f t="shared" si="22"/>
        <v>1</v>
      </c>
    </row>
    <row r="73" spans="1:31" ht="14.4" x14ac:dyDescent="0.3">
      <c r="A73" s="14">
        <v>70</v>
      </c>
      <c r="B73" s="24" t="s">
        <v>180</v>
      </c>
      <c r="C73" s="10">
        <v>43</v>
      </c>
      <c r="D73" s="10">
        <v>41</v>
      </c>
      <c r="E73" s="16">
        <v>365</v>
      </c>
      <c r="F73" s="19">
        <v>1.8E-3</v>
      </c>
      <c r="G73" s="10">
        <v>1500</v>
      </c>
      <c r="H73" s="13">
        <v>3.0000000000000001E-3</v>
      </c>
      <c r="I73" s="17">
        <v>10950</v>
      </c>
      <c r="J73" s="22">
        <v>43</v>
      </c>
      <c r="K73" s="18">
        <f t="shared" si="23"/>
        <v>9.4390243902439011E-2</v>
      </c>
      <c r="L73" s="2">
        <f t="shared" si="21"/>
        <v>1.0975609756097559E-2</v>
      </c>
      <c r="M73" s="2">
        <f t="shared" si="24"/>
        <v>2.1951219512195117E-2</v>
      </c>
      <c r="N73" s="2">
        <f t="shared" si="25"/>
        <v>3.2926829268292677E-2</v>
      </c>
      <c r="O73" s="2">
        <f t="shared" si="26"/>
        <v>4.3902439024390234E-2</v>
      </c>
      <c r="P73" s="2">
        <f t="shared" si="27"/>
        <v>5.4878048780487798E-2</v>
      </c>
      <c r="Q73" s="2">
        <f t="shared" si="28"/>
        <v>6.5853658536585355E-2</v>
      </c>
      <c r="R73" s="2">
        <f t="shared" si="29"/>
        <v>31.463414634146336</v>
      </c>
      <c r="S73" s="2">
        <f t="shared" si="16"/>
        <v>3.6585365853658529</v>
      </c>
      <c r="T73" s="2">
        <f t="shared" si="30"/>
        <v>7.3170731707317058</v>
      </c>
      <c r="U73" s="2">
        <f t="shared" si="17"/>
        <v>10.975609756097558</v>
      </c>
      <c r="V73" s="2">
        <f t="shared" si="18"/>
        <v>14.634146341463412</v>
      </c>
      <c r="W73" s="2">
        <f t="shared" si="19"/>
        <v>18.292682926829265</v>
      </c>
      <c r="X73" s="2">
        <f t="shared" si="20"/>
        <v>21.951219512195117</v>
      </c>
      <c r="Y73" s="5" t="str">
        <f t="shared" si="22"/>
        <v>1</v>
      </c>
      <c r="Z73" s="5" t="str">
        <f t="shared" si="22"/>
        <v>1</v>
      </c>
      <c r="AA73" s="5" t="str">
        <f t="shared" si="22"/>
        <v>1</v>
      </c>
      <c r="AB73" s="5" t="str">
        <f t="shared" si="22"/>
        <v>1</v>
      </c>
      <c r="AC73" s="5" t="str">
        <f t="shared" si="22"/>
        <v>1</v>
      </c>
      <c r="AD73" s="5" t="str">
        <f t="shared" si="22"/>
        <v>1</v>
      </c>
      <c r="AE73" s="5" t="str">
        <f t="shared" si="22"/>
        <v>1</v>
      </c>
    </row>
    <row r="74" spans="1:31" ht="14.4" x14ac:dyDescent="0.3">
      <c r="A74" s="14">
        <v>71</v>
      </c>
      <c r="B74" s="24" t="s">
        <v>115</v>
      </c>
      <c r="C74" s="10">
        <v>43</v>
      </c>
      <c r="D74" s="10">
        <v>41</v>
      </c>
      <c r="E74" s="16">
        <v>365</v>
      </c>
      <c r="F74" s="19">
        <v>2.3999999999999998E-3</v>
      </c>
      <c r="G74" s="10">
        <v>1500</v>
      </c>
      <c r="H74" s="13">
        <v>3.0000000000000001E-3</v>
      </c>
      <c r="I74" s="17">
        <v>10950</v>
      </c>
      <c r="J74" s="22">
        <v>43</v>
      </c>
      <c r="K74" s="18">
        <f t="shared" si="23"/>
        <v>0.12585365853658534</v>
      </c>
      <c r="L74" s="2">
        <f t="shared" si="21"/>
        <v>1.4634146341463412E-2</v>
      </c>
      <c r="M74" s="2">
        <f t="shared" si="24"/>
        <v>2.9268292682926824E-2</v>
      </c>
      <c r="N74" s="2">
        <f t="shared" si="25"/>
        <v>4.3902439024390234E-2</v>
      </c>
      <c r="O74" s="2">
        <f t="shared" si="26"/>
        <v>5.8536585365853648E-2</v>
      </c>
      <c r="P74" s="2">
        <f t="shared" si="27"/>
        <v>7.3170731707317055E-2</v>
      </c>
      <c r="Q74" s="2">
        <f t="shared" si="28"/>
        <v>8.7804878048780469E-2</v>
      </c>
      <c r="R74" s="2">
        <f t="shared" si="29"/>
        <v>41.951219512195109</v>
      </c>
      <c r="S74" s="2">
        <f t="shared" si="16"/>
        <v>4.8780487804878039</v>
      </c>
      <c r="T74" s="2">
        <f t="shared" si="30"/>
        <v>9.7560975609756078</v>
      </c>
      <c r="U74" s="2">
        <f t="shared" si="17"/>
        <v>14.634146341463412</v>
      </c>
      <c r="V74" s="2">
        <f t="shared" si="18"/>
        <v>19.512195121951216</v>
      </c>
      <c r="W74" s="2">
        <f t="shared" si="19"/>
        <v>24.390243902439018</v>
      </c>
      <c r="X74" s="2">
        <f t="shared" si="20"/>
        <v>29.268292682926823</v>
      </c>
      <c r="Y74" s="5" t="str">
        <f t="shared" si="22"/>
        <v>1</v>
      </c>
      <c r="Z74" s="5" t="str">
        <f t="shared" si="22"/>
        <v>1</v>
      </c>
      <c r="AA74" s="5" t="str">
        <f t="shared" si="22"/>
        <v>1</v>
      </c>
      <c r="AB74" s="5" t="str">
        <f t="shared" si="22"/>
        <v>1</v>
      </c>
      <c r="AC74" s="5" t="str">
        <f t="shared" si="22"/>
        <v>1</v>
      </c>
      <c r="AD74" s="5" t="str">
        <f t="shared" si="22"/>
        <v>1</v>
      </c>
      <c r="AE74" s="5" t="str">
        <f t="shared" si="22"/>
        <v>1</v>
      </c>
    </row>
    <row r="75" spans="1:31" ht="14.4" x14ac:dyDescent="0.3">
      <c r="A75" s="14">
        <v>72</v>
      </c>
      <c r="B75" s="24" t="s">
        <v>133</v>
      </c>
      <c r="C75" s="10">
        <v>43</v>
      </c>
      <c r="D75" s="10">
        <v>41</v>
      </c>
      <c r="E75" s="16">
        <v>365</v>
      </c>
      <c r="F75" s="19">
        <v>1.4E-3</v>
      </c>
      <c r="G75" s="10">
        <v>1500</v>
      </c>
      <c r="H75" s="13">
        <v>3.0000000000000001E-3</v>
      </c>
      <c r="I75" s="17">
        <v>10950</v>
      </c>
      <c r="J75" s="22">
        <v>43</v>
      </c>
      <c r="K75" s="18">
        <f t="shared" si="23"/>
        <v>7.3414634146341459E-2</v>
      </c>
      <c r="L75" s="2">
        <f t="shared" si="21"/>
        <v>8.5365853658536592E-3</v>
      </c>
      <c r="M75" s="2">
        <f t="shared" si="24"/>
        <v>1.7073170731707318E-2</v>
      </c>
      <c r="N75" s="2">
        <f t="shared" si="25"/>
        <v>2.5609756097560974E-2</v>
      </c>
      <c r="O75" s="2">
        <f t="shared" si="26"/>
        <v>3.4146341463414637E-2</v>
      </c>
      <c r="P75" s="2">
        <f t="shared" si="27"/>
        <v>4.2682926829268296E-2</v>
      </c>
      <c r="Q75" s="2">
        <f t="shared" si="28"/>
        <v>5.1219512195121948E-2</v>
      </c>
      <c r="R75" s="2">
        <f t="shared" si="29"/>
        <v>24.471544715447152</v>
      </c>
      <c r="S75" s="2">
        <f t="shared" si="16"/>
        <v>2.845528455284553</v>
      </c>
      <c r="T75" s="2">
        <f t="shared" si="30"/>
        <v>5.691056910569106</v>
      </c>
      <c r="U75" s="2">
        <f t="shared" si="17"/>
        <v>8.5365853658536572</v>
      </c>
      <c r="V75" s="2">
        <f t="shared" si="18"/>
        <v>11.382113821138212</v>
      </c>
      <c r="W75" s="2">
        <f t="shared" si="19"/>
        <v>14.227642276422765</v>
      </c>
      <c r="X75" s="2">
        <f t="shared" si="20"/>
        <v>17.073170731707314</v>
      </c>
      <c r="Y75" s="5" t="str">
        <f t="shared" si="22"/>
        <v>1</v>
      </c>
      <c r="Z75" s="5" t="str">
        <f t="shared" si="22"/>
        <v>1</v>
      </c>
      <c r="AA75" s="5" t="str">
        <f t="shared" si="22"/>
        <v>1</v>
      </c>
      <c r="AB75" s="5" t="str">
        <f t="shared" si="22"/>
        <v>1</v>
      </c>
      <c r="AC75" s="5" t="str">
        <f t="shared" si="22"/>
        <v>1</v>
      </c>
      <c r="AD75" s="5" t="str">
        <f t="shared" si="22"/>
        <v>1</v>
      </c>
      <c r="AE75" s="5" t="str">
        <f t="shared" si="22"/>
        <v>1</v>
      </c>
    </row>
    <row r="76" spans="1:31" ht="14.4" x14ac:dyDescent="0.3">
      <c r="A76" s="14">
        <v>73</v>
      </c>
      <c r="B76" s="24" t="s">
        <v>135</v>
      </c>
      <c r="C76" s="10">
        <v>43</v>
      </c>
      <c r="D76" s="10">
        <v>41</v>
      </c>
      <c r="E76" s="16">
        <v>365</v>
      </c>
      <c r="F76" s="19">
        <v>3.0999999999999999E-3</v>
      </c>
      <c r="G76" s="10">
        <v>1500</v>
      </c>
      <c r="H76" s="13">
        <v>3.0000000000000001E-3</v>
      </c>
      <c r="I76" s="17">
        <v>10950</v>
      </c>
      <c r="J76" s="22">
        <v>43</v>
      </c>
      <c r="K76" s="18">
        <f t="shared" si="23"/>
        <v>0.16256097560975608</v>
      </c>
      <c r="L76" s="2">
        <f t="shared" si="21"/>
        <v>1.890243902439024E-2</v>
      </c>
      <c r="M76" s="2">
        <f t="shared" si="24"/>
        <v>3.780487804878048E-2</v>
      </c>
      <c r="N76" s="2">
        <f t="shared" si="25"/>
        <v>5.6707317073170727E-2</v>
      </c>
      <c r="O76" s="2">
        <f t="shared" si="26"/>
        <v>7.5609756097560959E-2</v>
      </c>
      <c r="P76" s="2">
        <f t="shared" si="27"/>
        <v>9.4512195121951206E-2</v>
      </c>
      <c r="Q76" s="2">
        <f t="shared" si="28"/>
        <v>0.11341463414634145</v>
      </c>
      <c r="R76" s="2">
        <f t="shared" si="29"/>
        <v>54.186991869918693</v>
      </c>
      <c r="S76" s="2">
        <f t="shared" si="16"/>
        <v>6.3008130081300795</v>
      </c>
      <c r="T76" s="2">
        <f t="shared" si="30"/>
        <v>12.601626016260159</v>
      </c>
      <c r="U76" s="2">
        <f t="shared" si="17"/>
        <v>18.90243902439024</v>
      </c>
      <c r="V76" s="2">
        <f t="shared" si="18"/>
        <v>25.203252032520318</v>
      </c>
      <c r="W76" s="2">
        <f t="shared" si="19"/>
        <v>31.504065040650403</v>
      </c>
      <c r="X76" s="2">
        <f t="shared" si="20"/>
        <v>37.804878048780481</v>
      </c>
      <c r="Y76" s="5" t="str">
        <f t="shared" si="22"/>
        <v>1</v>
      </c>
      <c r="Z76" s="5" t="str">
        <f t="shared" si="22"/>
        <v>1</v>
      </c>
      <c r="AA76" s="5" t="str">
        <f t="shared" si="22"/>
        <v>1</v>
      </c>
      <c r="AB76" s="5" t="str">
        <f t="shared" si="22"/>
        <v>1</v>
      </c>
      <c r="AC76" s="5" t="str">
        <f t="shared" si="22"/>
        <v>1</v>
      </c>
      <c r="AD76" s="5" t="str">
        <f t="shared" si="22"/>
        <v>1</v>
      </c>
      <c r="AE76" s="5" t="str">
        <f t="shared" si="22"/>
        <v>1</v>
      </c>
    </row>
    <row r="77" spans="1:31" ht="14.4" x14ac:dyDescent="0.3">
      <c r="A77" s="14">
        <v>74</v>
      </c>
      <c r="B77" s="24" t="s">
        <v>156</v>
      </c>
      <c r="C77" s="10">
        <v>43</v>
      </c>
      <c r="D77" s="10">
        <v>41</v>
      </c>
      <c r="E77" s="16">
        <v>365</v>
      </c>
      <c r="F77" s="19">
        <v>3.0999999999999999E-3</v>
      </c>
      <c r="G77" s="10">
        <v>1500</v>
      </c>
      <c r="H77" s="13">
        <v>3.0000000000000001E-3</v>
      </c>
      <c r="I77" s="17">
        <v>10950</v>
      </c>
      <c r="J77" s="22">
        <v>43</v>
      </c>
      <c r="K77" s="18">
        <f t="shared" si="23"/>
        <v>0.16256097560975608</v>
      </c>
      <c r="L77" s="2">
        <f t="shared" si="21"/>
        <v>1.890243902439024E-2</v>
      </c>
      <c r="M77" s="2">
        <f t="shared" si="24"/>
        <v>3.780487804878048E-2</v>
      </c>
      <c r="N77" s="2">
        <f t="shared" si="25"/>
        <v>5.6707317073170727E-2</v>
      </c>
      <c r="O77" s="2">
        <f t="shared" si="26"/>
        <v>7.5609756097560959E-2</v>
      </c>
      <c r="P77" s="2">
        <f t="shared" si="27"/>
        <v>9.4512195121951206E-2</v>
      </c>
      <c r="Q77" s="2">
        <f t="shared" si="28"/>
        <v>0.11341463414634145</v>
      </c>
      <c r="R77" s="2">
        <f t="shared" si="29"/>
        <v>54.186991869918693</v>
      </c>
      <c r="S77" s="2">
        <f t="shared" si="16"/>
        <v>6.3008130081300795</v>
      </c>
      <c r="T77" s="2">
        <f t="shared" si="30"/>
        <v>12.601626016260159</v>
      </c>
      <c r="U77" s="2">
        <f t="shared" si="17"/>
        <v>18.90243902439024</v>
      </c>
      <c r="V77" s="2">
        <f t="shared" si="18"/>
        <v>25.203252032520318</v>
      </c>
      <c r="W77" s="2">
        <f t="shared" si="19"/>
        <v>31.504065040650403</v>
      </c>
      <c r="X77" s="2">
        <f t="shared" si="20"/>
        <v>37.804878048780481</v>
      </c>
      <c r="Y77" s="5" t="str">
        <f t="shared" si="22"/>
        <v>1</v>
      </c>
      <c r="Z77" s="5" t="str">
        <f t="shared" si="22"/>
        <v>1</v>
      </c>
      <c r="AA77" s="5" t="str">
        <f t="shared" si="22"/>
        <v>1</v>
      </c>
      <c r="AB77" s="5" t="str">
        <f t="shared" si="22"/>
        <v>1</v>
      </c>
      <c r="AC77" s="5" t="str">
        <f t="shared" si="22"/>
        <v>1</v>
      </c>
      <c r="AD77" s="5" t="str">
        <f t="shared" si="22"/>
        <v>1</v>
      </c>
      <c r="AE77" s="5" t="str">
        <f t="shared" si="22"/>
        <v>1</v>
      </c>
    </row>
    <row r="78" spans="1:31" ht="14.4" x14ac:dyDescent="0.3">
      <c r="A78" s="14">
        <v>75</v>
      </c>
      <c r="B78" s="24" t="s">
        <v>108</v>
      </c>
      <c r="C78" s="10">
        <v>44</v>
      </c>
      <c r="D78" s="10">
        <v>81</v>
      </c>
      <c r="E78" s="16">
        <v>365</v>
      </c>
      <c r="F78" s="19">
        <v>3.0999999999999999E-3</v>
      </c>
      <c r="G78" s="10">
        <v>1500</v>
      </c>
      <c r="H78" s="13">
        <v>3.0000000000000001E-3</v>
      </c>
      <c r="I78" s="17">
        <v>10950</v>
      </c>
      <c r="J78" s="22">
        <v>21</v>
      </c>
      <c r="K78" s="18">
        <f t="shared" si="23"/>
        <v>4.0185185185185178E-2</v>
      </c>
      <c r="L78" s="2">
        <f t="shared" si="21"/>
        <v>9.5679012345679E-3</v>
      </c>
      <c r="M78" s="2">
        <f t="shared" si="24"/>
        <v>1.91358024691358E-2</v>
      </c>
      <c r="N78" s="2">
        <f t="shared" si="25"/>
        <v>2.87037037037037E-2</v>
      </c>
      <c r="O78" s="2">
        <f t="shared" si="26"/>
        <v>3.82716049382716E-2</v>
      </c>
      <c r="P78" s="2">
        <f t="shared" si="27"/>
        <v>4.7839506172839497E-2</v>
      </c>
      <c r="Q78" s="2">
        <f t="shared" si="28"/>
        <v>5.74074074074074E-2</v>
      </c>
      <c r="R78" s="2">
        <f t="shared" si="29"/>
        <v>13.395061728395058</v>
      </c>
      <c r="S78" s="2">
        <f t="shared" si="16"/>
        <v>3.1893004115226331</v>
      </c>
      <c r="T78" s="2">
        <f t="shared" si="30"/>
        <v>6.3786008230452662</v>
      </c>
      <c r="U78" s="2">
        <f t="shared" si="17"/>
        <v>9.5679012345679002</v>
      </c>
      <c r="V78" s="2">
        <f t="shared" si="18"/>
        <v>12.757201646090532</v>
      </c>
      <c r="W78" s="2">
        <f t="shared" si="19"/>
        <v>15.946502057613165</v>
      </c>
      <c r="X78" s="2">
        <f t="shared" si="20"/>
        <v>19.1358024691358</v>
      </c>
      <c r="Y78" s="5" t="str">
        <f t="shared" si="22"/>
        <v>1</v>
      </c>
      <c r="Z78" s="5" t="str">
        <f t="shared" si="22"/>
        <v>1</v>
      </c>
      <c r="AA78" s="5" t="str">
        <f t="shared" si="22"/>
        <v>1</v>
      </c>
      <c r="AB78" s="5" t="str">
        <f t="shared" si="22"/>
        <v>1</v>
      </c>
      <c r="AC78" s="5" t="str">
        <f t="shared" si="22"/>
        <v>1</v>
      </c>
      <c r="AD78" s="5" t="str">
        <f t="shared" si="22"/>
        <v>1</v>
      </c>
      <c r="AE78" s="5" t="str">
        <f t="shared" si="22"/>
        <v>1</v>
      </c>
    </row>
    <row r="79" spans="1:31" ht="14.4" x14ac:dyDescent="0.3">
      <c r="A79" s="14">
        <v>76</v>
      </c>
      <c r="B79" s="24" t="s">
        <v>181</v>
      </c>
      <c r="C79" s="10">
        <v>44</v>
      </c>
      <c r="D79" s="10">
        <v>58</v>
      </c>
      <c r="E79" s="16">
        <v>365</v>
      </c>
      <c r="F79" s="19">
        <v>6.3E-3</v>
      </c>
      <c r="G79" s="10">
        <v>3000</v>
      </c>
      <c r="H79" s="13">
        <v>3.0000000000000001E-3</v>
      </c>
      <c r="I79" s="17">
        <v>10950</v>
      </c>
      <c r="J79" s="22">
        <v>1</v>
      </c>
      <c r="K79" s="18">
        <f t="shared" si="23"/>
        <v>1.086206896551724E-2</v>
      </c>
      <c r="L79" s="2">
        <f t="shared" si="21"/>
        <v>5.4310344827586197E-2</v>
      </c>
      <c r="M79" s="2">
        <f t="shared" si="24"/>
        <v>0.10862068965517239</v>
      </c>
      <c r="N79" s="2">
        <f t="shared" si="25"/>
        <v>0.16293103448275859</v>
      </c>
      <c r="O79" s="2">
        <f t="shared" si="26"/>
        <v>0.21724137931034479</v>
      </c>
      <c r="P79" s="2">
        <f t="shared" si="27"/>
        <v>0.27155172413793099</v>
      </c>
      <c r="Q79" s="2">
        <f t="shared" si="28"/>
        <v>0.32586206896551717</v>
      </c>
      <c r="R79" s="2">
        <f t="shared" si="29"/>
        <v>3.6206896551724133</v>
      </c>
      <c r="S79" s="2">
        <f t="shared" si="16"/>
        <v>18.103448275862064</v>
      </c>
      <c r="T79" s="2">
        <f t="shared" si="30"/>
        <v>36.206896551724128</v>
      </c>
      <c r="U79" s="2">
        <f t="shared" si="17"/>
        <v>54.310344827586192</v>
      </c>
      <c r="V79" s="2">
        <f t="shared" si="18"/>
        <v>72.413793103448256</v>
      </c>
      <c r="W79" s="2">
        <f t="shared" si="19"/>
        <v>90.517241379310335</v>
      </c>
      <c r="X79" s="2">
        <f t="shared" si="20"/>
        <v>108.62068965517238</v>
      </c>
      <c r="Y79" s="5" t="str">
        <f t="shared" si="22"/>
        <v>1</v>
      </c>
      <c r="Z79" s="5" t="str">
        <f t="shared" si="22"/>
        <v>1</v>
      </c>
      <c r="AA79" s="5" t="str">
        <f t="shared" si="22"/>
        <v>1</v>
      </c>
      <c r="AB79" s="5" t="str">
        <f t="shared" si="22"/>
        <v>1</v>
      </c>
      <c r="AC79" s="5" t="str">
        <f t="shared" si="22"/>
        <v>1</v>
      </c>
      <c r="AD79" s="5" t="str">
        <f t="shared" si="22"/>
        <v>1</v>
      </c>
      <c r="AE79" s="5" t="str">
        <f t="shared" si="22"/>
        <v>1</v>
      </c>
    </row>
    <row r="80" spans="1:31" ht="14.4" x14ac:dyDescent="0.3">
      <c r="A80" s="14">
        <v>77</v>
      </c>
      <c r="B80" s="24" t="s">
        <v>127</v>
      </c>
      <c r="C80" s="10">
        <v>44</v>
      </c>
      <c r="D80" s="10">
        <v>58</v>
      </c>
      <c r="E80" s="16">
        <v>365</v>
      </c>
      <c r="F80" s="19">
        <v>5.9999999999999995E-4</v>
      </c>
      <c r="G80" s="10">
        <v>3000</v>
      </c>
      <c r="H80" s="13">
        <v>3.0000000000000001E-3</v>
      </c>
      <c r="I80" s="17">
        <v>10950</v>
      </c>
      <c r="J80" s="22">
        <v>1</v>
      </c>
      <c r="K80" s="18">
        <f t="shared" si="23"/>
        <v>1.0344827586206895E-3</v>
      </c>
      <c r="L80" s="2">
        <f t="shared" si="21"/>
        <v>5.1724137931034473E-3</v>
      </c>
      <c r="M80" s="2">
        <f t="shared" si="24"/>
        <v>1.0344827586206895E-2</v>
      </c>
      <c r="N80" s="2">
        <f t="shared" si="25"/>
        <v>1.5517241379310341E-2</v>
      </c>
      <c r="O80" s="2">
        <f t="shared" si="26"/>
        <v>2.0689655172413789E-2</v>
      </c>
      <c r="P80" s="2">
        <f t="shared" si="27"/>
        <v>2.5862068965517234E-2</v>
      </c>
      <c r="Q80" s="2">
        <f t="shared" si="28"/>
        <v>3.1034482758620682E-2</v>
      </c>
      <c r="R80" s="2">
        <f t="shared" si="29"/>
        <v>0.34482758620689646</v>
      </c>
      <c r="S80" s="2">
        <f t="shared" si="16"/>
        <v>1.7241379310344824</v>
      </c>
      <c r="T80" s="2">
        <f t="shared" si="30"/>
        <v>3.4482758620689649</v>
      </c>
      <c r="U80" s="2">
        <f t="shared" si="17"/>
        <v>5.1724137931034466</v>
      </c>
      <c r="V80" s="2">
        <f t="shared" si="18"/>
        <v>6.8965517241379297</v>
      </c>
      <c r="W80" s="2">
        <f t="shared" si="19"/>
        <v>8.620689655172411</v>
      </c>
      <c r="X80" s="2">
        <f t="shared" si="20"/>
        <v>10.344827586206893</v>
      </c>
      <c r="Y80" s="5" t="str">
        <f t="shared" si="22"/>
        <v>2</v>
      </c>
      <c r="Z80" s="5" t="str">
        <f t="shared" si="22"/>
        <v>1</v>
      </c>
      <c r="AA80" s="5" t="str">
        <f t="shared" si="22"/>
        <v>1</v>
      </c>
      <c r="AB80" s="5" t="str">
        <f t="shared" si="22"/>
        <v>1</v>
      </c>
      <c r="AC80" s="5" t="str">
        <f t="shared" si="22"/>
        <v>1</v>
      </c>
      <c r="AD80" s="5" t="str">
        <f t="shared" si="22"/>
        <v>1</v>
      </c>
      <c r="AE80" s="5" t="str">
        <f t="shared" si="22"/>
        <v>1</v>
      </c>
    </row>
    <row r="81" spans="1:31" ht="14.4" x14ac:dyDescent="0.3">
      <c r="A81" s="14">
        <v>78</v>
      </c>
      <c r="B81" s="24" t="s">
        <v>132</v>
      </c>
      <c r="C81" s="10">
        <v>44</v>
      </c>
      <c r="D81" s="10">
        <v>81</v>
      </c>
      <c r="E81" s="16">
        <v>365</v>
      </c>
      <c r="F81" s="19">
        <v>1.1000000000000001E-3</v>
      </c>
      <c r="G81" s="10">
        <v>1500</v>
      </c>
      <c r="H81" s="13">
        <v>3.0000000000000001E-3</v>
      </c>
      <c r="I81" s="17">
        <v>10950</v>
      </c>
      <c r="J81" s="22">
        <v>21</v>
      </c>
      <c r="K81" s="18">
        <f t="shared" si="23"/>
        <v>1.425925925925926E-2</v>
      </c>
      <c r="L81" s="2">
        <f t="shared" si="21"/>
        <v>3.3950617283950617E-3</v>
      </c>
      <c r="M81" s="2">
        <f t="shared" si="24"/>
        <v>6.7901234567901234E-3</v>
      </c>
      <c r="N81" s="2">
        <f t="shared" si="25"/>
        <v>1.0185185185185186E-2</v>
      </c>
      <c r="O81" s="2">
        <f t="shared" si="26"/>
        <v>1.3580246913580247E-2</v>
      </c>
      <c r="P81" s="2">
        <f t="shared" si="27"/>
        <v>1.6975308641975308E-2</v>
      </c>
      <c r="Q81" s="2">
        <f t="shared" si="28"/>
        <v>2.0370370370370372E-2</v>
      </c>
      <c r="R81" s="2">
        <f t="shared" si="29"/>
        <v>4.7530864197530862</v>
      </c>
      <c r="S81" s="2">
        <f t="shared" si="16"/>
        <v>1.131687242798354</v>
      </c>
      <c r="T81" s="2">
        <f t="shared" si="30"/>
        <v>2.263374485596708</v>
      </c>
      <c r="U81" s="2">
        <f t="shared" si="17"/>
        <v>3.3950617283950622</v>
      </c>
      <c r="V81" s="2">
        <f t="shared" si="18"/>
        <v>4.5267489711934159</v>
      </c>
      <c r="W81" s="2">
        <f t="shared" si="19"/>
        <v>5.6584362139917692</v>
      </c>
      <c r="X81" s="2">
        <f t="shared" si="20"/>
        <v>6.7901234567901243</v>
      </c>
      <c r="Y81" s="5" t="str">
        <f t="shared" si="22"/>
        <v>1</v>
      </c>
      <c r="Z81" s="5" t="str">
        <f t="shared" si="22"/>
        <v>1</v>
      </c>
      <c r="AA81" s="5" t="str">
        <f t="shared" si="22"/>
        <v>1</v>
      </c>
      <c r="AB81" s="5" t="str">
        <f t="shared" si="22"/>
        <v>1</v>
      </c>
      <c r="AC81" s="5" t="str">
        <f t="shared" si="22"/>
        <v>1</v>
      </c>
      <c r="AD81" s="5" t="str">
        <f t="shared" si="22"/>
        <v>1</v>
      </c>
      <c r="AE81" s="5" t="str">
        <f t="shared" si="22"/>
        <v>1</v>
      </c>
    </row>
    <row r="82" spans="1:31" ht="14.4" x14ac:dyDescent="0.3">
      <c r="A82" s="14">
        <v>79</v>
      </c>
      <c r="B82" s="24" t="s">
        <v>182</v>
      </c>
      <c r="C82" s="10">
        <v>45</v>
      </c>
      <c r="D82" s="10">
        <v>42</v>
      </c>
      <c r="E82" s="16">
        <v>365</v>
      </c>
      <c r="F82" s="19">
        <v>1.6000000000000001E-3</v>
      </c>
      <c r="G82" s="10">
        <v>1800</v>
      </c>
      <c r="H82" s="13">
        <v>3.0000000000000001E-3</v>
      </c>
      <c r="I82" s="17">
        <v>10950</v>
      </c>
      <c r="J82" s="22">
        <v>45</v>
      </c>
      <c r="K82" s="18">
        <f t="shared" si="23"/>
        <v>0.10285714285714286</v>
      </c>
      <c r="L82" s="2">
        <f t="shared" si="21"/>
        <v>1.1428571428571429E-2</v>
      </c>
      <c r="M82" s="2">
        <f t="shared" si="24"/>
        <v>2.2857142857142857E-2</v>
      </c>
      <c r="N82" s="2">
        <f t="shared" si="25"/>
        <v>3.4285714285714287E-2</v>
      </c>
      <c r="O82" s="2">
        <f t="shared" si="26"/>
        <v>4.5714285714285714E-2</v>
      </c>
      <c r="P82" s="2">
        <f t="shared" si="27"/>
        <v>5.7142857142857141E-2</v>
      </c>
      <c r="Q82" s="2">
        <f t="shared" si="28"/>
        <v>6.8571428571428575E-2</v>
      </c>
      <c r="R82" s="2">
        <f t="shared" si="29"/>
        <v>34.285714285714285</v>
      </c>
      <c r="S82" s="2">
        <f t="shared" si="16"/>
        <v>3.8095238095238093</v>
      </c>
      <c r="T82" s="2">
        <f t="shared" si="30"/>
        <v>7.6190476190476186</v>
      </c>
      <c r="U82" s="2">
        <f t="shared" si="17"/>
        <v>11.428571428571429</v>
      </c>
      <c r="V82" s="2">
        <f t="shared" si="18"/>
        <v>15.238095238095237</v>
      </c>
      <c r="W82" s="2">
        <f t="shared" si="19"/>
        <v>19.047619047619047</v>
      </c>
      <c r="X82" s="2">
        <f t="shared" si="20"/>
        <v>22.857142857142858</v>
      </c>
      <c r="Y82" s="5" t="str">
        <f t="shared" si="22"/>
        <v>1</v>
      </c>
      <c r="Z82" s="5" t="str">
        <f t="shared" si="22"/>
        <v>1</v>
      </c>
      <c r="AA82" s="5" t="str">
        <f t="shared" si="22"/>
        <v>1</v>
      </c>
      <c r="AB82" s="5" t="str">
        <f t="shared" si="22"/>
        <v>1</v>
      </c>
      <c r="AC82" s="5" t="str">
        <f t="shared" si="22"/>
        <v>1</v>
      </c>
      <c r="AD82" s="5" t="str">
        <f t="shared" si="22"/>
        <v>1</v>
      </c>
      <c r="AE82" s="5" t="str">
        <f t="shared" si="22"/>
        <v>1</v>
      </c>
    </row>
    <row r="83" spans="1:31" ht="14.4" x14ac:dyDescent="0.3">
      <c r="A83" s="14">
        <v>80</v>
      </c>
      <c r="B83" s="24" t="s">
        <v>183</v>
      </c>
      <c r="C83" s="10">
        <v>45</v>
      </c>
      <c r="D83" s="10">
        <v>50</v>
      </c>
      <c r="E83" s="16">
        <v>365</v>
      </c>
      <c r="F83" s="19">
        <v>2.9999999999999997E-4</v>
      </c>
      <c r="G83" s="10">
        <v>900</v>
      </c>
      <c r="H83" s="13">
        <v>3.0000000000000001E-3</v>
      </c>
      <c r="I83" s="17">
        <v>10950</v>
      </c>
      <c r="J83" s="22">
        <v>1</v>
      </c>
      <c r="K83" s="18">
        <f t="shared" si="23"/>
        <v>1.7999999999999996E-4</v>
      </c>
      <c r="L83" s="2">
        <f t="shared" si="21"/>
        <v>8.9999999999999976E-4</v>
      </c>
      <c r="M83" s="2">
        <f t="shared" si="24"/>
        <v>1.7999999999999995E-3</v>
      </c>
      <c r="N83" s="2">
        <f t="shared" si="25"/>
        <v>2.6999999999999997E-3</v>
      </c>
      <c r="O83" s="2">
        <f t="shared" si="26"/>
        <v>3.599999999999999E-3</v>
      </c>
      <c r="P83" s="2">
        <f t="shared" si="27"/>
        <v>4.4999999999999988E-3</v>
      </c>
      <c r="Q83" s="2">
        <f t="shared" si="28"/>
        <v>5.3999999999999994E-3</v>
      </c>
      <c r="R83" s="2">
        <f t="shared" si="29"/>
        <v>5.9999999999999984E-2</v>
      </c>
      <c r="S83" s="2">
        <f t="shared" si="16"/>
        <v>0.29999999999999993</v>
      </c>
      <c r="T83" s="2">
        <f t="shared" si="30"/>
        <v>0.59999999999999987</v>
      </c>
      <c r="U83" s="2">
        <f t="shared" si="17"/>
        <v>0.89999999999999991</v>
      </c>
      <c r="V83" s="2">
        <f t="shared" si="18"/>
        <v>1.1999999999999997</v>
      </c>
      <c r="W83" s="2">
        <f t="shared" si="19"/>
        <v>1.4999999999999996</v>
      </c>
      <c r="X83" s="2">
        <f t="shared" si="20"/>
        <v>1.7999999999999998</v>
      </c>
      <c r="Y83" s="5" t="str">
        <f t="shared" si="22"/>
        <v>2</v>
      </c>
      <c r="Z83" s="5" t="str">
        <f t="shared" si="22"/>
        <v>2</v>
      </c>
      <c r="AA83" s="5" t="str">
        <f t="shared" si="22"/>
        <v>2</v>
      </c>
      <c r="AB83" s="5" t="str">
        <f t="shared" si="22"/>
        <v>2</v>
      </c>
      <c r="AC83" s="5" t="str">
        <f t="shared" si="22"/>
        <v>1</v>
      </c>
      <c r="AD83" s="5" t="str">
        <f t="shared" si="22"/>
        <v>1</v>
      </c>
      <c r="AE83" s="5" t="str">
        <f t="shared" si="22"/>
        <v>1</v>
      </c>
    </row>
    <row r="84" spans="1:31" ht="14.4" x14ac:dyDescent="0.3">
      <c r="A84" s="14">
        <v>81</v>
      </c>
      <c r="B84" s="24" t="s">
        <v>123</v>
      </c>
      <c r="C84" s="10">
        <v>45</v>
      </c>
      <c r="D84" s="10">
        <v>42</v>
      </c>
      <c r="E84" s="16">
        <v>365</v>
      </c>
      <c r="F84" s="19">
        <v>2.9999999999999997E-4</v>
      </c>
      <c r="G84" s="10">
        <v>1800</v>
      </c>
      <c r="H84" s="13">
        <v>3.0000000000000001E-3</v>
      </c>
      <c r="I84" s="17">
        <v>10950</v>
      </c>
      <c r="J84" s="22">
        <v>45</v>
      </c>
      <c r="K84" s="18">
        <f t="shared" si="23"/>
        <v>1.9285714285714281E-2</v>
      </c>
      <c r="L84" s="2">
        <f t="shared" si="21"/>
        <v>2.1428571428571425E-3</v>
      </c>
      <c r="M84" s="2">
        <f t="shared" si="24"/>
        <v>4.2857142857142851E-3</v>
      </c>
      <c r="N84" s="2">
        <f t="shared" si="25"/>
        <v>6.4285714285714276E-3</v>
      </c>
      <c r="O84" s="2">
        <f t="shared" si="26"/>
        <v>8.5714285714285701E-3</v>
      </c>
      <c r="P84" s="2">
        <f t="shared" si="27"/>
        <v>1.0714285714285713E-2</v>
      </c>
      <c r="Q84" s="2">
        <f t="shared" si="28"/>
        <v>1.2857142857142855E-2</v>
      </c>
      <c r="R84" s="2">
        <f t="shared" si="29"/>
        <v>6.428571428571427</v>
      </c>
      <c r="S84" s="2">
        <f t="shared" si="16"/>
        <v>0.71428571428571419</v>
      </c>
      <c r="T84" s="2">
        <f t="shared" si="30"/>
        <v>1.4285714285714284</v>
      </c>
      <c r="U84" s="2">
        <f t="shared" si="17"/>
        <v>2.1428571428571423</v>
      </c>
      <c r="V84" s="2">
        <f t="shared" si="18"/>
        <v>2.8571428571428568</v>
      </c>
      <c r="W84" s="2">
        <f t="shared" si="19"/>
        <v>3.5714285714285707</v>
      </c>
      <c r="X84" s="2">
        <f t="shared" si="20"/>
        <v>4.2857142857142847</v>
      </c>
      <c r="Y84" s="5" t="str">
        <f t="shared" si="22"/>
        <v>1</v>
      </c>
      <c r="Z84" s="5" t="str">
        <f t="shared" si="22"/>
        <v>2</v>
      </c>
      <c r="AA84" s="5" t="str">
        <f t="shared" si="22"/>
        <v>1</v>
      </c>
      <c r="AB84" s="5" t="str">
        <f t="shared" si="22"/>
        <v>1</v>
      </c>
      <c r="AC84" s="5" t="str">
        <f t="shared" si="22"/>
        <v>1</v>
      </c>
      <c r="AD84" s="5" t="str">
        <f t="shared" si="22"/>
        <v>1</v>
      </c>
      <c r="AE84" s="5" t="str">
        <f t="shared" si="22"/>
        <v>1</v>
      </c>
    </row>
    <row r="85" spans="1:31" ht="14.4" x14ac:dyDescent="0.3">
      <c r="A85" s="14">
        <v>82</v>
      </c>
      <c r="B85" s="24" t="s">
        <v>140</v>
      </c>
      <c r="C85" s="10">
        <v>45</v>
      </c>
      <c r="D85" s="10">
        <v>50</v>
      </c>
      <c r="E85" s="16">
        <v>365</v>
      </c>
      <c r="F85" s="19">
        <v>3.5000000000000001E-3</v>
      </c>
      <c r="G85" s="10">
        <v>900</v>
      </c>
      <c r="H85" s="13">
        <v>3.0000000000000001E-3</v>
      </c>
      <c r="I85" s="17">
        <v>10950</v>
      </c>
      <c r="J85" s="22">
        <v>1</v>
      </c>
      <c r="K85" s="18">
        <f t="shared" si="23"/>
        <v>2.0999999999999999E-3</v>
      </c>
      <c r="L85" s="2">
        <f t="shared" si="21"/>
        <v>1.0500000000000001E-2</v>
      </c>
      <c r="M85" s="2">
        <f t="shared" si="24"/>
        <v>2.1000000000000001E-2</v>
      </c>
      <c r="N85" s="2">
        <f t="shared" si="25"/>
        <v>3.15E-2</v>
      </c>
      <c r="O85" s="2">
        <f t="shared" si="26"/>
        <v>4.2000000000000003E-2</v>
      </c>
      <c r="P85" s="2">
        <f t="shared" si="27"/>
        <v>5.2499999999999998E-2</v>
      </c>
      <c r="Q85" s="2">
        <f t="shared" si="28"/>
        <v>6.3E-2</v>
      </c>
      <c r="R85" s="2">
        <f t="shared" si="29"/>
        <v>0.7</v>
      </c>
      <c r="S85" s="2">
        <f t="shared" si="16"/>
        <v>3.5</v>
      </c>
      <c r="T85" s="2">
        <f t="shared" si="30"/>
        <v>7</v>
      </c>
      <c r="U85" s="2">
        <f t="shared" si="17"/>
        <v>10.5</v>
      </c>
      <c r="V85" s="2">
        <f t="shared" si="18"/>
        <v>14</v>
      </c>
      <c r="W85" s="2">
        <f t="shared" si="19"/>
        <v>17.5</v>
      </c>
      <c r="X85" s="2">
        <f t="shared" si="20"/>
        <v>21</v>
      </c>
      <c r="Y85" s="5" t="str">
        <f t="shared" si="22"/>
        <v>2</v>
      </c>
      <c r="Z85" s="5" t="str">
        <f t="shared" si="22"/>
        <v>1</v>
      </c>
      <c r="AA85" s="5" t="str">
        <f t="shared" si="22"/>
        <v>1</v>
      </c>
      <c r="AB85" s="5" t="str">
        <f t="shared" si="22"/>
        <v>1</v>
      </c>
      <c r="AC85" s="5" t="str">
        <f t="shared" si="22"/>
        <v>1</v>
      </c>
      <c r="AD85" s="5" t="str">
        <f t="shared" si="22"/>
        <v>1</v>
      </c>
      <c r="AE85" s="5" t="str">
        <f t="shared" si="22"/>
        <v>1</v>
      </c>
    </row>
    <row r="86" spans="1:31" ht="14.4" x14ac:dyDescent="0.3">
      <c r="A86" s="14">
        <v>83</v>
      </c>
      <c r="B86" s="24" t="s">
        <v>150</v>
      </c>
      <c r="C86" s="10">
        <v>45</v>
      </c>
      <c r="D86" s="10">
        <v>50</v>
      </c>
      <c r="E86" s="16">
        <v>365</v>
      </c>
      <c r="F86" s="19">
        <v>1.2999999999999999E-3</v>
      </c>
      <c r="G86" s="10">
        <v>900</v>
      </c>
      <c r="H86" s="13">
        <v>3.0000000000000001E-3</v>
      </c>
      <c r="I86" s="17">
        <v>10950</v>
      </c>
      <c r="J86" s="22">
        <v>1</v>
      </c>
      <c r="K86" s="18">
        <f t="shared" si="23"/>
        <v>7.7999999999999988E-4</v>
      </c>
      <c r="L86" s="2">
        <f t="shared" si="21"/>
        <v>3.8999999999999998E-3</v>
      </c>
      <c r="M86" s="2">
        <f t="shared" si="24"/>
        <v>7.7999999999999996E-3</v>
      </c>
      <c r="N86" s="2">
        <f t="shared" si="25"/>
        <v>1.1699999999999999E-2</v>
      </c>
      <c r="O86" s="2">
        <f t="shared" si="26"/>
        <v>1.5599999999999999E-2</v>
      </c>
      <c r="P86" s="2">
        <f t="shared" si="27"/>
        <v>1.9499999999999997E-2</v>
      </c>
      <c r="Q86" s="2">
        <f t="shared" si="28"/>
        <v>2.3399999999999997E-2</v>
      </c>
      <c r="R86" s="2">
        <f t="shared" si="29"/>
        <v>0.25999999999999995</v>
      </c>
      <c r="S86" s="2">
        <f t="shared" si="16"/>
        <v>1.2999999999999998</v>
      </c>
      <c r="T86" s="2">
        <f t="shared" si="30"/>
        <v>2.5999999999999996</v>
      </c>
      <c r="U86" s="2">
        <f t="shared" si="17"/>
        <v>3.8999999999999995</v>
      </c>
      <c r="V86" s="2">
        <f t="shared" si="18"/>
        <v>5.1999999999999993</v>
      </c>
      <c r="W86" s="2">
        <f t="shared" si="19"/>
        <v>6.4999999999999991</v>
      </c>
      <c r="X86" s="2">
        <f t="shared" si="20"/>
        <v>7.7999999999999989</v>
      </c>
      <c r="Y86" s="5" t="str">
        <f t="shared" si="22"/>
        <v>2</v>
      </c>
      <c r="Z86" s="5" t="str">
        <f t="shared" si="22"/>
        <v>1</v>
      </c>
      <c r="AA86" s="5" t="str">
        <f t="shared" si="22"/>
        <v>1</v>
      </c>
      <c r="AB86" s="5" t="str">
        <f t="shared" si="22"/>
        <v>1</v>
      </c>
      <c r="AC86" s="5" t="str">
        <f t="shared" si="22"/>
        <v>1</v>
      </c>
      <c r="AD86" s="5" t="str">
        <f t="shared" si="22"/>
        <v>1</v>
      </c>
      <c r="AE86" s="5" t="str">
        <f t="shared" si="22"/>
        <v>1</v>
      </c>
    </row>
    <row r="87" spans="1:31" ht="14.4" x14ac:dyDescent="0.3">
      <c r="A87" s="14">
        <v>84</v>
      </c>
      <c r="B87" s="24" t="s">
        <v>184</v>
      </c>
      <c r="C87" s="10">
        <v>46</v>
      </c>
      <c r="D87" s="10">
        <v>54</v>
      </c>
      <c r="E87" s="16">
        <v>365</v>
      </c>
      <c r="F87" s="19">
        <v>4.4000000000000003E-3</v>
      </c>
      <c r="G87" s="10">
        <v>900</v>
      </c>
      <c r="H87" s="13">
        <v>3.0000000000000001E-3</v>
      </c>
      <c r="I87" s="17">
        <v>10950</v>
      </c>
      <c r="J87" s="22">
        <v>10</v>
      </c>
      <c r="K87" s="18">
        <f t="shared" si="23"/>
        <v>2.4444444444444446E-2</v>
      </c>
      <c r="L87" s="2">
        <f t="shared" si="21"/>
        <v>1.2222222222222223E-2</v>
      </c>
      <c r="M87" s="2">
        <f t="shared" si="24"/>
        <v>2.4444444444444446E-2</v>
      </c>
      <c r="N87" s="2">
        <f t="shared" si="25"/>
        <v>3.6666666666666667E-2</v>
      </c>
      <c r="O87" s="2">
        <f t="shared" si="26"/>
        <v>4.8888888888888891E-2</v>
      </c>
      <c r="P87" s="2">
        <f t="shared" si="27"/>
        <v>6.1111111111111109E-2</v>
      </c>
      <c r="Q87" s="2">
        <f t="shared" si="28"/>
        <v>7.3333333333333334E-2</v>
      </c>
      <c r="R87" s="2">
        <f t="shared" si="29"/>
        <v>8.1481481481481488</v>
      </c>
      <c r="S87" s="2">
        <f t="shared" si="16"/>
        <v>4.0740740740740744</v>
      </c>
      <c r="T87" s="2">
        <f t="shared" si="30"/>
        <v>8.1481481481481488</v>
      </c>
      <c r="U87" s="2">
        <f t="shared" si="17"/>
        <v>12.222222222222221</v>
      </c>
      <c r="V87" s="2">
        <f t="shared" si="18"/>
        <v>16.296296296296298</v>
      </c>
      <c r="W87" s="2">
        <f t="shared" si="19"/>
        <v>20.37037037037037</v>
      </c>
      <c r="X87" s="2">
        <f t="shared" si="20"/>
        <v>24.444444444444443</v>
      </c>
      <c r="Y87" s="5" t="str">
        <f t="shared" si="22"/>
        <v>1</v>
      </c>
      <c r="Z87" s="5" t="str">
        <f t="shared" si="22"/>
        <v>1</v>
      </c>
      <c r="AA87" s="5" t="str">
        <f t="shared" si="22"/>
        <v>1</v>
      </c>
      <c r="AB87" s="5" t="str">
        <f t="shared" si="22"/>
        <v>1</v>
      </c>
      <c r="AC87" s="5" t="str">
        <f t="shared" si="22"/>
        <v>1</v>
      </c>
      <c r="AD87" s="5" t="str">
        <f t="shared" si="22"/>
        <v>1</v>
      </c>
      <c r="AE87" s="5" t="str">
        <f t="shared" si="22"/>
        <v>1</v>
      </c>
    </row>
    <row r="88" spans="1:31" ht="14.4" x14ac:dyDescent="0.3">
      <c r="A88" s="14">
        <v>85</v>
      </c>
      <c r="B88" s="24" t="s">
        <v>141</v>
      </c>
      <c r="C88" s="10">
        <v>46</v>
      </c>
      <c r="D88" s="10">
        <v>54</v>
      </c>
      <c r="E88" s="16">
        <v>365</v>
      </c>
      <c r="F88" s="19">
        <v>4.4000000000000003E-3</v>
      </c>
      <c r="G88" s="10">
        <v>900</v>
      </c>
      <c r="H88" s="13">
        <v>3.0000000000000001E-3</v>
      </c>
      <c r="I88" s="17">
        <v>10950</v>
      </c>
      <c r="J88" s="22">
        <v>10</v>
      </c>
      <c r="K88" s="18">
        <f t="shared" si="23"/>
        <v>2.4444444444444446E-2</v>
      </c>
      <c r="L88" s="2">
        <f t="shared" si="21"/>
        <v>1.2222222222222223E-2</v>
      </c>
      <c r="M88" s="2">
        <f t="shared" si="24"/>
        <v>2.4444444444444446E-2</v>
      </c>
      <c r="N88" s="2">
        <f t="shared" si="25"/>
        <v>3.6666666666666667E-2</v>
      </c>
      <c r="O88" s="2">
        <f t="shared" si="26"/>
        <v>4.8888888888888891E-2</v>
      </c>
      <c r="P88" s="2">
        <f t="shared" si="27"/>
        <v>6.1111111111111109E-2</v>
      </c>
      <c r="Q88" s="2">
        <f t="shared" si="28"/>
        <v>7.3333333333333334E-2</v>
      </c>
      <c r="R88" s="2">
        <f t="shared" si="29"/>
        <v>8.1481481481481488</v>
      </c>
      <c r="S88" s="2">
        <f t="shared" si="16"/>
        <v>4.0740740740740744</v>
      </c>
      <c r="T88" s="2">
        <f t="shared" si="30"/>
        <v>8.1481481481481488</v>
      </c>
      <c r="U88" s="2">
        <f t="shared" si="17"/>
        <v>12.222222222222221</v>
      </c>
      <c r="V88" s="2">
        <f t="shared" si="18"/>
        <v>16.296296296296298</v>
      </c>
      <c r="W88" s="2">
        <f t="shared" si="19"/>
        <v>20.37037037037037</v>
      </c>
      <c r="X88" s="2">
        <f t="shared" si="20"/>
        <v>24.444444444444443</v>
      </c>
      <c r="Y88" s="5" t="str">
        <f t="shared" si="22"/>
        <v>1</v>
      </c>
      <c r="Z88" s="5" t="str">
        <f t="shared" si="22"/>
        <v>1</v>
      </c>
      <c r="AA88" s="5" t="str">
        <f t="shared" si="22"/>
        <v>1</v>
      </c>
      <c r="AB88" s="5" t="str">
        <f t="shared" si="22"/>
        <v>1</v>
      </c>
      <c r="AC88" s="5" t="str">
        <f t="shared" si="22"/>
        <v>1</v>
      </c>
      <c r="AD88" s="5" t="str">
        <f t="shared" si="22"/>
        <v>1</v>
      </c>
      <c r="AE88" s="5" t="str">
        <f t="shared" si="22"/>
        <v>1</v>
      </c>
    </row>
    <row r="89" spans="1:31" ht="14.4" x14ac:dyDescent="0.3">
      <c r="A89" s="14">
        <v>86</v>
      </c>
      <c r="B89" s="24" t="s">
        <v>151</v>
      </c>
      <c r="C89" s="10">
        <v>46</v>
      </c>
      <c r="D89" s="10">
        <v>54</v>
      </c>
      <c r="E89" s="16">
        <v>365</v>
      </c>
      <c r="F89" s="19">
        <v>4.4000000000000003E-3</v>
      </c>
      <c r="G89" s="10">
        <v>900</v>
      </c>
      <c r="H89" s="13">
        <v>3.0000000000000001E-3</v>
      </c>
      <c r="I89" s="17">
        <v>10950</v>
      </c>
      <c r="J89" s="22">
        <v>10</v>
      </c>
      <c r="K89" s="18">
        <f t="shared" si="23"/>
        <v>2.4444444444444446E-2</v>
      </c>
      <c r="L89" s="2">
        <f t="shared" si="21"/>
        <v>1.2222222222222223E-2</v>
      </c>
      <c r="M89" s="2">
        <f t="shared" si="24"/>
        <v>2.4444444444444446E-2</v>
      </c>
      <c r="N89" s="2">
        <f t="shared" si="25"/>
        <v>3.6666666666666667E-2</v>
      </c>
      <c r="O89" s="2">
        <f t="shared" si="26"/>
        <v>4.8888888888888891E-2</v>
      </c>
      <c r="P89" s="2">
        <f t="shared" si="27"/>
        <v>6.1111111111111109E-2</v>
      </c>
      <c r="Q89" s="2">
        <f t="shared" si="28"/>
        <v>7.3333333333333334E-2</v>
      </c>
      <c r="R89" s="2">
        <f t="shared" si="29"/>
        <v>8.1481481481481488</v>
      </c>
      <c r="S89" s="2">
        <f t="shared" si="16"/>
        <v>4.0740740740740744</v>
      </c>
      <c r="T89" s="2">
        <f t="shared" si="30"/>
        <v>8.1481481481481488</v>
      </c>
      <c r="U89" s="2">
        <f t="shared" si="17"/>
        <v>12.222222222222221</v>
      </c>
      <c r="V89" s="2">
        <f t="shared" si="18"/>
        <v>16.296296296296298</v>
      </c>
      <c r="W89" s="2">
        <f t="shared" si="19"/>
        <v>20.37037037037037</v>
      </c>
      <c r="X89" s="2">
        <f t="shared" si="20"/>
        <v>24.444444444444443</v>
      </c>
      <c r="Y89" s="5" t="str">
        <f t="shared" si="22"/>
        <v>1</v>
      </c>
      <c r="Z89" s="5" t="str">
        <f t="shared" si="22"/>
        <v>1</v>
      </c>
      <c r="AA89" s="5" t="str">
        <f t="shared" si="22"/>
        <v>1</v>
      </c>
      <c r="AB89" s="5" t="str">
        <f t="shared" si="22"/>
        <v>1</v>
      </c>
      <c r="AC89" s="5" t="str">
        <f t="shared" si="22"/>
        <v>1</v>
      </c>
      <c r="AD89" s="5" t="str">
        <f t="shared" si="22"/>
        <v>1</v>
      </c>
      <c r="AE89" s="5" t="str">
        <f t="shared" si="22"/>
        <v>1</v>
      </c>
    </row>
    <row r="90" spans="1:31" ht="14.4" x14ac:dyDescent="0.3">
      <c r="A90" s="14">
        <v>87</v>
      </c>
      <c r="B90" s="24" t="s">
        <v>185</v>
      </c>
      <c r="C90" s="10">
        <v>47</v>
      </c>
      <c r="D90" s="10">
        <v>60</v>
      </c>
      <c r="E90" s="16">
        <v>365</v>
      </c>
      <c r="F90" s="19">
        <v>2.0000000000000001E-4</v>
      </c>
      <c r="G90" s="10">
        <v>900</v>
      </c>
      <c r="H90" s="13">
        <v>3.0000000000000001E-3</v>
      </c>
      <c r="I90" s="17">
        <v>10950</v>
      </c>
      <c r="J90" s="22">
        <v>10</v>
      </c>
      <c r="K90" s="18">
        <f t="shared" si="23"/>
        <v>1E-3</v>
      </c>
      <c r="L90" s="2">
        <f t="shared" si="21"/>
        <v>5.0000000000000001E-4</v>
      </c>
      <c r="M90" s="2">
        <f t="shared" si="24"/>
        <v>1E-3</v>
      </c>
      <c r="N90" s="2">
        <f t="shared" si="25"/>
        <v>1.5E-3</v>
      </c>
      <c r="O90" s="2">
        <f t="shared" si="26"/>
        <v>2E-3</v>
      </c>
      <c r="P90" s="2">
        <f t="shared" si="27"/>
        <v>2.5000000000000001E-3</v>
      </c>
      <c r="Q90" s="2">
        <f t="shared" si="28"/>
        <v>3.0000000000000001E-3</v>
      </c>
      <c r="R90" s="2">
        <f t="shared" si="29"/>
        <v>0.33333333333333331</v>
      </c>
      <c r="S90" s="2">
        <f t="shared" si="16"/>
        <v>0.16666666666666666</v>
      </c>
      <c r="T90" s="2">
        <f t="shared" si="30"/>
        <v>0.33333333333333331</v>
      </c>
      <c r="U90" s="2">
        <f t="shared" si="17"/>
        <v>0.5</v>
      </c>
      <c r="V90" s="2">
        <f t="shared" si="18"/>
        <v>0.66666666666666663</v>
      </c>
      <c r="W90" s="2">
        <f t="shared" si="19"/>
        <v>0.83333333333333337</v>
      </c>
      <c r="X90" s="2">
        <f t="shared" si="20"/>
        <v>1</v>
      </c>
      <c r="Y90" s="5" t="str">
        <f t="shared" si="22"/>
        <v>2</v>
      </c>
      <c r="Z90" s="5" t="str">
        <f t="shared" si="22"/>
        <v>2</v>
      </c>
      <c r="AA90" s="5" t="str">
        <f t="shared" si="22"/>
        <v>2</v>
      </c>
      <c r="AB90" s="5" t="str">
        <f t="shared" ref="AB90:AE103" si="31">IF(U90&gt;1,"1","2")</f>
        <v>2</v>
      </c>
      <c r="AC90" s="5" t="str">
        <f t="shared" si="31"/>
        <v>2</v>
      </c>
      <c r="AD90" s="5" t="str">
        <f t="shared" si="31"/>
        <v>2</v>
      </c>
      <c r="AE90" s="5" t="str">
        <f t="shared" si="31"/>
        <v>2</v>
      </c>
    </row>
    <row r="91" spans="1:31" ht="14.4" x14ac:dyDescent="0.3">
      <c r="A91" s="14">
        <v>88</v>
      </c>
      <c r="B91" s="24" t="s">
        <v>186</v>
      </c>
      <c r="C91" s="10">
        <v>49</v>
      </c>
      <c r="D91" s="10">
        <v>58</v>
      </c>
      <c r="E91" s="16">
        <v>365</v>
      </c>
      <c r="F91" s="19">
        <v>2.9999999999999997E-4</v>
      </c>
      <c r="G91" s="10">
        <v>900</v>
      </c>
      <c r="H91" s="13">
        <v>3.0000000000000001E-3</v>
      </c>
      <c r="I91" s="17">
        <v>10950</v>
      </c>
      <c r="J91" s="22">
        <v>40</v>
      </c>
      <c r="K91" s="18">
        <f t="shared" si="23"/>
        <v>6.2068965517241368E-3</v>
      </c>
      <c r="L91" s="2">
        <f t="shared" si="21"/>
        <v>7.758620689655171E-4</v>
      </c>
      <c r="M91" s="2">
        <f t="shared" si="24"/>
        <v>1.5517241379310342E-3</v>
      </c>
      <c r="N91" s="2">
        <f t="shared" si="25"/>
        <v>2.3275862068965515E-3</v>
      </c>
      <c r="O91" s="2">
        <f t="shared" si="26"/>
        <v>3.1034482758620684E-3</v>
      </c>
      <c r="P91" s="2">
        <f t="shared" si="27"/>
        <v>3.8793103448275853E-3</v>
      </c>
      <c r="Q91" s="2">
        <f t="shared" si="28"/>
        <v>4.655172413793103E-3</v>
      </c>
      <c r="R91" s="2">
        <f t="shared" si="29"/>
        <v>2.068965517241379</v>
      </c>
      <c r="S91" s="2">
        <f t="shared" si="16"/>
        <v>0.25862068965517238</v>
      </c>
      <c r="T91" s="2">
        <f t="shared" si="30"/>
        <v>0.51724137931034475</v>
      </c>
      <c r="U91" s="2">
        <f t="shared" si="17"/>
        <v>0.77586206896551713</v>
      </c>
      <c r="V91" s="2">
        <f t="shared" si="18"/>
        <v>1.0344827586206895</v>
      </c>
      <c r="W91" s="2">
        <f t="shared" si="19"/>
        <v>1.2931034482758617</v>
      </c>
      <c r="X91" s="2">
        <f t="shared" si="20"/>
        <v>1.5517241379310343</v>
      </c>
      <c r="Y91" s="5" t="str">
        <f t="shared" ref="Y91:AA103" si="32">IF(R91&gt;1,"1","2")</f>
        <v>1</v>
      </c>
      <c r="Z91" s="5" t="str">
        <f t="shared" si="32"/>
        <v>2</v>
      </c>
      <c r="AA91" s="5" t="str">
        <f t="shared" si="32"/>
        <v>2</v>
      </c>
      <c r="AB91" s="5" t="str">
        <f t="shared" si="31"/>
        <v>2</v>
      </c>
      <c r="AC91" s="5" t="str">
        <f t="shared" si="31"/>
        <v>1</v>
      </c>
      <c r="AD91" s="5" t="str">
        <f t="shared" si="31"/>
        <v>1</v>
      </c>
      <c r="AE91" s="5" t="str">
        <f t="shared" si="31"/>
        <v>1</v>
      </c>
    </row>
    <row r="92" spans="1:31" ht="14.4" x14ac:dyDescent="0.3">
      <c r="A92" s="14">
        <v>89</v>
      </c>
      <c r="B92" s="24" t="s">
        <v>187</v>
      </c>
      <c r="C92" s="10">
        <v>52</v>
      </c>
      <c r="D92" s="10">
        <v>61</v>
      </c>
      <c r="E92" s="16">
        <v>365</v>
      </c>
      <c r="F92" s="19">
        <v>2.9999999999999997E-4</v>
      </c>
      <c r="G92" s="10">
        <v>900</v>
      </c>
      <c r="H92" s="13">
        <v>3.0000000000000001E-3</v>
      </c>
      <c r="I92" s="17">
        <v>10950</v>
      </c>
      <c r="J92" s="22">
        <v>25</v>
      </c>
      <c r="K92" s="18">
        <f t="shared" si="23"/>
        <v>3.6885245901639337E-3</v>
      </c>
      <c r="L92" s="2">
        <f t="shared" si="21"/>
        <v>7.3770491803278667E-4</v>
      </c>
      <c r="M92" s="2">
        <f t="shared" si="24"/>
        <v>1.4754098360655733E-3</v>
      </c>
      <c r="N92" s="2">
        <f t="shared" si="25"/>
        <v>2.2131147540983601E-3</v>
      </c>
      <c r="O92" s="2">
        <f t="shared" si="26"/>
        <v>2.9508196721311467E-3</v>
      </c>
      <c r="P92" s="2">
        <f t="shared" si="27"/>
        <v>3.6885245901639337E-3</v>
      </c>
      <c r="Q92" s="2">
        <f t="shared" si="28"/>
        <v>4.4262295081967202E-3</v>
      </c>
      <c r="R92" s="2">
        <f t="shared" si="29"/>
        <v>1.2295081967213113</v>
      </c>
      <c r="S92" s="2">
        <f t="shared" si="16"/>
        <v>0.24590163934426221</v>
      </c>
      <c r="T92" s="2">
        <f t="shared" si="30"/>
        <v>0.49180327868852441</v>
      </c>
      <c r="U92" s="2">
        <f t="shared" si="17"/>
        <v>0.73770491803278671</v>
      </c>
      <c r="V92" s="2">
        <f t="shared" si="18"/>
        <v>0.98360655737704883</v>
      </c>
      <c r="W92" s="2">
        <f t="shared" si="19"/>
        <v>1.2295081967213113</v>
      </c>
      <c r="X92" s="2">
        <f t="shared" si="20"/>
        <v>1.4754098360655734</v>
      </c>
      <c r="Y92" s="5" t="str">
        <f t="shared" si="32"/>
        <v>1</v>
      </c>
      <c r="Z92" s="5" t="str">
        <f t="shared" si="32"/>
        <v>2</v>
      </c>
      <c r="AA92" s="5" t="str">
        <f t="shared" si="32"/>
        <v>2</v>
      </c>
      <c r="AB92" s="5" t="str">
        <f t="shared" si="31"/>
        <v>2</v>
      </c>
      <c r="AC92" s="5" t="str">
        <f t="shared" si="31"/>
        <v>2</v>
      </c>
      <c r="AD92" s="5" t="str">
        <f t="shared" si="31"/>
        <v>1</v>
      </c>
      <c r="AE92" s="5" t="str">
        <f t="shared" si="31"/>
        <v>1</v>
      </c>
    </row>
    <row r="93" spans="1:31" ht="14.4" x14ac:dyDescent="0.3">
      <c r="A93" s="14">
        <v>90</v>
      </c>
      <c r="B93" s="24" t="s">
        <v>122</v>
      </c>
      <c r="C93" s="10">
        <v>54</v>
      </c>
      <c r="D93" s="10">
        <v>57</v>
      </c>
      <c r="E93" s="16">
        <v>365</v>
      </c>
      <c r="F93" s="19">
        <v>9.7999999999999997E-3</v>
      </c>
      <c r="G93" s="10">
        <v>1200</v>
      </c>
      <c r="H93" s="13">
        <v>3.0000000000000001E-3</v>
      </c>
      <c r="I93" s="17">
        <v>10950</v>
      </c>
      <c r="J93" s="22">
        <v>54</v>
      </c>
      <c r="K93" s="18">
        <f t="shared" si="23"/>
        <v>0.37136842105263151</v>
      </c>
      <c r="L93" s="2">
        <f t="shared" si="21"/>
        <v>3.43859649122807E-2</v>
      </c>
      <c r="M93" s="2">
        <f t="shared" si="24"/>
        <v>6.8771929824561401E-2</v>
      </c>
      <c r="N93" s="2">
        <f t="shared" si="25"/>
        <v>0.10315789473684209</v>
      </c>
      <c r="O93" s="2">
        <f t="shared" si="26"/>
        <v>0.1375438596491228</v>
      </c>
      <c r="P93" s="2">
        <f t="shared" si="27"/>
        <v>0.17192982456140349</v>
      </c>
      <c r="Q93" s="2">
        <f t="shared" si="28"/>
        <v>0.20631578947368417</v>
      </c>
      <c r="R93" s="2">
        <f t="shared" si="29"/>
        <v>123.78947368421051</v>
      </c>
      <c r="S93" s="2">
        <f t="shared" si="16"/>
        <v>11.461988304093566</v>
      </c>
      <c r="T93" s="2">
        <f t="shared" si="30"/>
        <v>22.923976608187132</v>
      </c>
      <c r="U93" s="2">
        <f t="shared" si="17"/>
        <v>34.385964912280699</v>
      </c>
      <c r="V93" s="2">
        <f t="shared" si="18"/>
        <v>45.847953216374265</v>
      </c>
      <c r="W93" s="2">
        <f t="shared" si="19"/>
        <v>57.309941520467831</v>
      </c>
      <c r="X93" s="2">
        <f t="shared" si="20"/>
        <v>68.771929824561397</v>
      </c>
      <c r="Y93" s="5" t="str">
        <f t="shared" si="32"/>
        <v>1</v>
      </c>
      <c r="Z93" s="5" t="str">
        <f t="shared" si="32"/>
        <v>1</v>
      </c>
      <c r="AA93" s="5" t="str">
        <f t="shared" si="32"/>
        <v>1</v>
      </c>
      <c r="AB93" s="5" t="str">
        <f t="shared" si="31"/>
        <v>1</v>
      </c>
      <c r="AC93" s="5" t="str">
        <f t="shared" si="31"/>
        <v>1</v>
      </c>
      <c r="AD93" s="5" t="str">
        <f t="shared" si="31"/>
        <v>1</v>
      </c>
      <c r="AE93" s="5" t="str">
        <f t="shared" si="31"/>
        <v>1</v>
      </c>
    </row>
    <row r="94" spans="1:31" ht="14.4" x14ac:dyDescent="0.3">
      <c r="A94" s="14">
        <v>91</v>
      </c>
      <c r="B94" s="24" t="s">
        <v>122</v>
      </c>
      <c r="C94" s="10">
        <v>54</v>
      </c>
      <c r="D94" s="10">
        <v>57</v>
      </c>
      <c r="E94" s="16">
        <v>365</v>
      </c>
      <c r="F94" s="19">
        <v>2.2000000000000001E-3</v>
      </c>
      <c r="G94" s="10">
        <v>1200</v>
      </c>
      <c r="H94" s="13">
        <v>3.0000000000000001E-3</v>
      </c>
      <c r="I94" s="17">
        <v>10950</v>
      </c>
      <c r="J94" s="22">
        <v>54</v>
      </c>
      <c r="K94" s="18">
        <f t="shared" si="23"/>
        <v>8.3368421052631578E-2</v>
      </c>
      <c r="L94" s="2">
        <f t="shared" si="21"/>
        <v>7.7192982456140355E-3</v>
      </c>
      <c r="M94" s="2">
        <f t="shared" si="24"/>
        <v>1.5438596491228071E-2</v>
      </c>
      <c r="N94" s="2">
        <f t="shared" si="25"/>
        <v>2.3157894736842106E-2</v>
      </c>
      <c r="O94" s="2">
        <f t="shared" si="26"/>
        <v>3.0877192982456142E-2</v>
      </c>
      <c r="P94" s="2">
        <f t="shared" si="27"/>
        <v>3.8596491228070177E-2</v>
      </c>
      <c r="Q94" s="2">
        <f t="shared" si="28"/>
        <v>4.6315789473684213E-2</v>
      </c>
      <c r="R94" s="2">
        <f t="shared" si="29"/>
        <v>27.789473684210524</v>
      </c>
      <c r="S94" s="2">
        <f t="shared" si="16"/>
        <v>2.5730994152046787</v>
      </c>
      <c r="T94" s="2">
        <f t="shared" si="30"/>
        <v>5.1461988304093573</v>
      </c>
      <c r="U94" s="2">
        <f t="shared" si="17"/>
        <v>7.7192982456140351</v>
      </c>
      <c r="V94" s="2">
        <f t="shared" si="18"/>
        <v>10.292397660818715</v>
      </c>
      <c r="W94" s="2">
        <f t="shared" si="19"/>
        <v>12.865497076023392</v>
      </c>
      <c r="X94" s="2">
        <f t="shared" si="20"/>
        <v>15.43859649122807</v>
      </c>
      <c r="Y94" s="5" t="str">
        <f t="shared" si="32"/>
        <v>1</v>
      </c>
      <c r="Z94" s="5" t="str">
        <f t="shared" si="32"/>
        <v>1</v>
      </c>
      <c r="AA94" s="5" t="str">
        <f t="shared" si="32"/>
        <v>1</v>
      </c>
      <c r="AB94" s="5" t="str">
        <f t="shared" si="31"/>
        <v>1</v>
      </c>
      <c r="AC94" s="5" t="str">
        <f t="shared" si="31"/>
        <v>1</v>
      </c>
      <c r="AD94" s="5" t="str">
        <f t="shared" si="31"/>
        <v>1</v>
      </c>
      <c r="AE94" s="5" t="str">
        <f t="shared" si="31"/>
        <v>1</v>
      </c>
    </row>
    <row r="95" spans="1:31" ht="14.4" x14ac:dyDescent="0.3">
      <c r="A95" s="14">
        <v>92</v>
      </c>
      <c r="B95" s="24" t="s">
        <v>188</v>
      </c>
      <c r="C95" s="10">
        <v>55</v>
      </c>
      <c r="D95" s="10">
        <v>70</v>
      </c>
      <c r="E95" s="16">
        <v>365</v>
      </c>
      <c r="F95" s="19">
        <v>2.2000000000000001E-3</v>
      </c>
      <c r="G95" s="10">
        <v>900</v>
      </c>
      <c r="H95" s="13">
        <v>3.0000000000000001E-3</v>
      </c>
      <c r="I95" s="17">
        <v>10950</v>
      </c>
      <c r="J95" s="22">
        <v>10</v>
      </c>
      <c r="K95" s="18">
        <f t="shared" si="23"/>
        <v>9.4285714285714285E-3</v>
      </c>
      <c r="L95" s="2">
        <f t="shared" si="21"/>
        <v>4.7142857142857143E-3</v>
      </c>
      <c r="M95" s="2">
        <f t="shared" si="24"/>
        <v>9.4285714285714285E-3</v>
      </c>
      <c r="N95" s="2">
        <f t="shared" si="25"/>
        <v>1.4142857142857143E-2</v>
      </c>
      <c r="O95" s="2">
        <f t="shared" si="26"/>
        <v>1.8857142857142857E-2</v>
      </c>
      <c r="P95" s="2">
        <f t="shared" si="27"/>
        <v>2.3571428571428573E-2</v>
      </c>
      <c r="Q95" s="2">
        <f t="shared" si="28"/>
        <v>2.8285714285714286E-2</v>
      </c>
      <c r="R95" s="2">
        <f t="shared" si="29"/>
        <v>3.1428571428571428</v>
      </c>
      <c r="S95" s="2">
        <f t="shared" si="16"/>
        <v>1.5714285714285714</v>
      </c>
      <c r="T95" s="2">
        <f t="shared" si="30"/>
        <v>3.1428571428571428</v>
      </c>
      <c r="U95" s="2">
        <f t="shared" si="17"/>
        <v>4.7142857142857144</v>
      </c>
      <c r="V95" s="2">
        <f t="shared" si="18"/>
        <v>6.2857142857142856</v>
      </c>
      <c r="W95" s="2">
        <f t="shared" si="19"/>
        <v>7.8571428571428577</v>
      </c>
      <c r="X95" s="2">
        <f t="shared" si="20"/>
        <v>9.4285714285714288</v>
      </c>
      <c r="Y95" s="5" t="str">
        <f t="shared" si="32"/>
        <v>1</v>
      </c>
      <c r="Z95" s="5" t="str">
        <f t="shared" si="32"/>
        <v>1</v>
      </c>
      <c r="AA95" s="5" t="str">
        <f t="shared" si="32"/>
        <v>1</v>
      </c>
      <c r="AB95" s="5" t="str">
        <f t="shared" si="31"/>
        <v>1</v>
      </c>
      <c r="AC95" s="5" t="str">
        <f t="shared" si="31"/>
        <v>1</v>
      </c>
      <c r="AD95" s="5" t="str">
        <f t="shared" si="31"/>
        <v>1</v>
      </c>
      <c r="AE95" s="5" t="str">
        <f t="shared" si="31"/>
        <v>1</v>
      </c>
    </row>
    <row r="96" spans="1:31" ht="14.4" x14ac:dyDescent="0.3">
      <c r="A96" s="14">
        <v>93</v>
      </c>
      <c r="B96" s="24" t="s">
        <v>143</v>
      </c>
      <c r="C96" s="10">
        <v>55</v>
      </c>
      <c r="D96" s="10">
        <v>70</v>
      </c>
      <c r="E96" s="16">
        <v>365</v>
      </c>
      <c r="F96" s="19">
        <v>6.9999999999999999E-4</v>
      </c>
      <c r="G96" s="10">
        <v>900</v>
      </c>
      <c r="H96" s="13">
        <v>3.0000000000000001E-3</v>
      </c>
      <c r="I96" s="17">
        <v>10950</v>
      </c>
      <c r="J96" s="22">
        <v>10</v>
      </c>
      <c r="K96" s="18">
        <f t="shared" si="23"/>
        <v>3.0000000000000001E-3</v>
      </c>
      <c r="L96" s="2">
        <f t="shared" si="21"/>
        <v>1.5E-3</v>
      </c>
      <c r="M96" s="2">
        <f t="shared" si="24"/>
        <v>3.0000000000000001E-3</v>
      </c>
      <c r="N96" s="2">
        <f t="shared" si="25"/>
        <v>4.4999999999999997E-3</v>
      </c>
      <c r="O96" s="2">
        <f t="shared" si="26"/>
        <v>6.0000000000000001E-3</v>
      </c>
      <c r="P96" s="2">
        <f t="shared" si="27"/>
        <v>7.4999999999999997E-3</v>
      </c>
      <c r="Q96" s="2">
        <f t="shared" si="28"/>
        <v>8.9999999999999993E-3</v>
      </c>
      <c r="R96" s="2">
        <f t="shared" si="29"/>
        <v>1</v>
      </c>
      <c r="S96" s="2">
        <f t="shared" si="16"/>
        <v>0.5</v>
      </c>
      <c r="T96" s="2">
        <f t="shared" si="30"/>
        <v>1</v>
      </c>
      <c r="U96" s="2">
        <f t="shared" si="17"/>
        <v>1.4999999999999998</v>
      </c>
      <c r="V96" s="2">
        <f t="shared" si="18"/>
        <v>2</v>
      </c>
      <c r="W96" s="2">
        <f t="shared" si="19"/>
        <v>2.5</v>
      </c>
      <c r="X96" s="2">
        <f t="shared" si="20"/>
        <v>2.9999999999999996</v>
      </c>
      <c r="Y96" s="5" t="str">
        <f t="shared" si="32"/>
        <v>2</v>
      </c>
      <c r="Z96" s="5" t="str">
        <f t="shared" si="32"/>
        <v>2</v>
      </c>
      <c r="AA96" s="5" t="str">
        <f t="shared" si="32"/>
        <v>2</v>
      </c>
      <c r="AB96" s="5" t="str">
        <f t="shared" si="31"/>
        <v>1</v>
      </c>
      <c r="AC96" s="5" t="str">
        <f t="shared" si="31"/>
        <v>1</v>
      </c>
      <c r="AD96" s="5" t="str">
        <f t="shared" si="31"/>
        <v>1</v>
      </c>
      <c r="AE96" s="5" t="str">
        <f t="shared" si="31"/>
        <v>1</v>
      </c>
    </row>
    <row r="97" spans="1:31" ht="14.4" x14ac:dyDescent="0.3">
      <c r="A97" s="14">
        <v>94</v>
      </c>
      <c r="B97" s="24" t="s">
        <v>152</v>
      </c>
      <c r="C97" s="10">
        <v>55</v>
      </c>
      <c r="D97" s="10">
        <v>70</v>
      </c>
      <c r="E97" s="16">
        <v>365</v>
      </c>
      <c r="F97" s="19">
        <v>5.9999999999999995E-4</v>
      </c>
      <c r="G97" s="10">
        <v>900</v>
      </c>
      <c r="H97" s="13">
        <v>3.0000000000000001E-3</v>
      </c>
      <c r="I97" s="17">
        <v>10950</v>
      </c>
      <c r="J97" s="22">
        <v>10</v>
      </c>
      <c r="K97" s="18">
        <f t="shared" si="23"/>
        <v>2.5714285714285709E-3</v>
      </c>
      <c r="L97" s="2">
        <f t="shared" si="21"/>
        <v>1.2857142857142854E-3</v>
      </c>
      <c r="M97" s="2">
        <f t="shared" si="24"/>
        <v>2.5714285714285709E-3</v>
      </c>
      <c r="N97" s="2">
        <f t="shared" si="25"/>
        <v>3.8571428571428567E-3</v>
      </c>
      <c r="O97" s="2">
        <f t="shared" si="26"/>
        <v>5.1428571428571417E-3</v>
      </c>
      <c r="P97" s="2">
        <f t="shared" si="27"/>
        <v>6.4285714285714276E-3</v>
      </c>
      <c r="Q97" s="2">
        <f t="shared" si="28"/>
        <v>7.7142857142857135E-3</v>
      </c>
      <c r="R97" s="2">
        <f t="shared" si="29"/>
        <v>0.85714285714285698</v>
      </c>
      <c r="S97" s="2">
        <f t="shared" si="16"/>
        <v>0.42857142857142849</v>
      </c>
      <c r="T97" s="2">
        <f t="shared" si="30"/>
        <v>0.85714285714285698</v>
      </c>
      <c r="U97" s="2">
        <f t="shared" si="17"/>
        <v>1.2857142857142856</v>
      </c>
      <c r="V97" s="2">
        <f t="shared" si="18"/>
        <v>1.714285714285714</v>
      </c>
      <c r="W97" s="2">
        <f t="shared" si="19"/>
        <v>2.1428571428571423</v>
      </c>
      <c r="X97" s="2">
        <f t="shared" si="20"/>
        <v>2.5714285714285712</v>
      </c>
      <c r="Y97" s="5" t="str">
        <f t="shared" si="32"/>
        <v>2</v>
      </c>
      <c r="Z97" s="5" t="str">
        <f t="shared" si="32"/>
        <v>2</v>
      </c>
      <c r="AA97" s="5" t="str">
        <f t="shared" si="32"/>
        <v>2</v>
      </c>
      <c r="AB97" s="5" t="str">
        <f t="shared" si="31"/>
        <v>1</v>
      </c>
      <c r="AC97" s="5" t="str">
        <f t="shared" si="31"/>
        <v>1</v>
      </c>
      <c r="AD97" s="5" t="str">
        <f t="shared" si="31"/>
        <v>1</v>
      </c>
      <c r="AE97" s="5" t="str">
        <f t="shared" si="31"/>
        <v>1</v>
      </c>
    </row>
    <row r="98" spans="1:31" ht="14.4" x14ac:dyDescent="0.3">
      <c r="A98" s="14">
        <v>95</v>
      </c>
      <c r="B98" s="24" t="s">
        <v>189</v>
      </c>
      <c r="C98" s="10">
        <v>60</v>
      </c>
      <c r="D98" s="10">
        <v>64</v>
      </c>
      <c r="E98" s="16">
        <v>365</v>
      </c>
      <c r="F98" s="19">
        <v>1.1000000000000001E-3</v>
      </c>
      <c r="G98" s="10">
        <v>1500</v>
      </c>
      <c r="H98" s="13">
        <v>3.0000000000000001E-3</v>
      </c>
      <c r="I98" s="17">
        <v>10950</v>
      </c>
      <c r="J98" s="22">
        <v>30</v>
      </c>
      <c r="K98" s="18">
        <f t="shared" si="23"/>
        <v>2.5781249999999999E-2</v>
      </c>
      <c r="L98" s="2">
        <f t="shared" si="21"/>
        <v>4.2968750000000003E-3</v>
      </c>
      <c r="M98" s="2">
        <f t="shared" si="24"/>
        <v>8.5937500000000007E-3</v>
      </c>
      <c r="N98" s="2">
        <f t="shared" si="25"/>
        <v>1.2890624999999999E-2</v>
      </c>
      <c r="O98" s="2">
        <f t="shared" si="26"/>
        <v>1.7187500000000001E-2</v>
      </c>
      <c r="P98" s="2">
        <f t="shared" si="27"/>
        <v>2.1484375E-2</v>
      </c>
      <c r="Q98" s="2">
        <f t="shared" si="28"/>
        <v>2.5781249999999999E-2</v>
      </c>
      <c r="R98" s="2">
        <f t="shared" si="29"/>
        <v>8.59375</v>
      </c>
      <c r="S98" s="2">
        <f t="shared" si="16"/>
        <v>1.4322916666666667</v>
      </c>
      <c r="T98" s="2">
        <f t="shared" si="30"/>
        <v>2.8645833333333335</v>
      </c>
      <c r="U98" s="2">
        <f t="shared" si="17"/>
        <v>4.296875</v>
      </c>
      <c r="V98" s="2">
        <f t="shared" si="18"/>
        <v>5.729166666666667</v>
      </c>
      <c r="W98" s="2">
        <f t="shared" si="19"/>
        <v>7.161458333333333</v>
      </c>
      <c r="X98" s="2">
        <f t="shared" si="20"/>
        <v>8.59375</v>
      </c>
      <c r="Y98" s="5" t="str">
        <f t="shared" si="32"/>
        <v>1</v>
      </c>
      <c r="Z98" s="5" t="str">
        <f t="shared" si="32"/>
        <v>1</v>
      </c>
      <c r="AA98" s="5" t="str">
        <f t="shared" si="32"/>
        <v>1</v>
      </c>
      <c r="AB98" s="5" t="str">
        <f t="shared" si="31"/>
        <v>1</v>
      </c>
      <c r="AC98" s="5" t="str">
        <f t="shared" si="31"/>
        <v>1</v>
      </c>
      <c r="AD98" s="5" t="str">
        <f t="shared" si="31"/>
        <v>1</v>
      </c>
      <c r="AE98" s="5" t="str">
        <f t="shared" si="31"/>
        <v>1</v>
      </c>
    </row>
    <row r="99" spans="1:31" ht="14.4" x14ac:dyDescent="0.3">
      <c r="A99" s="14">
        <v>96</v>
      </c>
      <c r="B99" s="24" t="s">
        <v>190</v>
      </c>
      <c r="C99" s="10">
        <v>60</v>
      </c>
      <c r="D99" s="10">
        <v>64</v>
      </c>
      <c r="E99" s="16">
        <v>365</v>
      </c>
      <c r="F99" s="19">
        <v>1.1000000000000001E-3</v>
      </c>
      <c r="G99" s="10">
        <v>1500</v>
      </c>
      <c r="H99" s="13">
        <v>3.0000000000000001E-3</v>
      </c>
      <c r="I99" s="17">
        <v>10950</v>
      </c>
      <c r="J99" s="22">
        <v>30</v>
      </c>
      <c r="K99" s="18">
        <f t="shared" si="23"/>
        <v>2.5781249999999999E-2</v>
      </c>
      <c r="L99" s="2">
        <f t="shared" si="21"/>
        <v>4.2968750000000003E-3</v>
      </c>
      <c r="M99" s="2">
        <f t="shared" si="24"/>
        <v>8.5937500000000007E-3</v>
      </c>
      <c r="N99" s="2">
        <f t="shared" si="25"/>
        <v>1.2890624999999999E-2</v>
      </c>
      <c r="O99" s="2">
        <f t="shared" si="26"/>
        <v>1.7187500000000001E-2</v>
      </c>
      <c r="P99" s="2">
        <f t="shared" si="27"/>
        <v>2.1484375E-2</v>
      </c>
      <c r="Q99" s="2">
        <f t="shared" si="28"/>
        <v>2.5781249999999999E-2</v>
      </c>
      <c r="R99" s="2">
        <f t="shared" si="29"/>
        <v>8.59375</v>
      </c>
      <c r="S99" s="2">
        <f t="shared" si="16"/>
        <v>1.4322916666666667</v>
      </c>
      <c r="T99" s="2">
        <f t="shared" si="30"/>
        <v>2.8645833333333335</v>
      </c>
      <c r="U99" s="2">
        <f t="shared" si="17"/>
        <v>4.296875</v>
      </c>
      <c r="V99" s="2">
        <f t="shared" si="18"/>
        <v>5.729166666666667</v>
      </c>
      <c r="W99" s="2">
        <f t="shared" si="19"/>
        <v>7.161458333333333</v>
      </c>
      <c r="X99" s="2">
        <f t="shared" si="20"/>
        <v>8.59375</v>
      </c>
      <c r="Y99" s="5" t="str">
        <f t="shared" si="32"/>
        <v>1</v>
      </c>
      <c r="Z99" s="5" t="str">
        <f t="shared" si="32"/>
        <v>1</v>
      </c>
      <c r="AA99" s="5" t="str">
        <f t="shared" si="32"/>
        <v>1</v>
      </c>
      <c r="AB99" s="5" t="str">
        <f t="shared" si="31"/>
        <v>1</v>
      </c>
      <c r="AC99" s="5" t="str">
        <f t="shared" si="31"/>
        <v>1</v>
      </c>
      <c r="AD99" s="5" t="str">
        <f t="shared" si="31"/>
        <v>1</v>
      </c>
      <c r="AE99" s="5" t="str">
        <f t="shared" si="31"/>
        <v>1</v>
      </c>
    </row>
    <row r="100" spans="1:31" ht="14.4" x14ac:dyDescent="0.3">
      <c r="A100" s="14">
        <v>97</v>
      </c>
      <c r="B100" s="24" t="s">
        <v>117</v>
      </c>
      <c r="C100" s="10">
        <v>60</v>
      </c>
      <c r="D100" s="10">
        <v>64</v>
      </c>
      <c r="E100" s="16">
        <v>365</v>
      </c>
      <c r="F100" s="19">
        <v>1.1000000000000001E-3</v>
      </c>
      <c r="G100" s="10">
        <v>1500</v>
      </c>
      <c r="H100" s="13">
        <v>3.0000000000000001E-3</v>
      </c>
      <c r="I100" s="17">
        <v>10950</v>
      </c>
      <c r="J100" s="22">
        <v>30</v>
      </c>
      <c r="K100" s="18">
        <f t="shared" si="23"/>
        <v>2.5781249999999999E-2</v>
      </c>
      <c r="L100" s="2">
        <f t="shared" si="21"/>
        <v>4.2968750000000003E-3</v>
      </c>
      <c r="M100" s="2">
        <f t="shared" si="24"/>
        <v>8.5937500000000007E-3</v>
      </c>
      <c r="N100" s="2">
        <f t="shared" si="25"/>
        <v>1.2890624999999999E-2</v>
      </c>
      <c r="O100" s="2">
        <f t="shared" si="26"/>
        <v>1.7187500000000001E-2</v>
      </c>
      <c r="P100" s="2">
        <f t="shared" si="27"/>
        <v>2.1484375E-2</v>
      </c>
      <c r="Q100" s="2">
        <f t="shared" si="28"/>
        <v>2.5781249999999999E-2</v>
      </c>
      <c r="R100" s="2">
        <f t="shared" si="29"/>
        <v>8.59375</v>
      </c>
      <c r="S100" s="2">
        <f t="shared" si="16"/>
        <v>1.4322916666666667</v>
      </c>
      <c r="T100" s="2">
        <f t="shared" si="30"/>
        <v>2.8645833333333335</v>
      </c>
      <c r="U100" s="2">
        <f t="shared" si="17"/>
        <v>4.296875</v>
      </c>
      <c r="V100" s="2">
        <f t="shared" si="18"/>
        <v>5.729166666666667</v>
      </c>
      <c r="W100" s="2">
        <f t="shared" si="19"/>
        <v>7.161458333333333</v>
      </c>
      <c r="X100" s="2">
        <f t="shared" si="20"/>
        <v>8.59375</v>
      </c>
      <c r="Y100" s="5" t="str">
        <f t="shared" si="32"/>
        <v>1</v>
      </c>
      <c r="Z100" s="5" t="str">
        <f t="shared" si="32"/>
        <v>1</v>
      </c>
      <c r="AA100" s="5" t="str">
        <f t="shared" si="32"/>
        <v>1</v>
      </c>
      <c r="AB100" s="5" t="str">
        <f t="shared" si="31"/>
        <v>1</v>
      </c>
      <c r="AC100" s="5" t="str">
        <f t="shared" si="31"/>
        <v>1</v>
      </c>
      <c r="AD100" s="5" t="str">
        <f t="shared" si="31"/>
        <v>1</v>
      </c>
      <c r="AE100" s="5" t="str">
        <f t="shared" si="31"/>
        <v>1</v>
      </c>
    </row>
    <row r="101" spans="1:31" ht="14.4" x14ac:dyDescent="0.3">
      <c r="A101" s="14">
        <v>98</v>
      </c>
      <c r="B101" s="24" t="s">
        <v>120</v>
      </c>
      <c r="C101" s="10">
        <v>60</v>
      </c>
      <c r="D101" s="10">
        <v>64</v>
      </c>
      <c r="E101" s="16">
        <v>365</v>
      </c>
      <c r="F101" s="19">
        <v>1.6000000000000001E-3</v>
      </c>
      <c r="G101" s="10">
        <v>1500</v>
      </c>
      <c r="H101" s="13">
        <v>3.0000000000000001E-3</v>
      </c>
      <c r="I101" s="17">
        <v>10950</v>
      </c>
      <c r="J101" s="22">
        <v>30</v>
      </c>
      <c r="K101" s="18">
        <f t="shared" si="23"/>
        <v>3.7499999999999999E-2</v>
      </c>
      <c r="L101" s="2">
        <f t="shared" si="21"/>
        <v>6.2500000000000003E-3</v>
      </c>
      <c r="M101" s="2">
        <f t="shared" si="24"/>
        <v>1.2500000000000001E-2</v>
      </c>
      <c r="N101" s="2">
        <f t="shared" si="25"/>
        <v>1.8749999999999999E-2</v>
      </c>
      <c r="O101" s="2">
        <f t="shared" si="26"/>
        <v>2.5000000000000001E-2</v>
      </c>
      <c r="P101" s="2">
        <f t="shared" si="27"/>
        <v>3.125E-2</v>
      </c>
      <c r="Q101" s="2">
        <f t="shared" si="28"/>
        <v>3.7499999999999999E-2</v>
      </c>
      <c r="R101" s="2">
        <f t="shared" si="29"/>
        <v>12.5</v>
      </c>
      <c r="S101" s="2">
        <f t="shared" si="16"/>
        <v>2.0833333333333335</v>
      </c>
      <c r="T101" s="2">
        <f t="shared" si="30"/>
        <v>4.166666666666667</v>
      </c>
      <c r="U101" s="2">
        <f t="shared" si="17"/>
        <v>6.25</v>
      </c>
      <c r="V101" s="2">
        <f t="shared" si="18"/>
        <v>8.3333333333333339</v>
      </c>
      <c r="W101" s="2">
        <f t="shared" si="19"/>
        <v>10.416666666666666</v>
      </c>
      <c r="X101" s="2">
        <f t="shared" si="20"/>
        <v>12.5</v>
      </c>
      <c r="Y101" s="5" t="str">
        <f t="shared" si="32"/>
        <v>1</v>
      </c>
      <c r="Z101" s="5" t="str">
        <f t="shared" si="32"/>
        <v>1</v>
      </c>
      <c r="AA101" s="5" t="str">
        <f t="shared" si="32"/>
        <v>1</v>
      </c>
      <c r="AB101" s="5" t="str">
        <f t="shared" si="31"/>
        <v>1</v>
      </c>
      <c r="AC101" s="5" t="str">
        <f t="shared" si="31"/>
        <v>1</v>
      </c>
      <c r="AD101" s="5" t="str">
        <f t="shared" si="31"/>
        <v>1</v>
      </c>
      <c r="AE101" s="5" t="str">
        <f t="shared" si="31"/>
        <v>1</v>
      </c>
    </row>
    <row r="102" spans="1:31" ht="14.4" x14ac:dyDescent="0.3">
      <c r="A102" s="14">
        <v>99</v>
      </c>
      <c r="B102" s="24" t="s">
        <v>137</v>
      </c>
      <c r="C102" s="10">
        <v>60</v>
      </c>
      <c r="D102" s="10">
        <v>64</v>
      </c>
      <c r="E102" s="16">
        <v>365</v>
      </c>
      <c r="F102" s="19">
        <v>2.9999999999999997E-4</v>
      </c>
      <c r="G102" s="10">
        <v>1500</v>
      </c>
      <c r="H102" s="13">
        <v>3.0000000000000001E-3</v>
      </c>
      <c r="I102" s="17">
        <v>10950</v>
      </c>
      <c r="J102" s="22">
        <v>30</v>
      </c>
      <c r="K102" s="18">
        <f t="shared" si="23"/>
        <v>7.0312499999999984E-3</v>
      </c>
      <c r="L102" s="2">
        <f t="shared" si="21"/>
        <v>1.1718749999999997E-3</v>
      </c>
      <c r="M102" s="2">
        <f t="shared" si="24"/>
        <v>2.3437499999999995E-3</v>
      </c>
      <c r="N102" s="2">
        <f t="shared" si="25"/>
        <v>3.5156249999999992E-3</v>
      </c>
      <c r="O102" s="2">
        <f t="shared" si="26"/>
        <v>4.687499999999999E-3</v>
      </c>
      <c r="P102" s="2">
        <f t="shared" si="27"/>
        <v>5.8593749999999991E-3</v>
      </c>
      <c r="Q102" s="2">
        <f t="shared" si="28"/>
        <v>7.0312499999999984E-3</v>
      </c>
      <c r="R102" s="2">
        <f t="shared" si="29"/>
        <v>2.3437499999999996</v>
      </c>
      <c r="S102" s="2">
        <f t="shared" si="16"/>
        <v>0.39062499999999989</v>
      </c>
      <c r="T102" s="2">
        <f t="shared" si="30"/>
        <v>0.78124999999999978</v>
      </c>
      <c r="U102" s="2">
        <f t="shared" si="17"/>
        <v>1.1718749999999998</v>
      </c>
      <c r="V102" s="2">
        <f t="shared" si="18"/>
        <v>1.5624999999999996</v>
      </c>
      <c r="W102" s="2">
        <f t="shared" si="19"/>
        <v>1.9531249999999998</v>
      </c>
      <c r="X102" s="2">
        <f t="shared" si="20"/>
        <v>2.3437499999999996</v>
      </c>
      <c r="Y102" s="5" t="str">
        <f t="shared" si="32"/>
        <v>1</v>
      </c>
      <c r="Z102" s="5" t="str">
        <f t="shared" si="32"/>
        <v>2</v>
      </c>
      <c r="AA102" s="5" t="str">
        <f t="shared" si="32"/>
        <v>2</v>
      </c>
      <c r="AB102" s="5" t="str">
        <f t="shared" si="31"/>
        <v>1</v>
      </c>
      <c r="AC102" s="5" t="str">
        <f t="shared" si="31"/>
        <v>1</v>
      </c>
      <c r="AD102" s="5" t="str">
        <f t="shared" si="31"/>
        <v>1</v>
      </c>
      <c r="AE102" s="5" t="str">
        <f t="shared" si="31"/>
        <v>1</v>
      </c>
    </row>
    <row r="103" spans="1:31" ht="14.4" x14ac:dyDescent="0.3">
      <c r="A103" s="14">
        <v>100</v>
      </c>
      <c r="B103" s="24" t="s">
        <v>135</v>
      </c>
      <c r="C103" s="10">
        <v>67</v>
      </c>
      <c r="D103" s="10">
        <v>57</v>
      </c>
      <c r="E103" s="16">
        <v>365</v>
      </c>
      <c r="F103" s="19">
        <v>1.2999999999999999E-3</v>
      </c>
      <c r="G103" s="10">
        <v>1500</v>
      </c>
      <c r="H103" s="13">
        <v>3.0000000000000001E-3</v>
      </c>
      <c r="I103" s="17">
        <v>10950</v>
      </c>
      <c r="J103" s="22">
        <v>8</v>
      </c>
      <c r="K103" s="18">
        <f t="shared" si="23"/>
        <v>9.1228070175438589E-3</v>
      </c>
      <c r="L103" s="2">
        <f t="shared" si="21"/>
        <v>5.7017543859649127E-3</v>
      </c>
      <c r="M103" s="2">
        <f t="shared" si="24"/>
        <v>1.1403508771929825E-2</v>
      </c>
      <c r="N103" s="2">
        <f t="shared" si="25"/>
        <v>1.7105263157894738E-2</v>
      </c>
      <c r="O103" s="2">
        <f t="shared" si="26"/>
        <v>2.2807017543859651E-2</v>
      </c>
      <c r="P103" s="2">
        <f t="shared" si="27"/>
        <v>2.850877192982456E-2</v>
      </c>
      <c r="Q103" s="2">
        <f t="shared" si="28"/>
        <v>3.4210526315789476E-2</v>
      </c>
      <c r="R103" s="2">
        <f t="shared" si="29"/>
        <v>3.0409356725146197</v>
      </c>
      <c r="S103" s="2">
        <f t="shared" si="16"/>
        <v>1.9005847953216375</v>
      </c>
      <c r="T103" s="2">
        <f t="shared" si="30"/>
        <v>3.801169590643275</v>
      </c>
      <c r="U103" s="2">
        <f t="shared" si="17"/>
        <v>5.7017543859649127</v>
      </c>
      <c r="V103" s="2">
        <f t="shared" si="18"/>
        <v>7.60233918128655</v>
      </c>
      <c r="W103" s="2">
        <f t="shared" si="19"/>
        <v>9.5029239766081872</v>
      </c>
      <c r="X103" s="2">
        <f t="shared" si="20"/>
        <v>11.403508771929825</v>
      </c>
      <c r="Y103" s="5" t="str">
        <f t="shared" si="32"/>
        <v>1</v>
      </c>
      <c r="Z103" s="5" t="str">
        <f t="shared" si="32"/>
        <v>1</v>
      </c>
      <c r="AA103" s="5" t="str">
        <f t="shared" si="32"/>
        <v>1</v>
      </c>
      <c r="AB103" s="5" t="str">
        <f t="shared" si="31"/>
        <v>1</v>
      </c>
      <c r="AC103" s="5" t="str">
        <f t="shared" si="31"/>
        <v>1</v>
      </c>
      <c r="AD103" s="5" t="str">
        <f t="shared" si="31"/>
        <v>1</v>
      </c>
      <c r="AE103" s="5" t="str">
        <f t="shared" si="31"/>
        <v>1</v>
      </c>
    </row>
    <row r="105" spans="1:31" x14ac:dyDescent="0.25">
      <c r="A105" s="3" t="s">
        <v>76</v>
      </c>
    </row>
    <row r="106" spans="1:31" x14ac:dyDescent="0.25">
      <c r="A106" s="3" t="s">
        <v>6</v>
      </c>
    </row>
    <row r="107" spans="1:31" x14ac:dyDescent="0.25">
      <c r="A107" s="3" t="s">
        <v>7</v>
      </c>
    </row>
  </sheetData>
  <mergeCells count="31">
    <mergeCell ref="L1:L2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X1:X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AE1:AE2"/>
    <mergeCell ref="Y1:Y2"/>
    <mergeCell ref="Z1:Z2"/>
    <mergeCell ref="AA1:AA2"/>
    <mergeCell ref="AB1:AB2"/>
    <mergeCell ref="AC1:AC2"/>
    <mergeCell ref="AD1:AD2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AZF107"/>
  <sheetViews>
    <sheetView tabSelected="1" workbookViewId="0">
      <selection activeCell="B21" sqref="B21"/>
    </sheetView>
  </sheetViews>
  <sheetFormatPr defaultColWidth="9.109375" defaultRowHeight="13.8" x14ac:dyDescent="0.25"/>
  <cols>
    <col min="1" max="1" width="5.33203125" style="3" customWidth="1"/>
    <col min="2" max="2" width="15.6640625" style="3" customWidth="1"/>
    <col min="3" max="4" width="8.33203125" style="3" customWidth="1"/>
    <col min="5" max="5" width="5" style="6" customWidth="1"/>
    <col min="6" max="6" width="10.6640625" style="3" customWidth="1"/>
    <col min="7" max="10" width="9.109375" style="3"/>
    <col min="11" max="11" width="10" style="3" bestFit="1" customWidth="1"/>
    <col min="12" max="25" width="10.88671875" style="3" customWidth="1"/>
    <col min="26" max="26" width="9.5546875" style="3" bestFit="1" customWidth="1"/>
    <col min="27" max="16384" width="9.109375" style="3"/>
  </cols>
  <sheetData>
    <row r="1" spans="1:1358" ht="15" customHeight="1" x14ac:dyDescent="0.25">
      <c r="A1" s="42" t="s">
        <v>104</v>
      </c>
      <c r="B1" s="44" t="s">
        <v>4</v>
      </c>
      <c r="C1" s="45" t="s">
        <v>109</v>
      </c>
      <c r="D1" s="44" t="s">
        <v>0</v>
      </c>
      <c r="E1" s="44" t="s">
        <v>3</v>
      </c>
      <c r="F1" s="41" t="s">
        <v>52</v>
      </c>
      <c r="G1" s="41" t="s">
        <v>1</v>
      </c>
      <c r="H1" s="41" t="s">
        <v>53</v>
      </c>
      <c r="I1" s="44" t="s">
        <v>2</v>
      </c>
      <c r="J1" s="41" t="s">
        <v>96</v>
      </c>
      <c r="K1" s="41" t="s">
        <v>97</v>
      </c>
      <c r="L1" s="41" t="s">
        <v>59</v>
      </c>
      <c r="M1" s="41" t="s">
        <v>60</v>
      </c>
      <c r="N1" s="41" t="s">
        <v>61</v>
      </c>
      <c r="O1" s="41" t="s">
        <v>62</v>
      </c>
      <c r="P1" s="41" t="s">
        <v>63</v>
      </c>
      <c r="Q1" s="41" t="s">
        <v>64</v>
      </c>
      <c r="R1" s="41" t="s">
        <v>95</v>
      </c>
      <c r="S1" s="41" t="s">
        <v>65</v>
      </c>
      <c r="T1" s="41" t="s">
        <v>66</v>
      </c>
      <c r="U1" s="41" t="s">
        <v>67</v>
      </c>
      <c r="V1" s="41" t="s">
        <v>68</v>
      </c>
      <c r="W1" s="41" t="s">
        <v>69</v>
      </c>
      <c r="X1" s="41" t="s">
        <v>70</v>
      </c>
      <c r="Y1" s="41" t="s">
        <v>98</v>
      </c>
      <c r="Z1" s="41" t="s">
        <v>75</v>
      </c>
      <c r="AA1" s="41" t="s">
        <v>71</v>
      </c>
      <c r="AB1" s="41" t="s">
        <v>72</v>
      </c>
      <c r="AC1" s="41" t="s">
        <v>73</v>
      </c>
      <c r="AD1" s="41" t="s">
        <v>74</v>
      </c>
      <c r="AE1" s="41" t="s">
        <v>54</v>
      </c>
    </row>
    <row r="2" spans="1:1358" ht="30.75" customHeight="1" x14ac:dyDescent="0.25">
      <c r="A2" s="43"/>
      <c r="B2" s="44"/>
      <c r="C2" s="46"/>
      <c r="D2" s="44"/>
      <c r="E2" s="44"/>
      <c r="F2" s="41"/>
      <c r="G2" s="41"/>
      <c r="H2" s="41"/>
      <c r="I2" s="44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</row>
    <row r="3" spans="1:1358" s="9" customFormat="1" ht="13.2" x14ac:dyDescent="0.25">
      <c r="A3" s="7">
        <v>1</v>
      </c>
      <c r="B3" s="8">
        <v>2</v>
      </c>
      <c r="C3" s="7">
        <v>3</v>
      </c>
      <c r="D3" s="8">
        <v>4</v>
      </c>
      <c r="E3" s="7">
        <v>5</v>
      </c>
      <c r="F3" s="8">
        <v>6</v>
      </c>
      <c r="G3" s="7">
        <v>7</v>
      </c>
      <c r="H3" s="8">
        <v>8</v>
      </c>
      <c r="I3" s="7">
        <v>9</v>
      </c>
      <c r="J3" s="8">
        <v>10</v>
      </c>
      <c r="K3" s="7">
        <v>11</v>
      </c>
      <c r="L3" s="8">
        <v>12</v>
      </c>
      <c r="M3" s="7">
        <v>13</v>
      </c>
      <c r="N3" s="8">
        <v>14</v>
      </c>
      <c r="O3" s="7">
        <v>15</v>
      </c>
      <c r="P3" s="8">
        <v>16</v>
      </c>
      <c r="Q3" s="7">
        <v>17</v>
      </c>
      <c r="R3" s="8">
        <v>18</v>
      </c>
      <c r="S3" s="7">
        <v>19</v>
      </c>
      <c r="T3" s="8">
        <v>20</v>
      </c>
      <c r="U3" s="7">
        <v>21</v>
      </c>
      <c r="V3" s="8">
        <v>22</v>
      </c>
      <c r="W3" s="7">
        <v>23</v>
      </c>
      <c r="X3" s="8">
        <v>24</v>
      </c>
      <c r="Y3" s="7">
        <v>25</v>
      </c>
      <c r="Z3" s="8">
        <v>26</v>
      </c>
      <c r="AA3" s="7">
        <v>27</v>
      </c>
      <c r="AB3" s="8">
        <v>28</v>
      </c>
      <c r="AC3" s="7">
        <v>29</v>
      </c>
      <c r="AD3" s="8">
        <v>30</v>
      </c>
      <c r="AE3" s="7">
        <v>31</v>
      </c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1"/>
      <c r="ET3" s="11"/>
      <c r="EU3" s="11"/>
      <c r="EV3" s="11"/>
      <c r="EW3" s="11"/>
      <c r="EX3" s="11"/>
      <c r="EY3" s="11"/>
      <c r="EZ3" s="11"/>
      <c r="FA3" s="11"/>
      <c r="FB3" s="11"/>
      <c r="FC3" s="11"/>
      <c r="FD3" s="11"/>
      <c r="FE3" s="11"/>
      <c r="FF3" s="11"/>
      <c r="FG3" s="11"/>
      <c r="FH3" s="11"/>
      <c r="FI3" s="11"/>
      <c r="FJ3" s="11"/>
      <c r="FK3" s="11"/>
      <c r="FL3" s="11"/>
      <c r="FM3" s="11"/>
      <c r="FN3" s="11"/>
      <c r="FO3" s="11"/>
      <c r="FP3" s="11"/>
      <c r="FQ3" s="11"/>
      <c r="FR3" s="11"/>
      <c r="FS3" s="11"/>
      <c r="FT3" s="11"/>
      <c r="FU3" s="11"/>
      <c r="FV3" s="11"/>
      <c r="FW3" s="11"/>
      <c r="FX3" s="11"/>
      <c r="FY3" s="11"/>
      <c r="FZ3" s="11"/>
      <c r="GA3" s="11"/>
      <c r="GB3" s="11"/>
      <c r="GC3" s="11"/>
      <c r="GD3" s="11"/>
      <c r="GE3" s="11"/>
      <c r="GF3" s="11"/>
      <c r="GG3" s="11"/>
      <c r="GH3" s="11"/>
      <c r="GI3" s="11"/>
      <c r="GJ3" s="11"/>
      <c r="GK3" s="11"/>
      <c r="GL3" s="11"/>
      <c r="GM3" s="11"/>
      <c r="GN3" s="11"/>
      <c r="GO3" s="11"/>
      <c r="GP3" s="11"/>
      <c r="GQ3" s="11"/>
      <c r="GR3" s="11"/>
      <c r="GS3" s="11"/>
      <c r="GT3" s="11"/>
      <c r="GU3" s="11"/>
      <c r="GV3" s="11"/>
      <c r="GW3" s="11"/>
      <c r="GX3" s="11"/>
      <c r="GY3" s="11"/>
      <c r="GZ3" s="11"/>
      <c r="HA3" s="11"/>
      <c r="HB3" s="11"/>
      <c r="HC3" s="11"/>
      <c r="HD3" s="11"/>
      <c r="HE3" s="11"/>
      <c r="HF3" s="11"/>
      <c r="HG3" s="11"/>
      <c r="HH3" s="11"/>
      <c r="HI3" s="11"/>
      <c r="HJ3" s="11"/>
      <c r="HK3" s="11"/>
      <c r="HL3" s="11"/>
      <c r="HM3" s="11"/>
      <c r="HN3" s="11"/>
      <c r="HO3" s="11"/>
      <c r="HP3" s="11"/>
      <c r="HQ3" s="11"/>
      <c r="HR3" s="11"/>
      <c r="HS3" s="11"/>
      <c r="HT3" s="11"/>
      <c r="HU3" s="11"/>
      <c r="HV3" s="11"/>
      <c r="HW3" s="11"/>
      <c r="HX3" s="11"/>
      <c r="HY3" s="11"/>
      <c r="HZ3" s="11"/>
      <c r="IA3" s="11"/>
      <c r="IB3" s="11"/>
      <c r="IC3" s="11"/>
      <c r="ID3" s="11"/>
      <c r="IE3" s="11"/>
      <c r="IF3" s="11"/>
      <c r="IG3" s="11"/>
      <c r="IH3" s="11"/>
      <c r="II3" s="11"/>
      <c r="IJ3" s="11"/>
      <c r="IK3" s="11"/>
      <c r="IL3" s="11"/>
      <c r="IM3" s="11"/>
      <c r="IN3" s="11"/>
      <c r="IO3" s="11"/>
      <c r="IP3" s="11"/>
      <c r="IQ3" s="11"/>
      <c r="IR3" s="11"/>
      <c r="IS3" s="11"/>
      <c r="IT3" s="11"/>
      <c r="IU3" s="11"/>
      <c r="IV3" s="11"/>
      <c r="IW3" s="11"/>
      <c r="IX3" s="11"/>
      <c r="IY3" s="11"/>
      <c r="IZ3" s="11"/>
      <c r="JA3" s="11"/>
      <c r="JB3" s="11"/>
      <c r="JC3" s="11"/>
      <c r="JD3" s="11"/>
      <c r="JE3" s="11"/>
      <c r="JF3" s="11"/>
      <c r="JG3" s="11"/>
      <c r="JH3" s="11"/>
      <c r="JI3" s="11"/>
      <c r="JJ3" s="11"/>
      <c r="JK3" s="11"/>
      <c r="JL3" s="11"/>
      <c r="JM3" s="11"/>
      <c r="JN3" s="11"/>
      <c r="JO3" s="11"/>
      <c r="JP3" s="11"/>
      <c r="JQ3" s="11"/>
      <c r="JR3" s="11"/>
      <c r="JS3" s="11"/>
      <c r="JT3" s="11"/>
      <c r="JU3" s="11"/>
      <c r="JV3" s="11"/>
      <c r="JW3" s="11"/>
      <c r="JX3" s="11"/>
      <c r="JY3" s="11"/>
      <c r="JZ3" s="11"/>
      <c r="KA3" s="11"/>
      <c r="KB3" s="11"/>
      <c r="KC3" s="11"/>
      <c r="KD3" s="11"/>
      <c r="KE3" s="11"/>
      <c r="KF3" s="11"/>
      <c r="KG3" s="11"/>
      <c r="KH3" s="11"/>
      <c r="KI3" s="11"/>
      <c r="KJ3" s="11"/>
      <c r="KK3" s="11"/>
      <c r="KL3" s="11"/>
      <c r="KM3" s="11"/>
      <c r="KN3" s="11"/>
      <c r="KO3" s="11"/>
      <c r="KP3" s="11"/>
      <c r="KQ3" s="11"/>
      <c r="KR3" s="11"/>
      <c r="KS3" s="11"/>
      <c r="KT3" s="11"/>
      <c r="KU3" s="11"/>
      <c r="KV3" s="11"/>
      <c r="KW3" s="11"/>
      <c r="KX3" s="11"/>
      <c r="KY3" s="11"/>
      <c r="KZ3" s="11"/>
      <c r="LA3" s="11"/>
      <c r="LB3" s="11"/>
      <c r="LC3" s="11"/>
      <c r="LD3" s="11"/>
      <c r="LE3" s="11"/>
      <c r="LF3" s="11"/>
      <c r="LG3" s="11"/>
      <c r="LH3" s="11"/>
      <c r="LI3" s="11"/>
      <c r="LJ3" s="11"/>
      <c r="LK3" s="11"/>
      <c r="LL3" s="11"/>
      <c r="LM3" s="11"/>
      <c r="LN3" s="11"/>
      <c r="LO3" s="11"/>
      <c r="LP3" s="11"/>
      <c r="LQ3" s="11"/>
      <c r="LR3" s="11"/>
      <c r="LS3" s="11"/>
      <c r="LT3" s="11"/>
      <c r="LU3" s="11"/>
      <c r="LV3" s="11"/>
      <c r="LW3" s="11"/>
      <c r="LX3" s="11"/>
      <c r="LY3" s="11"/>
      <c r="LZ3" s="11"/>
      <c r="MA3" s="11"/>
      <c r="MB3" s="11"/>
      <c r="MC3" s="11"/>
      <c r="MD3" s="11"/>
      <c r="ME3" s="11"/>
      <c r="MF3" s="11"/>
      <c r="MG3" s="11"/>
      <c r="MH3" s="11"/>
      <c r="MI3" s="11"/>
      <c r="MJ3" s="11"/>
      <c r="MK3" s="11"/>
      <c r="ML3" s="11"/>
      <c r="MM3" s="11"/>
      <c r="MN3" s="11"/>
      <c r="MO3" s="11"/>
      <c r="MP3" s="11"/>
      <c r="MQ3" s="11"/>
      <c r="MR3" s="11"/>
      <c r="MS3" s="11"/>
      <c r="MT3" s="11"/>
      <c r="MU3" s="11"/>
      <c r="MV3" s="11"/>
      <c r="MW3" s="11"/>
      <c r="MX3" s="11"/>
      <c r="MY3" s="11"/>
      <c r="MZ3" s="11"/>
      <c r="NA3" s="11"/>
      <c r="NB3" s="11"/>
      <c r="NC3" s="11"/>
      <c r="ND3" s="11"/>
      <c r="NE3" s="11"/>
      <c r="NF3" s="11"/>
      <c r="NG3" s="11"/>
      <c r="NH3" s="11"/>
      <c r="NI3" s="11"/>
      <c r="NJ3" s="11"/>
      <c r="NK3" s="11"/>
      <c r="NL3" s="11"/>
      <c r="NM3" s="11"/>
      <c r="NN3" s="11"/>
      <c r="NO3" s="11"/>
      <c r="NP3" s="11"/>
      <c r="NQ3" s="11"/>
      <c r="NR3" s="11"/>
      <c r="NS3" s="11"/>
      <c r="NT3" s="11"/>
      <c r="NU3" s="11"/>
      <c r="NV3" s="11"/>
      <c r="NW3" s="11"/>
      <c r="NX3" s="11"/>
      <c r="NY3" s="11"/>
      <c r="NZ3" s="11"/>
      <c r="OA3" s="11"/>
      <c r="OB3" s="11"/>
      <c r="OC3" s="11"/>
      <c r="OD3" s="11"/>
      <c r="OE3" s="11"/>
      <c r="OF3" s="11"/>
      <c r="OG3" s="11"/>
      <c r="OH3" s="11"/>
      <c r="OI3" s="11"/>
      <c r="OJ3" s="11"/>
      <c r="OK3" s="11"/>
      <c r="OL3" s="11"/>
      <c r="OM3" s="11"/>
      <c r="ON3" s="11"/>
      <c r="OO3" s="11"/>
      <c r="OP3" s="11"/>
      <c r="OQ3" s="11"/>
      <c r="OR3" s="11"/>
      <c r="OS3" s="11"/>
      <c r="OT3" s="11"/>
      <c r="OU3" s="11"/>
      <c r="OV3" s="11"/>
      <c r="OW3" s="11"/>
      <c r="OX3" s="11"/>
      <c r="OY3" s="11"/>
      <c r="OZ3" s="11"/>
      <c r="PA3" s="11"/>
      <c r="PB3" s="11"/>
      <c r="PC3" s="11"/>
      <c r="PD3" s="11"/>
      <c r="PE3" s="11"/>
      <c r="PF3" s="11"/>
      <c r="PG3" s="11"/>
      <c r="PH3" s="11"/>
      <c r="PI3" s="11"/>
      <c r="PJ3" s="11"/>
      <c r="PK3" s="11"/>
      <c r="PL3" s="11"/>
      <c r="PM3" s="11"/>
      <c r="PN3" s="11"/>
      <c r="PO3" s="11"/>
      <c r="PP3" s="11"/>
      <c r="PQ3" s="11"/>
      <c r="PR3" s="11"/>
      <c r="PS3" s="11"/>
      <c r="PT3" s="11"/>
      <c r="PU3" s="11"/>
      <c r="PV3" s="11"/>
      <c r="PW3" s="11"/>
      <c r="PX3" s="11"/>
      <c r="PY3" s="11"/>
      <c r="PZ3" s="11"/>
      <c r="QA3" s="11"/>
      <c r="QB3" s="11"/>
      <c r="QC3" s="11"/>
      <c r="QD3" s="11"/>
      <c r="QE3" s="11"/>
      <c r="QF3" s="11"/>
      <c r="QG3" s="11"/>
      <c r="QH3" s="11"/>
      <c r="QI3" s="11"/>
      <c r="QJ3" s="11"/>
      <c r="QK3" s="11"/>
      <c r="QL3" s="11"/>
      <c r="QM3" s="11"/>
      <c r="QN3" s="11"/>
      <c r="QO3" s="11"/>
      <c r="QP3" s="11"/>
      <c r="QQ3" s="11"/>
      <c r="QR3" s="11"/>
      <c r="QS3" s="11"/>
      <c r="QT3" s="11"/>
      <c r="QU3" s="11"/>
      <c r="QV3" s="11"/>
      <c r="QW3" s="11"/>
      <c r="QX3" s="11"/>
      <c r="QY3" s="11"/>
      <c r="QZ3" s="11"/>
      <c r="RA3" s="11"/>
      <c r="RB3" s="11"/>
      <c r="RC3" s="11"/>
      <c r="RD3" s="11"/>
      <c r="RE3" s="11"/>
      <c r="RF3" s="11"/>
      <c r="RG3" s="11"/>
      <c r="RH3" s="11"/>
      <c r="RI3" s="11"/>
      <c r="RJ3" s="11"/>
      <c r="RK3" s="11"/>
      <c r="RL3" s="11"/>
      <c r="RM3" s="11"/>
      <c r="RN3" s="11"/>
      <c r="RO3" s="11"/>
      <c r="RP3" s="11"/>
      <c r="RQ3" s="11"/>
      <c r="RR3" s="11"/>
      <c r="RS3" s="11"/>
      <c r="RT3" s="11"/>
      <c r="RU3" s="11"/>
      <c r="RV3" s="11"/>
      <c r="RW3" s="11"/>
      <c r="RX3" s="11"/>
      <c r="RY3" s="11"/>
      <c r="RZ3" s="11"/>
      <c r="SA3" s="11"/>
      <c r="SB3" s="11"/>
      <c r="SC3" s="11"/>
      <c r="SD3" s="11"/>
      <c r="SE3" s="11"/>
      <c r="SF3" s="11"/>
      <c r="SG3" s="11"/>
      <c r="SH3" s="11"/>
      <c r="SI3" s="11"/>
      <c r="SJ3" s="11"/>
      <c r="SK3" s="11"/>
      <c r="SL3" s="11"/>
      <c r="SM3" s="11"/>
      <c r="SN3" s="11"/>
      <c r="SO3" s="11"/>
      <c r="SP3" s="11"/>
      <c r="SQ3" s="11"/>
      <c r="SR3" s="11"/>
      <c r="SS3" s="11"/>
      <c r="ST3" s="11"/>
      <c r="SU3" s="11"/>
      <c r="SV3" s="11"/>
      <c r="SW3" s="11"/>
      <c r="SX3" s="11"/>
      <c r="SY3" s="11"/>
      <c r="SZ3" s="11"/>
      <c r="TA3" s="11"/>
      <c r="TB3" s="11"/>
      <c r="TC3" s="11"/>
      <c r="TD3" s="11"/>
      <c r="TE3" s="11"/>
      <c r="TF3" s="11"/>
      <c r="TG3" s="11"/>
      <c r="TH3" s="11"/>
      <c r="TI3" s="11"/>
      <c r="TJ3" s="11"/>
      <c r="TK3" s="11"/>
      <c r="TL3" s="11"/>
      <c r="TM3" s="11"/>
      <c r="TN3" s="11"/>
      <c r="TO3" s="11"/>
      <c r="TP3" s="11"/>
      <c r="TQ3" s="11"/>
      <c r="TR3" s="11"/>
      <c r="TS3" s="11"/>
      <c r="TT3" s="11"/>
      <c r="TU3" s="11"/>
      <c r="TV3" s="11"/>
      <c r="TW3" s="11"/>
      <c r="TX3" s="11"/>
      <c r="TY3" s="11"/>
      <c r="TZ3" s="11"/>
      <c r="UA3" s="11"/>
      <c r="UB3" s="11"/>
      <c r="UC3" s="11"/>
      <c r="UD3" s="11"/>
      <c r="UE3" s="11"/>
      <c r="UF3" s="11"/>
      <c r="UG3" s="11"/>
      <c r="UH3" s="11"/>
      <c r="UI3" s="11"/>
      <c r="UJ3" s="11"/>
      <c r="UK3" s="11"/>
      <c r="UL3" s="11"/>
      <c r="UM3" s="11"/>
      <c r="UN3" s="11"/>
      <c r="UO3" s="11"/>
      <c r="UP3" s="11"/>
      <c r="UQ3" s="11"/>
      <c r="UR3" s="11"/>
      <c r="US3" s="11"/>
      <c r="UT3" s="11"/>
      <c r="UU3" s="11"/>
      <c r="UV3" s="11"/>
      <c r="UW3" s="11"/>
      <c r="UX3" s="11"/>
      <c r="UY3" s="11"/>
      <c r="UZ3" s="11"/>
      <c r="VA3" s="11"/>
      <c r="VB3" s="11"/>
      <c r="VC3" s="11"/>
      <c r="VD3" s="11"/>
      <c r="VE3" s="11"/>
      <c r="VF3" s="11"/>
      <c r="VG3" s="11"/>
      <c r="VH3" s="11"/>
      <c r="VI3" s="11"/>
      <c r="VJ3" s="11"/>
      <c r="VK3" s="11"/>
      <c r="VL3" s="11"/>
      <c r="VM3" s="11"/>
      <c r="VN3" s="11"/>
      <c r="VO3" s="11"/>
      <c r="VP3" s="11"/>
      <c r="VQ3" s="11"/>
      <c r="VR3" s="11"/>
      <c r="VS3" s="11"/>
      <c r="VT3" s="11"/>
      <c r="VU3" s="11"/>
      <c r="VV3" s="11"/>
      <c r="VW3" s="11"/>
      <c r="VX3" s="11"/>
      <c r="VY3" s="11"/>
      <c r="VZ3" s="11"/>
      <c r="WA3" s="11"/>
      <c r="WB3" s="11"/>
      <c r="WC3" s="11"/>
      <c r="WD3" s="11"/>
      <c r="WE3" s="11"/>
      <c r="WF3" s="11"/>
      <c r="WG3" s="11"/>
      <c r="WH3" s="11"/>
      <c r="WI3" s="11"/>
      <c r="WJ3" s="11"/>
      <c r="WK3" s="11"/>
      <c r="WL3" s="11"/>
      <c r="WM3" s="11"/>
      <c r="WN3" s="11"/>
      <c r="WO3" s="11"/>
      <c r="WP3" s="11"/>
      <c r="WQ3" s="11"/>
      <c r="WR3" s="11"/>
      <c r="WS3" s="11"/>
      <c r="WT3" s="11"/>
      <c r="WU3" s="11"/>
      <c r="WV3" s="11"/>
      <c r="WW3" s="11"/>
      <c r="WX3" s="11"/>
      <c r="WY3" s="11"/>
      <c r="WZ3" s="11"/>
      <c r="XA3" s="11"/>
      <c r="XB3" s="11"/>
      <c r="XC3" s="11"/>
      <c r="XD3" s="11"/>
      <c r="XE3" s="11"/>
      <c r="XF3" s="11"/>
      <c r="XG3" s="11"/>
      <c r="XH3" s="11"/>
      <c r="XI3" s="11"/>
      <c r="XJ3" s="11"/>
      <c r="XK3" s="11"/>
      <c r="XL3" s="11"/>
      <c r="XM3" s="11"/>
      <c r="XN3" s="11"/>
      <c r="XO3" s="11"/>
      <c r="XP3" s="11"/>
      <c r="XQ3" s="11"/>
      <c r="XR3" s="11"/>
      <c r="XS3" s="11"/>
      <c r="XT3" s="11"/>
      <c r="XU3" s="11"/>
      <c r="XV3" s="11"/>
      <c r="XW3" s="11"/>
      <c r="XX3" s="11"/>
      <c r="XY3" s="11"/>
      <c r="XZ3" s="11"/>
      <c r="YA3" s="11"/>
      <c r="YB3" s="11"/>
      <c r="YC3" s="11"/>
      <c r="YD3" s="11"/>
      <c r="YE3" s="11"/>
      <c r="YF3" s="11"/>
      <c r="YG3" s="11"/>
      <c r="YH3" s="11"/>
      <c r="YI3" s="11"/>
      <c r="YJ3" s="11"/>
      <c r="YK3" s="11"/>
      <c r="YL3" s="11"/>
      <c r="YM3" s="11"/>
      <c r="YN3" s="11"/>
      <c r="YO3" s="11"/>
      <c r="YP3" s="11"/>
      <c r="YQ3" s="11"/>
      <c r="YR3" s="11"/>
      <c r="YS3" s="11"/>
      <c r="YT3" s="11"/>
      <c r="YU3" s="11"/>
      <c r="YV3" s="11"/>
      <c r="YW3" s="11"/>
      <c r="YX3" s="11"/>
      <c r="YY3" s="11"/>
      <c r="YZ3" s="11"/>
      <c r="ZA3" s="11"/>
      <c r="ZB3" s="11"/>
      <c r="ZC3" s="11"/>
      <c r="ZD3" s="11"/>
      <c r="ZE3" s="11"/>
      <c r="ZF3" s="11"/>
      <c r="ZG3" s="11"/>
      <c r="ZH3" s="11"/>
      <c r="ZI3" s="11"/>
      <c r="ZJ3" s="11"/>
      <c r="ZK3" s="11"/>
      <c r="ZL3" s="11"/>
      <c r="ZM3" s="11"/>
      <c r="ZN3" s="11"/>
      <c r="ZO3" s="11"/>
      <c r="ZP3" s="11"/>
      <c r="ZQ3" s="11"/>
      <c r="ZR3" s="11"/>
      <c r="ZS3" s="11"/>
      <c r="ZT3" s="11"/>
      <c r="ZU3" s="11"/>
      <c r="ZV3" s="11"/>
      <c r="ZW3" s="11"/>
      <c r="ZX3" s="11"/>
      <c r="ZY3" s="11"/>
      <c r="ZZ3" s="11"/>
      <c r="AAA3" s="11"/>
      <c r="AAB3" s="11"/>
      <c r="AAC3" s="11"/>
      <c r="AAD3" s="11"/>
      <c r="AAE3" s="11"/>
      <c r="AAF3" s="11"/>
      <c r="AAG3" s="11"/>
      <c r="AAH3" s="11"/>
      <c r="AAI3" s="11"/>
      <c r="AAJ3" s="11"/>
      <c r="AAK3" s="11"/>
      <c r="AAL3" s="11"/>
      <c r="AAM3" s="11"/>
      <c r="AAN3" s="11"/>
      <c r="AAO3" s="11"/>
      <c r="AAP3" s="11"/>
      <c r="AAQ3" s="11"/>
      <c r="AAR3" s="11"/>
      <c r="AAS3" s="11"/>
      <c r="AAT3" s="11"/>
      <c r="AAU3" s="11"/>
      <c r="AAV3" s="11"/>
      <c r="AAW3" s="11"/>
      <c r="AAX3" s="11"/>
      <c r="AAY3" s="11"/>
      <c r="AAZ3" s="11"/>
      <c r="ABA3" s="11"/>
      <c r="ABB3" s="11"/>
      <c r="ABC3" s="11"/>
      <c r="ABD3" s="11"/>
      <c r="ABE3" s="11"/>
      <c r="ABF3" s="11"/>
      <c r="ABG3" s="11"/>
      <c r="ABH3" s="11"/>
      <c r="ABI3" s="11"/>
      <c r="ABJ3" s="11"/>
      <c r="ABK3" s="11"/>
      <c r="ABL3" s="11"/>
      <c r="ABM3" s="11"/>
      <c r="ABN3" s="11"/>
      <c r="ABO3" s="11"/>
      <c r="ABP3" s="11"/>
      <c r="ABQ3" s="11"/>
      <c r="ABR3" s="11"/>
      <c r="ABS3" s="11"/>
      <c r="ABT3" s="11"/>
      <c r="ABU3" s="11"/>
      <c r="ABV3" s="11"/>
      <c r="ABW3" s="11"/>
      <c r="ABX3" s="11"/>
      <c r="ABY3" s="11"/>
      <c r="ABZ3" s="11"/>
      <c r="ACA3" s="11"/>
      <c r="ACB3" s="11"/>
      <c r="ACC3" s="11"/>
      <c r="ACD3" s="11"/>
      <c r="ACE3" s="11"/>
      <c r="ACF3" s="11"/>
      <c r="ACG3" s="11"/>
      <c r="ACH3" s="11"/>
      <c r="ACI3" s="11"/>
      <c r="ACJ3" s="11"/>
      <c r="ACK3" s="11"/>
      <c r="ACL3" s="11"/>
      <c r="ACM3" s="11"/>
      <c r="ACN3" s="11"/>
      <c r="ACO3" s="11"/>
      <c r="ACP3" s="11"/>
      <c r="ACQ3" s="11"/>
      <c r="ACR3" s="11"/>
      <c r="ACS3" s="11"/>
      <c r="ACT3" s="11"/>
      <c r="ACU3" s="11"/>
      <c r="ACV3" s="11"/>
      <c r="ACW3" s="11"/>
      <c r="ACX3" s="11"/>
      <c r="ACY3" s="11"/>
      <c r="ACZ3" s="11"/>
      <c r="ADA3" s="11"/>
      <c r="ADB3" s="11"/>
      <c r="ADC3" s="11"/>
      <c r="ADD3" s="11"/>
      <c r="ADE3" s="11"/>
      <c r="ADF3" s="11"/>
      <c r="ADG3" s="11"/>
      <c r="ADH3" s="11"/>
      <c r="ADI3" s="11"/>
      <c r="ADJ3" s="11"/>
      <c r="ADK3" s="11"/>
      <c r="ADL3" s="11"/>
      <c r="ADM3" s="11"/>
      <c r="ADN3" s="11"/>
      <c r="ADO3" s="11"/>
      <c r="ADP3" s="11"/>
      <c r="ADQ3" s="11"/>
      <c r="ADR3" s="11"/>
      <c r="ADS3" s="11"/>
      <c r="ADT3" s="11"/>
      <c r="ADU3" s="11"/>
      <c r="ADV3" s="11"/>
      <c r="ADW3" s="11"/>
      <c r="ADX3" s="11"/>
      <c r="ADY3" s="11"/>
      <c r="ADZ3" s="11"/>
      <c r="AEA3" s="11"/>
      <c r="AEB3" s="11"/>
      <c r="AEC3" s="11"/>
      <c r="AED3" s="11"/>
      <c r="AEE3" s="11"/>
      <c r="AEF3" s="11"/>
      <c r="AEG3" s="11"/>
      <c r="AEH3" s="11"/>
      <c r="AEI3" s="11"/>
      <c r="AEJ3" s="11"/>
      <c r="AEK3" s="11"/>
      <c r="AEL3" s="11"/>
      <c r="AEM3" s="11"/>
      <c r="AEN3" s="11"/>
      <c r="AEO3" s="11"/>
      <c r="AEP3" s="11"/>
      <c r="AEQ3" s="11"/>
      <c r="AER3" s="11"/>
      <c r="AES3" s="11"/>
      <c r="AET3" s="11"/>
      <c r="AEU3" s="11"/>
      <c r="AEV3" s="11"/>
      <c r="AEW3" s="11"/>
      <c r="AEX3" s="11"/>
      <c r="AEY3" s="11"/>
      <c r="AEZ3" s="11"/>
      <c r="AFA3" s="11"/>
      <c r="AFB3" s="11"/>
      <c r="AFC3" s="11"/>
      <c r="AFD3" s="11"/>
      <c r="AFE3" s="11"/>
      <c r="AFF3" s="11"/>
      <c r="AFG3" s="11"/>
      <c r="AFH3" s="11"/>
      <c r="AFI3" s="11"/>
      <c r="AFJ3" s="11"/>
      <c r="AFK3" s="11"/>
      <c r="AFL3" s="11"/>
      <c r="AFM3" s="11"/>
      <c r="AFN3" s="11"/>
      <c r="AFO3" s="11"/>
      <c r="AFP3" s="11"/>
      <c r="AFQ3" s="11"/>
      <c r="AFR3" s="11"/>
      <c r="AFS3" s="11"/>
      <c r="AFT3" s="11"/>
      <c r="AFU3" s="11"/>
      <c r="AFV3" s="11"/>
      <c r="AFW3" s="11"/>
      <c r="AFX3" s="11"/>
      <c r="AFY3" s="11"/>
      <c r="AFZ3" s="11"/>
      <c r="AGA3" s="11"/>
      <c r="AGB3" s="11"/>
      <c r="AGC3" s="11"/>
      <c r="AGD3" s="11"/>
      <c r="AGE3" s="11"/>
      <c r="AGF3" s="11"/>
      <c r="AGG3" s="11"/>
      <c r="AGH3" s="11"/>
      <c r="AGI3" s="11"/>
      <c r="AGJ3" s="11"/>
      <c r="AGK3" s="11"/>
      <c r="AGL3" s="11"/>
      <c r="AGM3" s="11"/>
      <c r="AGN3" s="11"/>
      <c r="AGO3" s="11"/>
      <c r="AGP3" s="11"/>
      <c r="AGQ3" s="11"/>
      <c r="AGR3" s="11"/>
      <c r="AGS3" s="11"/>
      <c r="AGT3" s="11"/>
      <c r="AGU3" s="11"/>
      <c r="AGV3" s="11"/>
      <c r="AGW3" s="11"/>
      <c r="AGX3" s="11"/>
      <c r="AGY3" s="11"/>
      <c r="AGZ3" s="11"/>
      <c r="AHA3" s="11"/>
      <c r="AHB3" s="11"/>
      <c r="AHC3" s="11"/>
      <c r="AHD3" s="11"/>
      <c r="AHE3" s="11"/>
      <c r="AHF3" s="11"/>
      <c r="AHG3" s="11"/>
      <c r="AHH3" s="11"/>
      <c r="AHI3" s="11"/>
      <c r="AHJ3" s="11"/>
      <c r="AHK3" s="11"/>
      <c r="AHL3" s="11"/>
      <c r="AHM3" s="11"/>
      <c r="AHN3" s="11"/>
      <c r="AHO3" s="11"/>
      <c r="AHP3" s="11"/>
      <c r="AHQ3" s="11"/>
      <c r="AHR3" s="11"/>
      <c r="AHS3" s="11"/>
      <c r="AHT3" s="11"/>
      <c r="AHU3" s="11"/>
      <c r="AHV3" s="11"/>
      <c r="AHW3" s="11"/>
      <c r="AHX3" s="11"/>
      <c r="AHY3" s="11"/>
      <c r="AHZ3" s="11"/>
      <c r="AIA3" s="11"/>
      <c r="AIB3" s="11"/>
      <c r="AIC3" s="11"/>
      <c r="AID3" s="11"/>
      <c r="AIE3" s="11"/>
      <c r="AIF3" s="11"/>
      <c r="AIG3" s="11"/>
      <c r="AIH3" s="11"/>
      <c r="AII3" s="11"/>
      <c r="AIJ3" s="11"/>
      <c r="AIK3" s="11"/>
      <c r="AIL3" s="11"/>
      <c r="AIM3" s="11"/>
      <c r="AIN3" s="11"/>
      <c r="AIO3" s="11"/>
      <c r="AIP3" s="11"/>
      <c r="AIQ3" s="11"/>
      <c r="AIR3" s="11"/>
      <c r="AIS3" s="11"/>
      <c r="AIT3" s="11"/>
      <c r="AIU3" s="11"/>
      <c r="AIV3" s="11"/>
      <c r="AIW3" s="11"/>
      <c r="AIX3" s="11"/>
      <c r="AIY3" s="11"/>
      <c r="AIZ3" s="11"/>
      <c r="AJA3" s="11"/>
      <c r="AJB3" s="11"/>
      <c r="AJC3" s="11"/>
      <c r="AJD3" s="11"/>
      <c r="AJE3" s="11"/>
      <c r="AJF3" s="11"/>
      <c r="AJG3" s="11"/>
      <c r="AJH3" s="11"/>
      <c r="AJI3" s="11"/>
      <c r="AJJ3" s="11"/>
      <c r="AJK3" s="11"/>
      <c r="AJL3" s="11"/>
      <c r="AJM3" s="11"/>
      <c r="AJN3" s="11"/>
      <c r="AJO3" s="11"/>
      <c r="AJP3" s="11"/>
      <c r="AJQ3" s="11"/>
      <c r="AJR3" s="11"/>
      <c r="AJS3" s="11"/>
      <c r="AJT3" s="11"/>
      <c r="AJU3" s="11"/>
      <c r="AJV3" s="11"/>
      <c r="AJW3" s="11"/>
      <c r="AJX3" s="11"/>
      <c r="AJY3" s="11"/>
      <c r="AJZ3" s="11"/>
      <c r="AKA3" s="11"/>
      <c r="AKB3" s="11"/>
      <c r="AKC3" s="11"/>
      <c r="AKD3" s="11"/>
      <c r="AKE3" s="11"/>
      <c r="AKF3" s="11"/>
      <c r="AKG3" s="11"/>
      <c r="AKH3" s="11"/>
      <c r="AKI3" s="11"/>
      <c r="AKJ3" s="11"/>
      <c r="AKK3" s="11"/>
      <c r="AKL3" s="11"/>
      <c r="AKM3" s="11"/>
      <c r="AKN3" s="11"/>
      <c r="AKO3" s="11"/>
      <c r="AKP3" s="11"/>
      <c r="AKQ3" s="11"/>
      <c r="AKR3" s="11"/>
      <c r="AKS3" s="11"/>
      <c r="AKT3" s="11"/>
      <c r="AKU3" s="11"/>
      <c r="AKV3" s="11"/>
      <c r="AKW3" s="11"/>
      <c r="AKX3" s="11"/>
      <c r="AKY3" s="11"/>
      <c r="AKZ3" s="11"/>
      <c r="ALA3" s="11"/>
      <c r="ALB3" s="11"/>
      <c r="ALC3" s="11"/>
      <c r="ALD3" s="11"/>
      <c r="ALE3" s="11"/>
      <c r="ALF3" s="11"/>
      <c r="ALG3" s="11"/>
      <c r="ALH3" s="11"/>
      <c r="ALI3" s="11"/>
      <c r="ALJ3" s="11"/>
      <c r="ALK3" s="11"/>
      <c r="ALL3" s="11"/>
      <c r="ALM3" s="11"/>
      <c r="ALN3" s="11"/>
      <c r="ALO3" s="11"/>
      <c r="ALP3" s="11"/>
      <c r="ALQ3" s="11"/>
      <c r="ALR3" s="11"/>
      <c r="ALS3" s="11"/>
      <c r="ALT3" s="11"/>
      <c r="ALU3" s="11"/>
      <c r="ALV3" s="11"/>
      <c r="ALW3" s="11"/>
      <c r="ALX3" s="11"/>
      <c r="ALY3" s="11"/>
      <c r="ALZ3" s="11"/>
      <c r="AMA3" s="11"/>
      <c r="AMB3" s="11"/>
      <c r="AMC3" s="11"/>
      <c r="AMD3" s="11"/>
      <c r="AME3" s="11"/>
      <c r="AMF3" s="11"/>
      <c r="AMG3" s="11"/>
      <c r="AMH3" s="11"/>
      <c r="AMI3" s="11"/>
      <c r="AMJ3" s="11"/>
      <c r="AMK3" s="11"/>
      <c r="AML3" s="11"/>
      <c r="AMM3" s="11"/>
      <c r="AMN3" s="11"/>
      <c r="AMO3" s="11"/>
      <c r="AMP3" s="11"/>
      <c r="AMQ3" s="11"/>
      <c r="AMR3" s="11"/>
      <c r="AMS3" s="11"/>
      <c r="AMT3" s="11"/>
      <c r="AMU3" s="11"/>
      <c r="AMV3" s="11"/>
      <c r="AMW3" s="11"/>
      <c r="AMX3" s="11"/>
      <c r="AMY3" s="11"/>
      <c r="AMZ3" s="11"/>
      <c r="ANA3" s="11"/>
      <c r="ANB3" s="11"/>
      <c r="ANC3" s="11"/>
      <c r="AND3" s="11"/>
      <c r="ANE3" s="11"/>
      <c r="ANF3" s="11"/>
      <c r="ANG3" s="11"/>
      <c r="ANH3" s="11"/>
      <c r="ANI3" s="11"/>
      <c r="ANJ3" s="11"/>
      <c r="ANK3" s="11"/>
      <c r="ANL3" s="11"/>
      <c r="ANM3" s="11"/>
      <c r="ANN3" s="11"/>
      <c r="ANO3" s="11"/>
      <c r="ANP3" s="11"/>
      <c r="ANQ3" s="11"/>
      <c r="ANR3" s="11"/>
      <c r="ANS3" s="11"/>
      <c r="ANT3" s="11"/>
      <c r="ANU3" s="11"/>
      <c r="ANV3" s="11"/>
      <c r="ANW3" s="11"/>
      <c r="ANX3" s="11"/>
      <c r="ANY3" s="11"/>
      <c r="ANZ3" s="11"/>
      <c r="AOA3" s="11"/>
      <c r="AOB3" s="11"/>
      <c r="AOC3" s="11"/>
      <c r="AOD3" s="11"/>
      <c r="AOE3" s="11"/>
      <c r="AOF3" s="11"/>
      <c r="AOG3" s="11"/>
      <c r="AOH3" s="11"/>
      <c r="AOI3" s="11"/>
      <c r="AOJ3" s="11"/>
      <c r="AOK3" s="11"/>
      <c r="AOL3" s="11"/>
      <c r="AOM3" s="11"/>
      <c r="AON3" s="11"/>
      <c r="AOO3" s="11"/>
      <c r="AOP3" s="11"/>
      <c r="AOQ3" s="11"/>
      <c r="AOR3" s="11"/>
      <c r="AOS3" s="11"/>
      <c r="AOT3" s="11"/>
      <c r="AOU3" s="11"/>
      <c r="AOV3" s="11"/>
      <c r="AOW3" s="11"/>
      <c r="AOX3" s="11"/>
      <c r="AOY3" s="11"/>
      <c r="AOZ3" s="11"/>
      <c r="APA3" s="11"/>
      <c r="APB3" s="11"/>
      <c r="APC3" s="11"/>
      <c r="APD3" s="11"/>
      <c r="APE3" s="11"/>
      <c r="APF3" s="11"/>
      <c r="APG3" s="11"/>
      <c r="APH3" s="11"/>
      <c r="API3" s="11"/>
      <c r="APJ3" s="11"/>
      <c r="APK3" s="11"/>
      <c r="APL3" s="11"/>
      <c r="APM3" s="11"/>
      <c r="APN3" s="11"/>
      <c r="APO3" s="11"/>
      <c r="APP3" s="11"/>
      <c r="APQ3" s="11"/>
      <c r="APR3" s="11"/>
      <c r="APS3" s="11"/>
      <c r="APT3" s="11"/>
      <c r="APU3" s="11"/>
      <c r="APV3" s="11"/>
      <c r="APW3" s="11"/>
      <c r="APX3" s="11"/>
      <c r="APY3" s="11"/>
      <c r="APZ3" s="11"/>
      <c r="AQA3" s="11"/>
      <c r="AQB3" s="11"/>
      <c r="AQC3" s="11"/>
      <c r="AQD3" s="11"/>
      <c r="AQE3" s="11"/>
      <c r="AQF3" s="11"/>
      <c r="AQG3" s="11"/>
      <c r="AQH3" s="11"/>
      <c r="AQI3" s="11"/>
      <c r="AQJ3" s="11"/>
      <c r="AQK3" s="11"/>
      <c r="AQL3" s="11"/>
      <c r="AQM3" s="11"/>
      <c r="AQN3" s="11"/>
      <c r="AQO3" s="11"/>
      <c r="AQP3" s="11"/>
      <c r="AQQ3" s="11"/>
      <c r="AQR3" s="11"/>
      <c r="AQS3" s="11"/>
      <c r="AQT3" s="11"/>
      <c r="AQU3" s="11"/>
      <c r="AQV3" s="11"/>
      <c r="AQW3" s="11"/>
      <c r="AQX3" s="11"/>
      <c r="AQY3" s="11"/>
      <c r="AQZ3" s="11"/>
      <c r="ARA3" s="11"/>
      <c r="ARB3" s="11"/>
      <c r="ARC3" s="11"/>
      <c r="ARD3" s="11"/>
      <c r="ARE3" s="11"/>
      <c r="ARF3" s="11"/>
      <c r="ARG3" s="11"/>
      <c r="ARH3" s="11"/>
      <c r="ARI3" s="11"/>
      <c r="ARJ3" s="11"/>
      <c r="ARK3" s="11"/>
      <c r="ARL3" s="11"/>
      <c r="ARM3" s="11"/>
      <c r="ARN3" s="11"/>
      <c r="ARO3" s="11"/>
      <c r="ARP3" s="11"/>
      <c r="ARQ3" s="11"/>
      <c r="ARR3" s="11"/>
      <c r="ARS3" s="11"/>
      <c r="ART3" s="11"/>
      <c r="ARU3" s="11"/>
      <c r="ARV3" s="11"/>
      <c r="ARW3" s="11"/>
      <c r="ARX3" s="11"/>
      <c r="ARY3" s="11"/>
      <c r="ARZ3" s="11"/>
      <c r="ASA3" s="11"/>
      <c r="ASB3" s="11"/>
      <c r="ASC3" s="11"/>
      <c r="ASD3" s="11"/>
      <c r="ASE3" s="11"/>
      <c r="ASF3" s="11"/>
      <c r="ASG3" s="11"/>
      <c r="ASH3" s="11"/>
      <c r="ASI3" s="11"/>
      <c r="ASJ3" s="11"/>
      <c r="ASK3" s="11"/>
      <c r="ASL3" s="11"/>
      <c r="ASM3" s="11"/>
      <c r="ASN3" s="11"/>
      <c r="ASO3" s="11"/>
      <c r="ASP3" s="11"/>
      <c r="ASQ3" s="11"/>
      <c r="ASR3" s="11"/>
      <c r="ASS3" s="11"/>
      <c r="AST3" s="11"/>
      <c r="ASU3" s="11"/>
      <c r="ASV3" s="11"/>
      <c r="ASW3" s="11"/>
      <c r="ASX3" s="11"/>
      <c r="ASY3" s="11"/>
      <c r="ASZ3" s="11"/>
      <c r="ATA3" s="11"/>
      <c r="ATB3" s="11"/>
      <c r="ATC3" s="11"/>
      <c r="ATD3" s="11"/>
      <c r="ATE3" s="11"/>
      <c r="ATF3" s="11"/>
      <c r="ATG3" s="11"/>
      <c r="ATH3" s="11"/>
      <c r="ATI3" s="11"/>
      <c r="ATJ3" s="11"/>
      <c r="ATK3" s="11"/>
      <c r="ATL3" s="11"/>
      <c r="ATM3" s="11"/>
      <c r="ATN3" s="11"/>
      <c r="ATO3" s="11"/>
      <c r="ATP3" s="11"/>
      <c r="ATQ3" s="11"/>
      <c r="ATR3" s="11"/>
      <c r="ATS3" s="11"/>
      <c r="ATT3" s="11"/>
      <c r="ATU3" s="11"/>
      <c r="ATV3" s="11"/>
      <c r="ATW3" s="11"/>
      <c r="ATX3" s="11"/>
      <c r="ATY3" s="11"/>
      <c r="ATZ3" s="11"/>
      <c r="AUA3" s="11"/>
      <c r="AUB3" s="11"/>
      <c r="AUC3" s="11"/>
      <c r="AUD3" s="11"/>
      <c r="AUE3" s="11"/>
      <c r="AUF3" s="11"/>
      <c r="AUG3" s="11"/>
      <c r="AUH3" s="11"/>
      <c r="AUI3" s="11"/>
      <c r="AUJ3" s="11"/>
      <c r="AUK3" s="11"/>
      <c r="AUL3" s="11"/>
      <c r="AUM3" s="11"/>
      <c r="AUN3" s="11"/>
      <c r="AUO3" s="11"/>
      <c r="AUP3" s="11"/>
      <c r="AUQ3" s="11"/>
      <c r="AUR3" s="11"/>
      <c r="AUS3" s="11"/>
      <c r="AUT3" s="11"/>
      <c r="AUU3" s="11"/>
      <c r="AUV3" s="11"/>
      <c r="AUW3" s="11"/>
      <c r="AUX3" s="11"/>
      <c r="AUY3" s="11"/>
      <c r="AUZ3" s="11"/>
      <c r="AVA3" s="11"/>
      <c r="AVB3" s="11"/>
      <c r="AVC3" s="11"/>
      <c r="AVD3" s="11"/>
      <c r="AVE3" s="11"/>
      <c r="AVF3" s="11"/>
      <c r="AVG3" s="11"/>
      <c r="AVH3" s="11"/>
      <c r="AVI3" s="11"/>
      <c r="AVJ3" s="11"/>
      <c r="AVK3" s="11"/>
      <c r="AVL3" s="11"/>
      <c r="AVM3" s="11"/>
      <c r="AVN3" s="11"/>
      <c r="AVO3" s="11"/>
      <c r="AVP3" s="11"/>
      <c r="AVQ3" s="11"/>
      <c r="AVR3" s="11"/>
      <c r="AVS3" s="11"/>
      <c r="AVT3" s="11"/>
      <c r="AVU3" s="11"/>
      <c r="AVV3" s="11"/>
      <c r="AVW3" s="11"/>
      <c r="AVX3" s="11"/>
      <c r="AVY3" s="11"/>
      <c r="AVZ3" s="11"/>
      <c r="AWA3" s="11"/>
      <c r="AWB3" s="11"/>
      <c r="AWC3" s="11"/>
      <c r="AWD3" s="11"/>
      <c r="AWE3" s="11"/>
      <c r="AWF3" s="11"/>
      <c r="AWG3" s="11"/>
      <c r="AWH3" s="11"/>
      <c r="AWI3" s="11"/>
      <c r="AWJ3" s="11"/>
      <c r="AWK3" s="11"/>
      <c r="AWL3" s="11"/>
      <c r="AWM3" s="11"/>
      <c r="AWN3" s="11"/>
      <c r="AWO3" s="11"/>
      <c r="AWP3" s="11"/>
      <c r="AWQ3" s="11"/>
      <c r="AWR3" s="11"/>
      <c r="AWS3" s="11"/>
      <c r="AWT3" s="11"/>
      <c r="AWU3" s="11"/>
      <c r="AWV3" s="11"/>
      <c r="AWW3" s="11"/>
      <c r="AWX3" s="11"/>
      <c r="AWY3" s="11"/>
      <c r="AWZ3" s="11"/>
      <c r="AXA3" s="11"/>
      <c r="AXB3" s="11"/>
      <c r="AXC3" s="11"/>
      <c r="AXD3" s="11"/>
      <c r="AXE3" s="11"/>
      <c r="AXF3" s="11"/>
      <c r="AXG3" s="11"/>
      <c r="AXH3" s="11"/>
      <c r="AXI3" s="11"/>
      <c r="AXJ3" s="11"/>
      <c r="AXK3" s="11"/>
      <c r="AXL3" s="11"/>
      <c r="AXM3" s="11"/>
      <c r="AXN3" s="11"/>
      <c r="AXO3" s="11"/>
      <c r="AXP3" s="11"/>
      <c r="AXQ3" s="11"/>
      <c r="AXR3" s="11"/>
      <c r="AXS3" s="11"/>
      <c r="AXT3" s="11"/>
      <c r="AXU3" s="11"/>
      <c r="AXV3" s="11"/>
      <c r="AXW3" s="11"/>
      <c r="AXX3" s="11"/>
      <c r="AXY3" s="11"/>
      <c r="AXZ3" s="11"/>
      <c r="AYA3" s="11"/>
      <c r="AYB3" s="11"/>
      <c r="AYC3" s="11"/>
      <c r="AYD3" s="11"/>
      <c r="AYE3" s="11"/>
      <c r="AYF3" s="11"/>
      <c r="AYG3" s="11"/>
      <c r="AYH3" s="11"/>
      <c r="AYI3" s="11"/>
      <c r="AYJ3" s="11"/>
      <c r="AYK3" s="11"/>
      <c r="AYL3" s="11"/>
      <c r="AYM3" s="11"/>
      <c r="AYN3" s="11"/>
      <c r="AYO3" s="11"/>
      <c r="AYP3" s="11"/>
      <c r="AYQ3" s="11"/>
      <c r="AYR3" s="11"/>
      <c r="AYS3" s="11"/>
      <c r="AYT3" s="11"/>
      <c r="AYU3" s="11"/>
      <c r="AYV3" s="11"/>
      <c r="AYW3" s="11"/>
      <c r="AYX3" s="11"/>
      <c r="AYY3" s="11"/>
      <c r="AYZ3" s="11"/>
      <c r="AZA3" s="11"/>
      <c r="AZB3" s="11"/>
      <c r="AZC3" s="11"/>
      <c r="AZD3" s="11"/>
      <c r="AZE3" s="11"/>
      <c r="AZF3" s="11"/>
    </row>
    <row r="4" spans="1:1358" ht="14.4" x14ac:dyDescent="0.3">
      <c r="A4" s="14">
        <v>1</v>
      </c>
      <c r="B4" s="24" t="s">
        <v>191</v>
      </c>
      <c r="C4" s="10">
        <v>20</v>
      </c>
      <c r="D4" s="10">
        <v>53</v>
      </c>
      <c r="E4" s="15">
        <v>365</v>
      </c>
      <c r="F4" s="26">
        <v>1E-4</v>
      </c>
      <c r="G4" s="10">
        <v>900</v>
      </c>
      <c r="H4" s="13">
        <v>1.4E-3</v>
      </c>
      <c r="I4" s="17">
        <v>10950</v>
      </c>
      <c r="J4" s="22">
        <v>20</v>
      </c>
      <c r="K4" s="18">
        <f t="shared" ref="K4:K67" si="0">(F4*G4*E4*J4)/(D4*I4)</f>
        <v>1.1320754716981133E-3</v>
      </c>
      <c r="L4" s="2">
        <f t="shared" ref="L4:L45" si="1">(F4*G4*E4*5)/(D4*I4)</f>
        <v>2.8301886792452831E-4</v>
      </c>
      <c r="M4" s="2">
        <f t="shared" ref="M4:M67" si="2">(F4*G4*E4*10)/(D4*I4)</f>
        <v>5.6603773584905663E-4</v>
      </c>
      <c r="N4" s="2">
        <f t="shared" ref="N4:N67" si="3">(F4*G4*E4*15)/(D4*I4)</f>
        <v>8.4905660377358489E-4</v>
      </c>
      <c r="O4" s="2">
        <f t="shared" ref="O4:O67" si="4">(F4*G4*E4*20)/(D4*I4)</f>
        <v>1.1320754716981133E-3</v>
      </c>
      <c r="P4" s="2">
        <f t="shared" ref="P4:P67" si="5">(F4*G4*E4*25)/(D4*I4)</f>
        <v>1.4150943396226414E-3</v>
      </c>
      <c r="Q4" s="2">
        <f t="shared" ref="Q4:Q67" si="6">(F4*G4*E4*30)/(D4*I4)</f>
        <v>1.6981132075471698E-3</v>
      </c>
      <c r="R4" s="2">
        <f t="shared" ref="R4:R67" si="7">K4/H4</f>
        <v>0.80862533692722371</v>
      </c>
      <c r="S4" s="2">
        <f t="shared" ref="S4:S42" si="8">L4/H4</f>
        <v>0.20215633423180593</v>
      </c>
      <c r="T4" s="2">
        <f t="shared" ref="T4:T67" si="9">M4/H4</f>
        <v>0.40431266846361186</v>
      </c>
      <c r="U4" s="2">
        <f t="shared" ref="U4:U43" si="10">N4/H4</f>
        <v>0.60646900269541781</v>
      </c>
      <c r="V4" s="2">
        <f t="shared" ref="V4:V43" si="11">O4/H4</f>
        <v>0.80862533692722371</v>
      </c>
      <c r="W4" s="2">
        <f t="shared" ref="W4:W43" si="12">P4/H4</f>
        <v>1.0107816711590296</v>
      </c>
      <c r="X4" s="2">
        <f t="shared" ref="X4:X43" si="13">Q4/H4</f>
        <v>1.2129380053908356</v>
      </c>
      <c r="Y4" s="5" t="str">
        <f t="shared" ref="Y4:AE28" si="14">IF(R4&gt;1,"1","2")</f>
        <v>2</v>
      </c>
      <c r="Z4" s="5" t="str">
        <f t="shared" si="14"/>
        <v>2</v>
      </c>
      <c r="AA4" s="5" t="str">
        <f t="shared" si="14"/>
        <v>2</v>
      </c>
      <c r="AB4" s="5" t="str">
        <f t="shared" si="14"/>
        <v>2</v>
      </c>
      <c r="AC4" s="5" t="str">
        <f t="shared" si="14"/>
        <v>2</v>
      </c>
      <c r="AD4" s="5" t="str">
        <f t="shared" si="14"/>
        <v>1</v>
      </c>
      <c r="AE4" s="5" t="str">
        <f t="shared" si="14"/>
        <v>1</v>
      </c>
    </row>
    <row r="5" spans="1:1358" ht="14.4" x14ac:dyDescent="0.3">
      <c r="A5" s="14">
        <v>2</v>
      </c>
      <c r="B5" s="24" t="s">
        <v>192</v>
      </c>
      <c r="C5" s="10">
        <v>25</v>
      </c>
      <c r="D5" s="10">
        <v>68</v>
      </c>
      <c r="E5" s="15">
        <v>365</v>
      </c>
      <c r="F5" s="26">
        <v>1E-4</v>
      </c>
      <c r="G5" s="10">
        <v>1500</v>
      </c>
      <c r="H5" s="13">
        <v>1.4E-3</v>
      </c>
      <c r="I5" s="17">
        <v>10950</v>
      </c>
      <c r="J5" s="22">
        <v>22</v>
      </c>
      <c r="K5" s="18">
        <f t="shared" si="0"/>
        <v>1.6176470588235294E-3</v>
      </c>
      <c r="L5" s="2">
        <f t="shared" si="1"/>
        <v>3.6764705882352941E-4</v>
      </c>
      <c r="M5" s="2">
        <f t="shared" si="2"/>
        <v>7.3529411764705881E-4</v>
      </c>
      <c r="N5" s="2">
        <f t="shared" si="3"/>
        <v>1.1029411764705882E-3</v>
      </c>
      <c r="O5" s="2">
        <f t="shared" si="4"/>
        <v>1.4705882352941176E-3</v>
      </c>
      <c r="P5" s="2">
        <f t="shared" si="5"/>
        <v>1.838235294117647E-3</v>
      </c>
      <c r="Q5" s="2">
        <f t="shared" si="6"/>
        <v>2.2058823529411764E-3</v>
      </c>
      <c r="R5" s="2">
        <f t="shared" si="7"/>
        <v>1.1554621848739497</v>
      </c>
      <c r="S5" s="2">
        <f t="shared" si="8"/>
        <v>0.26260504201680673</v>
      </c>
      <c r="T5" s="2">
        <f t="shared" si="9"/>
        <v>0.52521008403361347</v>
      </c>
      <c r="U5" s="2">
        <f t="shared" si="10"/>
        <v>0.78781512605042014</v>
      </c>
      <c r="V5" s="2">
        <f t="shared" si="11"/>
        <v>1.0504201680672269</v>
      </c>
      <c r="W5" s="2">
        <f t="shared" si="12"/>
        <v>1.3130252100840336</v>
      </c>
      <c r="X5" s="2">
        <f t="shared" si="13"/>
        <v>1.5756302521008403</v>
      </c>
      <c r="Y5" s="5" t="str">
        <f t="shared" si="14"/>
        <v>1</v>
      </c>
      <c r="Z5" s="5" t="str">
        <f t="shared" si="14"/>
        <v>2</v>
      </c>
      <c r="AA5" s="5" t="str">
        <f t="shared" si="14"/>
        <v>2</v>
      </c>
      <c r="AB5" s="5" t="str">
        <f t="shared" si="14"/>
        <v>2</v>
      </c>
      <c r="AC5" s="5" t="str">
        <f t="shared" si="14"/>
        <v>1</v>
      </c>
      <c r="AD5" s="5" t="str">
        <f t="shared" si="14"/>
        <v>1</v>
      </c>
      <c r="AE5" s="5" t="str">
        <f t="shared" si="14"/>
        <v>1</v>
      </c>
    </row>
    <row r="6" spans="1:1358" ht="14.4" x14ac:dyDescent="0.3">
      <c r="A6" s="14">
        <v>3</v>
      </c>
      <c r="B6" s="24" t="s">
        <v>124</v>
      </c>
      <c r="C6" s="10">
        <v>25</v>
      </c>
      <c r="D6" s="10">
        <v>68</v>
      </c>
      <c r="E6" s="15">
        <v>365</v>
      </c>
      <c r="F6" s="26">
        <v>1E-4</v>
      </c>
      <c r="G6" s="10">
        <v>1500</v>
      </c>
      <c r="H6" s="13">
        <v>1.4E-3</v>
      </c>
      <c r="I6" s="17">
        <v>10950</v>
      </c>
      <c r="J6" s="22">
        <v>22</v>
      </c>
      <c r="K6" s="18">
        <f t="shared" si="0"/>
        <v>1.6176470588235294E-3</v>
      </c>
      <c r="L6" s="2">
        <f t="shared" si="1"/>
        <v>3.6764705882352941E-4</v>
      </c>
      <c r="M6" s="2">
        <f t="shared" si="2"/>
        <v>7.3529411764705881E-4</v>
      </c>
      <c r="N6" s="2">
        <f t="shared" si="3"/>
        <v>1.1029411764705882E-3</v>
      </c>
      <c r="O6" s="2">
        <f t="shared" si="4"/>
        <v>1.4705882352941176E-3</v>
      </c>
      <c r="P6" s="2">
        <f t="shared" si="5"/>
        <v>1.838235294117647E-3</v>
      </c>
      <c r="Q6" s="2">
        <f t="shared" si="6"/>
        <v>2.2058823529411764E-3</v>
      </c>
      <c r="R6" s="2">
        <f t="shared" si="7"/>
        <v>1.1554621848739497</v>
      </c>
      <c r="S6" s="2">
        <f t="shared" si="8"/>
        <v>0.26260504201680673</v>
      </c>
      <c r="T6" s="2">
        <f t="shared" si="9"/>
        <v>0.52521008403361347</v>
      </c>
      <c r="U6" s="2">
        <f t="shared" si="10"/>
        <v>0.78781512605042014</v>
      </c>
      <c r="V6" s="2">
        <f t="shared" si="11"/>
        <v>1.0504201680672269</v>
      </c>
      <c r="W6" s="2">
        <f t="shared" si="12"/>
        <v>1.3130252100840336</v>
      </c>
      <c r="X6" s="2">
        <f t="shared" si="13"/>
        <v>1.5756302521008403</v>
      </c>
      <c r="Y6" s="5" t="str">
        <f t="shared" si="14"/>
        <v>1</v>
      </c>
      <c r="Z6" s="5" t="str">
        <f t="shared" si="14"/>
        <v>2</v>
      </c>
      <c r="AA6" s="5" t="str">
        <f t="shared" si="14"/>
        <v>2</v>
      </c>
      <c r="AB6" s="5" t="str">
        <f t="shared" si="14"/>
        <v>2</v>
      </c>
      <c r="AC6" s="5" t="str">
        <f t="shared" si="14"/>
        <v>1</v>
      </c>
      <c r="AD6" s="5" t="str">
        <f t="shared" si="14"/>
        <v>1</v>
      </c>
      <c r="AE6" s="5" t="str">
        <f t="shared" si="14"/>
        <v>1</v>
      </c>
    </row>
    <row r="7" spans="1:1358" ht="14.4" x14ac:dyDescent="0.3">
      <c r="A7" s="14">
        <v>4</v>
      </c>
      <c r="B7" s="24" t="s">
        <v>193</v>
      </c>
      <c r="C7" s="10">
        <v>26</v>
      </c>
      <c r="D7" s="10">
        <v>50</v>
      </c>
      <c r="E7" s="15">
        <v>365</v>
      </c>
      <c r="F7" s="26">
        <v>1E-4</v>
      </c>
      <c r="G7" s="10">
        <v>900</v>
      </c>
      <c r="H7" s="13">
        <v>1.4E-3</v>
      </c>
      <c r="I7" s="17">
        <v>10950</v>
      </c>
      <c r="J7" s="22">
        <v>26</v>
      </c>
      <c r="K7" s="18">
        <f t="shared" si="0"/>
        <v>1.56E-3</v>
      </c>
      <c r="L7" s="2">
        <f t="shared" si="1"/>
        <v>2.9999999999999997E-4</v>
      </c>
      <c r="M7" s="2">
        <f t="shared" si="2"/>
        <v>5.9999999999999995E-4</v>
      </c>
      <c r="N7" s="2">
        <f t="shared" si="3"/>
        <v>8.9999999999999998E-4</v>
      </c>
      <c r="O7" s="2">
        <f t="shared" si="4"/>
        <v>1.1999999999999999E-3</v>
      </c>
      <c r="P7" s="2">
        <f t="shared" si="5"/>
        <v>1.5E-3</v>
      </c>
      <c r="Q7" s="2">
        <f t="shared" si="6"/>
        <v>1.8E-3</v>
      </c>
      <c r="R7" s="2">
        <f t="shared" si="7"/>
        <v>1.1142857142857143</v>
      </c>
      <c r="S7" s="2">
        <f t="shared" si="8"/>
        <v>0.21428571428571427</v>
      </c>
      <c r="T7" s="2">
        <f t="shared" si="9"/>
        <v>0.42857142857142855</v>
      </c>
      <c r="U7" s="2">
        <f t="shared" si="10"/>
        <v>0.64285714285714279</v>
      </c>
      <c r="V7" s="2">
        <f t="shared" si="11"/>
        <v>0.8571428571428571</v>
      </c>
      <c r="W7" s="2">
        <f t="shared" si="12"/>
        <v>1.0714285714285714</v>
      </c>
      <c r="X7" s="2">
        <f t="shared" si="13"/>
        <v>1.2857142857142856</v>
      </c>
      <c r="Y7" s="5" t="str">
        <f t="shared" si="14"/>
        <v>1</v>
      </c>
      <c r="Z7" s="5" t="str">
        <f t="shared" si="14"/>
        <v>2</v>
      </c>
      <c r="AA7" s="5" t="str">
        <f t="shared" si="14"/>
        <v>2</v>
      </c>
      <c r="AB7" s="5" t="str">
        <f t="shared" si="14"/>
        <v>2</v>
      </c>
      <c r="AC7" s="5" t="str">
        <f t="shared" si="14"/>
        <v>2</v>
      </c>
      <c r="AD7" s="5" t="str">
        <f t="shared" si="14"/>
        <v>1</v>
      </c>
      <c r="AE7" s="5" t="str">
        <f t="shared" si="14"/>
        <v>1</v>
      </c>
    </row>
    <row r="8" spans="1:1358" ht="14.4" x14ac:dyDescent="0.3">
      <c r="A8" s="14">
        <v>5</v>
      </c>
      <c r="B8" s="24" t="s">
        <v>194</v>
      </c>
      <c r="C8" s="10">
        <v>27</v>
      </c>
      <c r="D8" s="10">
        <v>43</v>
      </c>
      <c r="E8" s="15">
        <v>365</v>
      </c>
      <c r="F8" s="26">
        <v>1E-4</v>
      </c>
      <c r="G8" s="10">
        <v>1200</v>
      </c>
      <c r="H8" s="13">
        <v>1.4E-3</v>
      </c>
      <c r="I8" s="17">
        <v>10950</v>
      </c>
      <c r="J8" s="22">
        <v>27</v>
      </c>
      <c r="K8" s="18">
        <f t="shared" si="0"/>
        <v>2.5116279069767444E-3</v>
      </c>
      <c r="L8" s="2">
        <f t="shared" si="1"/>
        <v>4.6511627906976752E-4</v>
      </c>
      <c r="M8" s="2">
        <f t="shared" si="2"/>
        <v>9.3023255813953504E-4</v>
      </c>
      <c r="N8" s="2">
        <f t="shared" si="3"/>
        <v>1.3953488372093026E-3</v>
      </c>
      <c r="O8" s="2">
        <f t="shared" si="4"/>
        <v>1.8604651162790701E-3</v>
      </c>
      <c r="P8" s="2">
        <f t="shared" si="5"/>
        <v>2.3255813953488372E-3</v>
      </c>
      <c r="Q8" s="2">
        <f t="shared" si="6"/>
        <v>2.7906976744186051E-3</v>
      </c>
      <c r="R8" s="2">
        <f t="shared" si="7"/>
        <v>1.7940199335548175</v>
      </c>
      <c r="S8" s="2">
        <f t="shared" si="8"/>
        <v>0.33222591362126253</v>
      </c>
      <c r="T8" s="2">
        <f t="shared" si="9"/>
        <v>0.66445182724252505</v>
      </c>
      <c r="U8" s="2">
        <f t="shared" si="10"/>
        <v>0.99667774086378758</v>
      </c>
      <c r="V8" s="2">
        <f t="shared" si="11"/>
        <v>1.3289036544850501</v>
      </c>
      <c r="W8" s="2">
        <f t="shared" si="12"/>
        <v>1.6611295681063123</v>
      </c>
      <c r="X8" s="2">
        <f t="shared" si="13"/>
        <v>1.9933554817275752</v>
      </c>
      <c r="Y8" s="5" t="str">
        <f t="shared" si="14"/>
        <v>1</v>
      </c>
      <c r="Z8" s="5" t="str">
        <f t="shared" si="14"/>
        <v>2</v>
      </c>
      <c r="AA8" s="5" t="str">
        <f t="shared" si="14"/>
        <v>2</v>
      </c>
      <c r="AB8" s="5" t="str">
        <f t="shared" si="14"/>
        <v>2</v>
      </c>
      <c r="AC8" s="5" t="str">
        <f t="shared" si="14"/>
        <v>1</v>
      </c>
      <c r="AD8" s="5" t="str">
        <f t="shared" si="14"/>
        <v>1</v>
      </c>
      <c r="AE8" s="5" t="str">
        <f t="shared" si="14"/>
        <v>1</v>
      </c>
    </row>
    <row r="9" spans="1:1358" ht="14.4" x14ac:dyDescent="0.3">
      <c r="A9" s="14">
        <v>6</v>
      </c>
      <c r="B9" s="24" t="s">
        <v>114</v>
      </c>
      <c r="C9" s="10">
        <v>27</v>
      </c>
      <c r="D9" s="10">
        <v>43</v>
      </c>
      <c r="E9" s="15">
        <v>365</v>
      </c>
      <c r="F9" s="26">
        <v>1E-4</v>
      </c>
      <c r="G9" s="10">
        <v>1200</v>
      </c>
      <c r="H9" s="13">
        <v>1.4E-3</v>
      </c>
      <c r="I9" s="17">
        <v>10950</v>
      </c>
      <c r="J9" s="22">
        <v>27</v>
      </c>
      <c r="K9" s="18">
        <f t="shared" si="0"/>
        <v>2.5116279069767444E-3</v>
      </c>
      <c r="L9" s="2">
        <f t="shared" si="1"/>
        <v>4.6511627906976752E-4</v>
      </c>
      <c r="M9" s="2">
        <f t="shared" si="2"/>
        <v>9.3023255813953504E-4</v>
      </c>
      <c r="N9" s="2">
        <f t="shared" si="3"/>
        <v>1.3953488372093026E-3</v>
      </c>
      <c r="O9" s="2">
        <f t="shared" si="4"/>
        <v>1.8604651162790701E-3</v>
      </c>
      <c r="P9" s="2">
        <f t="shared" si="5"/>
        <v>2.3255813953488372E-3</v>
      </c>
      <c r="Q9" s="2">
        <f t="shared" si="6"/>
        <v>2.7906976744186051E-3</v>
      </c>
      <c r="R9" s="2">
        <f t="shared" si="7"/>
        <v>1.7940199335548175</v>
      </c>
      <c r="S9" s="2">
        <f t="shared" si="8"/>
        <v>0.33222591362126253</v>
      </c>
      <c r="T9" s="2">
        <f t="shared" si="9"/>
        <v>0.66445182724252505</v>
      </c>
      <c r="U9" s="2">
        <f t="shared" si="10"/>
        <v>0.99667774086378758</v>
      </c>
      <c r="V9" s="2">
        <f t="shared" si="11"/>
        <v>1.3289036544850501</v>
      </c>
      <c r="W9" s="2">
        <f t="shared" si="12"/>
        <v>1.6611295681063123</v>
      </c>
      <c r="X9" s="2">
        <f t="shared" si="13"/>
        <v>1.9933554817275752</v>
      </c>
      <c r="Y9" s="5" t="str">
        <f t="shared" si="14"/>
        <v>1</v>
      </c>
      <c r="Z9" s="5" t="str">
        <f t="shared" si="14"/>
        <v>2</v>
      </c>
      <c r="AA9" s="5" t="str">
        <f t="shared" si="14"/>
        <v>2</v>
      </c>
      <c r="AB9" s="5" t="str">
        <f t="shared" si="14"/>
        <v>2</v>
      </c>
      <c r="AC9" s="5" t="str">
        <f t="shared" si="14"/>
        <v>1</v>
      </c>
      <c r="AD9" s="5" t="str">
        <f t="shared" si="14"/>
        <v>1</v>
      </c>
      <c r="AE9" s="5" t="str">
        <f t="shared" si="14"/>
        <v>1</v>
      </c>
    </row>
    <row r="10" spans="1:1358" ht="14.4" x14ac:dyDescent="0.3">
      <c r="A10" s="14">
        <v>7</v>
      </c>
      <c r="B10" s="24" t="s">
        <v>195</v>
      </c>
      <c r="C10" s="10">
        <v>27</v>
      </c>
      <c r="D10" s="10">
        <v>65</v>
      </c>
      <c r="E10" s="15">
        <v>365</v>
      </c>
      <c r="F10" s="26">
        <v>1E-4</v>
      </c>
      <c r="G10" s="10">
        <v>1200</v>
      </c>
      <c r="H10" s="13">
        <v>1.4E-3</v>
      </c>
      <c r="I10" s="17">
        <v>10950</v>
      </c>
      <c r="J10" s="22">
        <v>27</v>
      </c>
      <c r="K10" s="18">
        <f t="shared" si="0"/>
        <v>1.6615384615384617E-3</v>
      </c>
      <c r="L10" s="2">
        <f t="shared" si="1"/>
        <v>3.0769230769230776E-4</v>
      </c>
      <c r="M10" s="2">
        <f t="shared" si="2"/>
        <v>6.1538461538461551E-4</v>
      </c>
      <c r="N10" s="2">
        <f t="shared" si="3"/>
        <v>9.2307692307692327E-4</v>
      </c>
      <c r="O10" s="2">
        <f t="shared" si="4"/>
        <v>1.230769230769231E-3</v>
      </c>
      <c r="P10" s="2">
        <f t="shared" si="5"/>
        <v>1.5384615384615385E-3</v>
      </c>
      <c r="Q10" s="2">
        <f t="shared" si="6"/>
        <v>1.8461538461538465E-3</v>
      </c>
      <c r="R10" s="2">
        <f t="shared" si="7"/>
        <v>1.186813186813187</v>
      </c>
      <c r="S10" s="2">
        <f t="shared" si="8"/>
        <v>0.21978021978021983</v>
      </c>
      <c r="T10" s="2">
        <f t="shared" si="9"/>
        <v>0.43956043956043966</v>
      </c>
      <c r="U10" s="2">
        <f t="shared" si="10"/>
        <v>0.65934065934065944</v>
      </c>
      <c r="V10" s="2">
        <f t="shared" si="11"/>
        <v>0.87912087912087933</v>
      </c>
      <c r="W10" s="2">
        <f t="shared" si="12"/>
        <v>1.098901098901099</v>
      </c>
      <c r="X10" s="2">
        <f t="shared" si="13"/>
        <v>1.3186813186813189</v>
      </c>
      <c r="Y10" s="5" t="str">
        <f t="shared" si="14"/>
        <v>1</v>
      </c>
      <c r="Z10" s="5" t="str">
        <f t="shared" si="14"/>
        <v>2</v>
      </c>
      <c r="AA10" s="5" t="str">
        <f t="shared" si="14"/>
        <v>2</v>
      </c>
      <c r="AB10" s="5" t="str">
        <f t="shared" si="14"/>
        <v>2</v>
      </c>
      <c r="AC10" s="5" t="str">
        <f t="shared" si="14"/>
        <v>2</v>
      </c>
      <c r="AD10" s="5" t="str">
        <f t="shared" si="14"/>
        <v>1</v>
      </c>
      <c r="AE10" s="5" t="str">
        <f t="shared" si="14"/>
        <v>1</v>
      </c>
    </row>
    <row r="11" spans="1:1358" ht="14.4" x14ac:dyDescent="0.3">
      <c r="A11" s="14">
        <v>8</v>
      </c>
      <c r="B11" s="24" t="s">
        <v>196</v>
      </c>
      <c r="C11" s="10">
        <v>27</v>
      </c>
      <c r="D11" s="10">
        <v>59</v>
      </c>
      <c r="E11" s="15">
        <v>365</v>
      </c>
      <c r="F11" s="26">
        <v>1E-4</v>
      </c>
      <c r="G11" s="10">
        <v>900</v>
      </c>
      <c r="H11" s="13">
        <v>1.4E-3</v>
      </c>
      <c r="I11" s="17">
        <v>10950</v>
      </c>
      <c r="J11" s="22">
        <v>10</v>
      </c>
      <c r="K11" s="18">
        <f t="shared" si="0"/>
        <v>5.0847457627118645E-4</v>
      </c>
      <c r="L11" s="2">
        <f t="shared" si="1"/>
        <v>2.5423728813559322E-4</v>
      </c>
      <c r="M11" s="2">
        <f t="shared" si="2"/>
        <v>5.0847457627118645E-4</v>
      </c>
      <c r="N11" s="2">
        <f t="shared" si="3"/>
        <v>7.6271186440677967E-4</v>
      </c>
      <c r="O11" s="2">
        <f t="shared" si="4"/>
        <v>1.0169491525423729E-3</v>
      </c>
      <c r="P11" s="2">
        <f t="shared" si="5"/>
        <v>1.271186440677966E-3</v>
      </c>
      <c r="Q11" s="2">
        <f t="shared" si="6"/>
        <v>1.5254237288135593E-3</v>
      </c>
      <c r="R11" s="2">
        <f t="shared" si="7"/>
        <v>0.36319612590799033</v>
      </c>
      <c r="S11" s="2">
        <f t="shared" si="8"/>
        <v>0.18159806295399517</v>
      </c>
      <c r="T11" s="2">
        <f t="shared" si="9"/>
        <v>0.36319612590799033</v>
      </c>
      <c r="U11" s="2">
        <f t="shared" si="10"/>
        <v>0.5447941888619855</v>
      </c>
      <c r="V11" s="2">
        <f t="shared" si="11"/>
        <v>0.72639225181598066</v>
      </c>
      <c r="W11" s="2">
        <f t="shared" si="12"/>
        <v>0.90799031476997571</v>
      </c>
      <c r="X11" s="2">
        <f t="shared" si="13"/>
        <v>1.089588377723971</v>
      </c>
      <c r="Y11" s="5" t="str">
        <f t="shared" si="14"/>
        <v>2</v>
      </c>
      <c r="Z11" s="5" t="str">
        <f t="shared" si="14"/>
        <v>2</v>
      </c>
      <c r="AA11" s="5" t="str">
        <f t="shared" si="14"/>
        <v>2</v>
      </c>
      <c r="AB11" s="5" t="str">
        <f t="shared" si="14"/>
        <v>2</v>
      </c>
      <c r="AC11" s="5" t="str">
        <f t="shared" si="14"/>
        <v>2</v>
      </c>
      <c r="AD11" s="5" t="str">
        <f t="shared" si="14"/>
        <v>2</v>
      </c>
      <c r="AE11" s="5" t="str">
        <f t="shared" si="14"/>
        <v>1</v>
      </c>
    </row>
    <row r="12" spans="1:1358" ht="14.4" x14ac:dyDescent="0.3">
      <c r="A12" s="14">
        <v>9</v>
      </c>
      <c r="B12" s="24" t="s">
        <v>114</v>
      </c>
      <c r="C12" s="10">
        <v>27</v>
      </c>
      <c r="D12" s="10">
        <v>43</v>
      </c>
      <c r="E12" s="15">
        <v>365</v>
      </c>
      <c r="F12" s="26">
        <v>1E-4</v>
      </c>
      <c r="G12" s="10">
        <v>1200</v>
      </c>
      <c r="H12" s="13">
        <v>1.4E-3</v>
      </c>
      <c r="I12" s="17">
        <v>10950</v>
      </c>
      <c r="J12" s="22">
        <v>27</v>
      </c>
      <c r="K12" s="18">
        <f t="shared" si="0"/>
        <v>2.5116279069767444E-3</v>
      </c>
      <c r="L12" s="2">
        <f t="shared" si="1"/>
        <v>4.6511627906976752E-4</v>
      </c>
      <c r="M12" s="2">
        <f t="shared" si="2"/>
        <v>9.3023255813953504E-4</v>
      </c>
      <c r="N12" s="2">
        <f t="shared" si="3"/>
        <v>1.3953488372093026E-3</v>
      </c>
      <c r="O12" s="2">
        <f t="shared" si="4"/>
        <v>1.8604651162790701E-3</v>
      </c>
      <c r="P12" s="2">
        <f t="shared" si="5"/>
        <v>2.3255813953488372E-3</v>
      </c>
      <c r="Q12" s="2">
        <f t="shared" si="6"/>
        <v>2.7906976744186051E-3</v>
      </c>
      <c r="R12" s="2">
        <f t="shared" si="7"/>
        <v>1.7940199335548175</v>
      </c>
      <c r="S12" s="2">
        <f t="shared" si="8"/>
        <v>0.33222591362126253</v>
      </c>
      <c r="T12" s="2">
        <f t="shared" si="9"/>
        <v>0.66445182724252505</v>
      </c>
      <c r="U12" s="2">
        <f t="shared" si="10"/>
        <v>0.99667774086378758</v>
      </c>
      <c r="V12" s="2">
        <f t="shared" si="11"/>
        <v>1.3289036544850501</v>
      </c>
      <c r="W12" s="2">
        <f t="shared" si="12"/>
        <v>1.6611295681063123</v>
      </c>
      <c r="X12" s="2">
        <f t="shared" si="13"/>
        <v>1.9933554817275752</v>
      </c>
      <c r="Y12" s="5" t="str">
        <f t="shared" si="14"/>
        <v>1</v>
      </c>
      <c r="Z12" s="5" t="str">
        <f t="shared" si="14"/>
        <v>2</v>
      </c>
      <c r="AA12" s="5" t="str">
        <f t="shared" si="14"/>
        <v>2</v>
      </c>
      <c r="AB12" s="5" t="str">
        <f t="shared" si="14"/>
        <v>2</v>
      </c>
      <c r="AC12" s="5" t="str">
        <f t="shared" si="14"/>
        <v>1</v>
      </c>
      <c r="AD12" s="5" t="str">
        <f t="shared" si="14"/>
        <v>1</v>
      </c>
      <c r="AE12" s="5" t="str">
        <f t="shared" si="14"/>
        <v>1</v>
      </c>
    </row>
    <row r="13" spans="1:1358" ht="14.4" x14ac:dyDescent="0.3">
      <c r="A13" s="14">
        <v>10</v>
      </c>
      <c r="B13" s="24" t="s">
        <v>116</v>
      </c>
      <c r="C13" s="10">
        <v>27</v>
      </c>
      <c r="D13" s="10">
        <v>43</v>
      </c>
      <c r="E13" s="15">
        <v>365</v>
      </c>
      <c r="F13" s="26">
        <v>1E-4</v>
      </c>
      <c r="G13" s="10">
        <v>1200</v>
      </c>
      <c r="H13" s="13">
        <v>1.4E-3</v>
      </c>
      <c r="I13" s="17">
        <v>10950</v>
      </c>
      <c r="J13" s="22">
        <v>27</v>
      </c>
      <c r="K13" s="18">
        <f t="shared" si="0"/>
        <v>2.5116279069767444E-3</v>
      </c>
      <c r="L13" s="2">
        <f t="shared" si="1"/>
        <v>4.6511627906976752E-4</v>
      </c>
      <c r="M13" s="2">
        <f t="shared" si="2"/>
        <v>9.3023255813953504E-4</v>
      </c>
      <c r="N13" s="2">
        <f t="shared" si="3"/>
        <v>1.3953488372093026E-3</v>
      </c>
      <c r="O13" s="2">
        <f t="shared" si="4"/>
        <v>1.8604651162790701E-3</v>
      </c>
      <c r="P13" s="2">
        <f t="shared" si="5"/>
        <v>2.3255813953488372E-3</v>
      </c>
      <c r="Q13" s="2">
        <f t="shared" si="6"/>
        <v>2.7906976744186051E-3</v>
      </c>
      <c r="R13" s="2">
        <f t="shared" si="7"/>
        <v>1.7940199335548175</v>
      </c>
      <c r="S13" s="2">
        <f t="shared" si="8"/>
        <v>0.33222591362126253</v>
      </c>
      <c r="T13" s="2">
        <f t="shared" si="9"/>
        <v>0.66445182724252505</v>
      </c>
      <c r="U13" s="2">
        <f t="shared" si="10"/>
        <v>0.99667774086378758</v>
      </c>
      <c r="V13" s="2">
        <f t="shared" si="11"/>
        <v>1.3289036544850501</v>
      </c>
      <c r="W13" s="2">
        <f t="shared" si="12"/>
        <v>1.6611295681063123</v>
      </c>
      <c r="X13" s="2">
        <f t="shared" si="13"/>
        <v>1.9933554817275752</v>
      </c>
      <c r="Y13" s="5" t="str">
        <f t="shared" si="14"/>
        <v>1</v>
      </c>
      <c r="Z13" s="5" t="str">
        <f t="shared" si="14"/>
        <v>2</v>
      </c>
      <c r="AA13" s="5" t="str">
        <f t="shared" si="14"/>
        <v>2</v>
      </c>
      <c r="AB13" s="5" t="str">
        <f t="shared" si="14"/>
        <v>2</v>
      </c>
      <c r="AC13" s="5" t="str">
        <f t="shared" si="14"/>
        <v>1</v>
      </c>
      <c r="AD13" s="5" t="str">
        <f t="shared" si="14"/>
        <v>1</v>
      </c>
      <c r="AE13" s="5" t="str">
        <f t="shared" si="14"/>
        <v>1</v>
      </c>
    </row>
    <row r="14" spans="1:1358" ht="14.4" x14ac:dyDescent="0.3">
      <c r="A14" s="14">
        <v>11</v>
      </c>
      <c r="B14" s="24" t="s">
        <v>134</v>
      </c>
      <c r="C14" s="10">
        <v>27</v>
      </c>
      <c r="D14" s="10">
        <v>43</v>
      </c>
      <c r="E14" s="15">
        <v>365</v>
      </c>
      <c r="F14" s="26">
        <v>1E-4</v>
      </c>
      <c r="G14" s="10">
        <v>1200</v>
      </c>
      <c r="H14" s="13">
        <v>1.4E-3</v>
      </c>
      <c r="I14" s="17">
        <v>10950</v>
      </c>
      <c r="J14" s="22">
        <v>27</v>
      </c>
      <c r="K14" s="18">
        <f t="shared" si="0"/>
        <v>2.5116279069767444E-3</v>
      </c>
      <c r="L14" s="2">
        <f t="shared" si="1"/>
        <v>4.6511627906976752E-4</v>
      </c>
      <c r="M14" s="2">
        <f t="shared" si="2"/>
        <v>9.3023255813953504E-4</v>
      </c>
      <c r="N14" s="2">
        <f t="shared" si="3"/>
        <v>1.3953488372093026E-3</v>
      </c>
      <c r="O14" s="2">
        <f t="shared" si="4"/>
        <v>1.8604651162790701E-3</v>
      </c>
      <c r="P14" s="2">
        <f t="shared" si="5"/>
        <v>2.3255813953488372E-3</v>
      </c>
      <c r="Q14" s="2">
        <f t="shared" si="6"/>
        <v>2.7906976744186051E-3</v>
      </c>
      <c r="R14" s="2">
        <f t="shared" si="7"/>
        <v>1.7940199335548175</v>
      </c>
      <c r="S14" s="2">
        <f t="shared" si="8"/>
        <v>0.33222591362126253</v>
      </c>
      <c r="T14" s="2">
        <f t="shared" si="9"/>
        <v>0.66445182724252505</v>
      </c>
      <c r="U14" s="2">
        <f t="shared" si="10"/>
        <v>0.99667774086378758</v>
      </c>
      <c r="V14" s="2">
        <f t="shared" si="11"/>
        <v>1.3289036544850501</v>
      </c>
      <c r="W14" s="2">
        <f t="shared" si="12"/>
        <v>1.6611295681063123</v>
      </c>
      <c r="X14" s="2">
        <f t="shared" si="13"/>
        <v>1.9933554817275752</v>
      </c>
      <c r="Y14" s="5" t="str">
        <f t="shared" si="14"/>
        <v>1</v>
      </c>
      <c r="Z14" s="5" t="str">
        <f t="shared" si="14"/>
        <v>2</v>
      </c>
      <c r="AA14" s="5" t="str">
        <f t="shared" si="14"/>
        <v>2</v>
      </c>
      <c r="AB14" s="5" t="str">
        <f t="shared" si="14"/>
        <v>2</v>
      </c>
      <c r="AC14" s="5" t="str">
        <f t="shared" si="14"/>
        <v>1</v>
      </c>
      <c r="AD14" s="5" t="str">
        <f t="shared" si="14"/>
        <v>1</v>
      </c>
      <c r="AE14" s="5" t="str">
        <f t="shared" si="14"/>
        <v>1</v>
      </c>
    </row>
    <row r="15" spans="1:1358" ht="14.4" x14ac:dyDescent="0.3">
      <c r="A15" s="14">
        <v>12</v>
      </c>
      <c r="B15" s="24" t="s">
        <v>136</v>
      </c>
      <c r="C15" s="10">
        <v>27</v>
      </c>
      <c r="D15" s="10">
        <v>43</v>
      </c>
      <c r="E15" s="15">
        <v>365</v>
      </c>
      <c r="F15" s="26">
        <v>1E-4</v>
      </c>
      <c r="G15" s="10">
        <v>1200</v>
      </c>
      <c r="H15" s="13">
        <v>1.4E-3</v>
      </c>
      <c r="I15" s="17">
        <v>10950</v>
      </c>
      <c r="J15" s="22">
        <v>27</v>
      </c>
      <c r="K15" s="18">
        <f t="shared" si="0"/>
        <v>2.5116279069767444E-3</v>
      </c>
      <c r="L15" s="2">
        <f t="shared" si="1"/>
        <v>4.6511627906976752E-4</v>
      </c>
      <c r="M15" s="2">
        <f t="shared" si="2"/>
        <v>9.3023255813953504E-4</v>
      </c>
      <c r="N15" s="2">
        <f t="shared" si="3"/>
        <v>1.3953488372093026E-3</v>
      </c>
      <c r="O15" s="2">
        <f t="shared" si="4"/>
        <v>1.8604651162790701E-3</v>
      </c>
      <c r="P15" s="2">
        <f t="shared" si="5"/>
        <v>2.3255813953488372E-3</v>
      </c>
      <c r="Q15" s="2">
        <f t="shared" si="6"/>
        <v>2.7906976744186051E-3</v>
      </c>
      <c r="R15" s="2">
        <f t="shared" si="7"/>
        <v>1.7940199335548175</v>
      </c>
      <c r="S15" s="2">
        <f t="shared" si="8"/>
        <v>0.33222591362126253</v>
      </c>
      <c r="T15" s="2">
        <f t="shared" si="9"/>
        <v>0.66445182724252505</v>
      </c>
      <c r="U15" s="2">
        <f t="shared" si="10"/>
        <v>0.99667774086378758</v>
      </c>
      <c r="V15" s="2">
        <f t="shared" si="11"/>
        <v>1.3289036544850501</v>
      </c>
      <c r="W15" s="2">
        <f t="shared" si="12"/>
        <v>1.6611295681063123</v>
      </c>
      <c r="X15" s="2">
        <f t="shared" si="13"/>
        <v>1.9933554817275752</v>
      </c>
      <c r="Y15" s="5" t="str">
        <f t="shared" si="14"/>
        <v>1</v>
      </c>
      <c r="Z15" s="5" t="str">
        <f t="shared" si="14"/>
        <v>2</v>
      </c>
      <c r="AA15" s="5" t="str">
        <f t="shared" si="14"/>
        <v>2</v>
      </c>
      <c r="AB15" s="5" t="str">
        <f t="shared" si="14"/>
        <v>2</v>
      </c>
      <c r="AC15" s="5" t="str">
        <f t="shared" si="14"/>
        <v>1</v>
      </c>
      <c r="AD15" s="5" t="str">
        <f t="shared" si="14"/>
        <v>1</v>
      </c>
      <c r="AE15" s="5" t="str">
        <f t="shared" si="14"/>
        <v>1</v>
      </c>
    </row>
    <row r="16" spans="1:1358" ht="14.4" x14ac:dyDescent="0.3">
      <c r="A16" s="14">
        <v>13</v>
      </c>
      <c r="B16" s="24" t="s">
        <v>145</v>
      </c>
      <c r="C16" s="10">
        <v>27</v>
      </c>
      <c r="D16" s="10">
        <v>65</v>
      </c>
      <c r="E16" s="15">
        <v>365</v>
      </c>
      <c r="F16" s="26">
        <v>1E-4</v>
      </c>
      <c r="G16" s="10">
        <v>1200</v>
      </c>
      <c r="H16" s="13">
        <v>1.4E-3</v>
      </c>
      <c r="I16" s="17">
        <v>10950</v>
      </c>
      <c r="J16" s="22">
        <v>27</v>
      </c>
      <c r="K16" s="18">
        <f t="shared" si="0"/>
        <v>1.6615384615384617E-3</v>
      </c>
      <c r="L16" s="2">
        <f t="shared" si="1"/>
        <v>3.0769230769230776E-4</v>
      </c>
      <c r="M16" s="2">
        <f t="shared" si="2"/>
        <v>6.1538461538461551E-4</v>
      </c>
      <c r="N16" s="2">
        <f t="shared" si="3"/>
        <v>9.2307692307692327E-4</v>
      </c>
      <c r="O16" s="2">
        <f t="shared" si="4"/>
        <v>1.230769230769231E-3</v>
      </c>
      <c r="P16" s="2">
        <f t="shared" si="5"/>
        <v>1.5384615384615385E-3</v>
      </c>
      <c r="Q16" s="2">
        <f t="shared" si="6"/>
        <v>1.8461538461538465E-3</v>
      </c>
      <c r="R16" s="2">
        <f t="shared" si="7"/>
        <v>1.186813186813187</v>
      </c>
      <c r="S16" s="2">
        <f t="shared" si="8"/>
        <v>0.21978021978021983</v>
      </c>
      <c r="T16" s="2">
        <f t="shared" si="9"/>
        <v>0.43956043956043966</v>
      </c>
      <c r="U16" s="2">
        <f t="shared" si="10"/>
        <v>0.65934065934065944</v>
      </c>
      <c r="V16" s="2">
        <f t="shared" si="11"/>
        <v>0.87912087912087933</v>
      </c>
      <c r="W16" s="2">
        <f t="shared" si="12"/>
        <v>1.098901098901099</v>
      </c>
      <c r="X16" s="2">
        <f t="shared" si="13"/>
        <v>1.3186813186813189</v>
      </c>
      <c r="Y16" s="5" t="str">
        <f t="shared" si="14"/>
        <v>1</v>
      </c>
      <c r="Z16" s="5" t="str">
        <f t="shared" si="14"/>
        <v>2</v>
      </c>
      <c r="AA16" s="5" t="str">
        <f t="shared" si="14"/>
        <v>2</v>
      </c>
      <c r="AB16" s="5" t="str">
        <f t="shared" si="14"/>
        <v>2</v>
      </c>
      <c r="AC16" s="5" t="str">
        <f t="shared" si="14"/>
        <v>2</v>
      </c>
      <c r="AD16" s="5" t="str">
        <f t="shared" si="14"/>
        <v>1</v>
      </c>
      <c r="AE16" s="5" t="str">
        <f t="shared" si="14"/>
        <v>1</v>
      </c>
    </row>
    <row r="17" spans="1:31" ht="14.4" x14ac:dyDescent="0.3">
      <c r="A17" s="14">
        <v>14</v>
      </c>
      <c r="B17" s="24" t="s">
        <v>155</v>
      </c>
      <c r="C17" s="10">
        <v>27</v>
      </c>
      <c r="D17" s="10">
        <v>43</v>
      </c>
      <c r="E17" s="15">
        <v>365</v>
      </c>
      <c r="F17" s="26">
        <v>1E-4</v>
      </c>
      <c r="G17" s="10">
        <v>1200</v>
      </c>
      <c r="H17" s="13">
        <v>1.4E-3</v>
      </c>
      <c r="I17" s="17">
        <v>10950</v>
      </c>
      <c r="J17" s="22">
        <v>27</v>
      </c>
      <c r="K17" s="18">
        <f t="shared" si="0"/>
        <v>2.5116279069767444E-3</v>
      </c>
      <c r="L17" s="2">
        <f t="shared" si="1"/>
        <v>4.6511627906976752E-4</v>
      </c>
      <c r="M17" s="2">
        <f t="shared" si="2"/>
        <v>9.3023255813953504E-4</v>
      </c>
      <c r="N17" s="2">
        <f t="shared" si="3"/>
        <v>1.3953488372093026E-3</v>
      </c>
      <c r="O17" s="2">
        <f t="shared" si="4"/>
        <v>1.8604651162790701E-3</v>
      </c>
      <c r="P17" s="2">
        <f t="shared" si="5"/>
        <v>2.3255813953488372E-3</v>
      </c>
      <c r="Q17" s="2">
        <f t="shared" si="6"/>
        <v>2.7906976744186051E-3</v>
      </c>
      <c r="R17" s="2">
        <f t="shared" si="7"/>
        <v>1.7940199335548175</v>
      </c>
      <c r="S17" s="2">
        <f t="shared" si="8"/>
        <v>0.33222591362126253</v>
      </c>
      <c r="T17" s="2">
        <f t="shared" si="9"/>
        <v>0.66445182724252505</v>
      </c>
      <c r="U17" s="2">
        <f t="shared" si="10"/>
        <v>0.99667774086378758</v>
      </c>
      <c r="V17" s="2">
        <f t="shared" si="11"/>
        <v>1.3289036544850501</v>
      </c>
      <c r="W17" s="2">
        <f t="shared" si="12"/>
        <v>1.6611295681063123</v>
      </c>
      <c r="X17" s="2">
        <f t="shared" si="13"/>
        <v>1.9933554817275752</v>
      </c>
      <c r="Y17" s="5" t="str">
        <f t="shared" si="14"/>
        <v>1</v>
      </c>
      <c r="Z17" s="5" t="str">
        <f t="shared" si="14"/>
        <v>2</v>
      </c>
      <c r="AA17" s="5" t="str">
        <f t="shared" si="14"/>
        <v>2</v>
      </c>
      <c r="AB17" s="5" t="str">
        <f t="shared" si="14"/>
        <v>2</v>
      </c>
      <c r="AC17" s="5" t="str">
        <f t="shared" si="14"/>
        <v>1</v>
      </c>
      <c r="AD17" s="5" t="str">
        <f t="shared" si="14"/>
        <v>1</v>
      </c>
      <c r="AE17" s="5" t="str">
        <f t="shared" si="14"/>
        <v>1</v>
      </c>
    </row>
    <row r="18" spans="1:31" ht="14.4" x14ac:dyDescent="0.3">
      <c r="A18" s="14">
        <v>15</v>
      </c>
      <c r="B18" s="24" t="s">
        <v>105</v>
      </c>
      <c r="C18" s="10">
        <v>28</v>
      </c>
      <c r="D18" s="10">
        <v>70</v>
      </c>
      <c r="E18" s="15">
        <v>365</v>
      </c>
      <c r="F18" s="26">
        <v>1E-4</v>
      </c>
      <c r="G18" s="10">
        <v>900</v>
      </c>
      <c r="H18" s="13">
        <v>1.4E-3</v>
      </c>
      <c r="I18" s="17">
        <v>10950</v>
      </c>
      <c r="J18" s="22">
        <v>28</v>
      </c>
      <c r="K18" s="18">
        <f t="shared" si="0"/>
        <v>1.2000000000000001E-3</v>
      </c>
      <c r="L18" s="2">
        <f t="shared" si="1"/>
        <v>2.1428571428571427E-4</v>
      </c>
      <c r="M18" s="2">
        <f t="shared" si="2"/>
        <v>4.2857142857142855E-4</v>
      </c>
      <c r="N18" s="2">
        <f t="shared" si="3"/>
        <v>6.4285714285714282E-4</v>
      </c>
      <c r="O18" s="2">
        <f t="shared" si="4"/>
        <v>8.571428571428571E-4</v>
      </c>
      <c r="P18" s="2">
        <f t="shared" si="5"/>
        <v>1.0714285714285715E-3</v>
      </c>
      <c r="Q18" s="2">
        <f t="shared" si="6"/>
        <v>1.2857142857142856E-3</v>
      </c>
      <c r="R18" s="2">
        <f t="shared" si="7"/>
        <v>0.85714285714285721</v>
      </c>
      <c r="S18" s="2">
        <f t="shared" si="8"/>
        <v>0.15306122448979592</v>
      </c>
      <c r="T18" s="2">
        <f t="shared" si="9"/>
        <v>0.30612244897959184</v>
      </c>
      <c r="U18" s="2">
        <f t="shared" si="10"/>
        <v>0.45918367346938771</v>
      </c>
      <c r="V18" s="2">
        <f t="shared" si="11"/>
        <v>0.61224489795918369</v>
      </c>
      <c r="W18" s="2">
        <f t="shared" si="12"/>
        <v>0.76530612244897966</v>
      </c>
      <c r="X18" s="2">
        <f t="shared" si="13"/>
        <v>0.91836734693877542</v>
      </c>
      <c r="Y18" s="5" t="str">
        <f t="shared" si="14"/>
        <v>2</v>
      </c>
      <c r="Z18" s="5" t="str">
        <f t="shared" si="14"/>
        <v>2</v>
      </c>
      <c r="AA18" s="5" t="str">
        <f t="shared" si="14"/>
        <v>2</v>
      </c>
      <c r="AB18" s="5" t="str">
        <f t="shared" si="14"/>
        <v>2</v>
      </c>
      <c r="AC18" s="5" t="str">
        <f t="shared" si="14"/>
        <v>2</v>
      </c>
      <c r="AD18" s="5" t="str">
        <f t="shared" si="14"/>
        <v>2</v>
      </c>
      <c r="AE18" s="5" t="str">
        <f t="shared" si="14"/>
        <v>2</v>
      </c>
    </row>
    <row r="19" spans="1:31" ht="14.4" x14ac:dyDescent="0.3">
      <c r="A19" s="14">
        <v>16</v>
      </c>
      <c r="B19" s="24" t="s">
        <v>149</v>
      </c>
      <c r="C19" s="10">
        <v>28</v>
      </c>
      <c r="D19" s="10">
        <v>70</v>
      </c>
      <c r="E19" s="15">
        <v>365</v>
      </c>
      <c r="F19" s="26">
        <v>1E-4</v>
      </c>
      <c r="G19" s="10">
        <v>900</v>
      </c>
      <c r="H19" s="13">
        <v>1.4E-3</v>
      </c>
      <c r="I19" s="17">
        <v>10950</v>
      </c>
      <c r="J19" s="22">
        <v>28</v>
      </c>
      <c r="K19" s="18">
        <f t="shared" si="0"/>
        <v>1.2000000000000001E-3</v>
      </c>
      <c r="L19" s="2">
        <f t="shared" si="1"/>
        <v>2.1428571428571427E-4</v>
      </c>
      <c r="M19" s="2">
        <f t="shared" si="2"/>
        <v>4.2857142857142855E-4</v>
      </c>
      <c r="N19" s="2">
        <f t="shared" si="3"/>
        <v>6.4285714285714282E-4</v>
      </c>
      <c r="O19" s="2">
        <f t="shared" si="4"/>
        <v>8.571428571428571E-4</v>
      </c>
      <c r="P19" s="2">
        <f t="shared" si="5"/>
        <v>1.0714285714285715E-3</v>
      </c>
      <c r="Q19" s="2">
        <f t="shared" si="6"/>
        <v>1.2857142857142856E-3</v>
      </c>
      <c r="R19" s="2">
        <f t="shared" si="7"/>
        <v>0.85714285714285721</v>
      </c>
      <c r="S19" s="2">
        <f t="shared" si="8"/>
        <v>0.15306122448979592</v>
      </c>
      <c r="T19" s="2">
        <f t="shared" si="9"/>
        <v>0.30612244897959184</v>
      </c>
      <c r="U19" s="2">
        <f t="shared" si="10"/>
        <v>0.45918367346938771</v>
      </c>
      <c r="V19" s="2">
        <f t="shared" si="11"/>
        <v>0.61224489795918369</v>
      </c>
      <c r="W19" s="2">
        <f t="shared" si="12"/>
        <v>0.76530612244897966</v>
      </c>
      <c r="X19" s="2">
        <f t="shared" si="13"/>
        <v>0.91836734693877542</v>
      </c>
      <c r="Y19" s="5" t="str">
        <f t="shared" si="14"/>
        <v>2</v>
      </c>
      <c r="Z19" s="5" t="str">
        <f t="shared" si="14"/>
        <v>2</v>
      </c>
      <c r="AA19" s="5" t="str">
        <f t="shared" si="14"/>
        <v>2</v>
      </c>
      <c r="AB19" s="5" t="str">
        <f t="shared" si="14"/>
        <v>2</v>
      </c>
      <c r="AC19" s="5" t="str">
        <f t="shared" si="14"/>
        <v>2</v>
      </c>
      <c r="AD19" s="5" t="str">
        <f t="shared" si="14"/>
        <v>2</v>
      </c>
      <c r="AE19" s="5" t="str">
        <f t="shared" si="14"/>
        <v>2</v>
      </c>
    </row>
    <row r="20" spans="1:31" s="35" customFormat="1" ht="14.4" x14ac:dyDescent="0.3">
      <c r="A20" s="36">
        <v>17</v>
      </c>
      <c r="B20" s="28" t="s">
        <v>110</v>
      </c>
      <c r="C20" s="29">
        <v>29</v>
      </c>
      <c r="D20" s="29">
        <v>69</v>
      </c>
      <c r="E20" s="37">
        <v>365</v>
      </c>
      <c r="F20" s="26">
        <v>1E-4</v>
      </c>
      <c r="G20" s="29">
        <v>1200</v>
      </c>
      <c r="H20" s="39">
        <v>1.4E-3</v>
      </c>
      <c r="I20" s="40">
        <v>10950</v>
      </c>
      <c r="J20" s="26">
        <v>30</v>
      </c>
      <c r="K20" s="32">
        <f t="shared" si="0"/>
        <v>1.739130434782609E-3</v>
      </c>
      <c r="L20" s="33">
        <f t="shared" si="1"/>
        <v>2.8985507246376816E-4</v>
      </c>
      <c r="M20" s="33">
        <f t="shared" si="2"/>
        <v>5.7971014492753633E-4</v>
      </c>
      <c r="N20" s="33">
        <f t="shared" si="3"/>
        <v>8.6956521739130449E-4</v>
      </c>
      <c r="O20" s="33">
        <f t="shared" si="4"/>
        <v>1.1594202898550727E-3</v>
      </c>
      <c r="P20" s="33">
        <f t="shared" si="5"/>
        <v>1.4492753623188406E-3</v>
      </c>
      <c r="Q20" s="33">
        <f t="shared" si="6"/>
        <v>1.739130434782609E-3</v>
      </c>
      <c r="R20" s="33">
        <f t="shared" si="7"/>
        <v>1.2422360248447206</v>
      </c>
      <c r="S20" s="33">
        <f t="shared" si="8"/>
        <v>0.20703933747412012</v>
      </c>
      <c r="T20" s="33">
        <f t="shared" si="9"/>
        <v>0.41407867494824024</v>
      </c>
      <c r="U20" s="33">
        <f t="shared" si="10"/>
        <v>0.62111801242236031</v>
      </c>
      <c r="V20" s="33">
        <f t="shared" si="11"/>
        <v>0.82815734989648049</v>
      </c>
      <c r="W20" s="33">
        <f t="shared" si="12"/>
        <v>1.0351966873706004</v>
      </c>
      <c r="X20" s="33">
        <f t="shared" si="13"/>
        <v>1.2422360248447206</v>
      </c>
      <c r="Y20" s="34" t="str">
        <f t="shared" si="14"/>
        <v>1</v>
      </c>
      <c r="Z20" s="34" t="str">
        <f t="shared" si="14"/>
        <v>2</v>
      </c>
      <c r="AA20" s="34" t="str">
        <f t="shared" si="14"/>
        <v>2</v>
      </c>
      <c r="AB20" s="34" t="str">
        <f t="shared" si="14"/>
        <v>2</v>
      </c>
      <c r="AC20" s="34" t="str">
        <f t="shared" si="14"/>
        <v>2</v>
      </c>
      <c r="AD20" s="34" t="str">
        <f t="shared" si="14"/>
        <v>1</v>
      </c>
      <c r="AE20" s="34" t="str">
        <f t="shared" si="14"/>
        <v>1</v>
      </c>
    </row>
    <row r="21" spans="1:31" s="35" customFormat="1" ht="14.4" x14ac:dyDescent="0.3">
      <c r="A21" s="36">
        <v>18</v>
      </c>
      <c r="B21" s="28" t="s">
        <v>197</v>
      </c>
      <c r="C21" s="29">
        <v>29</v>
      </c>
      <c r="D21" s="29">
        <v>69</v>
      </c>
      <c r="E21" s="37">
        <v>365</v>
      </c>
      <c r="F21" s="26">
        <v>1E-4</v>
      </c>
      <c r="G21" s="29">
        <v>1200</v>
      </c>
      <c r="H21" s="39">
        <v>1.4E-3</v>
      </c>
      <c r="I21" s="40">
        <v>10950</v>
      </c>
      <c r="J21" s="26">
        <v>30</v>
      </c>
      <c r="K21" s="32">
        <f t="shared" si="0"/>
        <v>1.739130434782609E-3</v>
      </c>
      <c r="L21" s="33">
        <f t="shared" si="1"/>
        <v>2.8985507246376816E-4</v>
      </c>
      <c r="M21" s="33">
        <f t="shared" si="2"/>
        <v>5.7971014492753633E-4</v>
      </c>
      <c r="N21" s="33">
        <f t="shared" si="3"/>
        <v>8.6956521739130449E-4</v>
      </c>
      <c r="O21" s="33">
        <f t="shared" si="4"/>
        <v>1.1594202898550727E-3</v>
      </c>
      <c r="P21" s="33">
        <f t="shared" si="5"/>
        <v>1.4492753623188406E-3</v>
      </c>
      <c r="Q21" s="33">
        <f t="shared" si="6"/>
        <v>1.739130434782609E-3</v>
      </c>
      <c r="R21" s="33">
        <f t="shared" si="7"/>
        <v>1.2422360248447206</v>
      </c>
      <c r="S21" s="33">
        <f t="shared" si="8"/>
        <v>0.20703933747412012</v>
      </c>
      <c r="T21" s="33">
        <f t="shared" si="9"/>
        <v>0.41407867494824024</v>
      </c>
      <c r="U21" s="33">
        <f t="shared" si="10"/>
        <v>0.62111801242236031</v>
      </c>
      <c r="V21" s="33">
        <f t="shared" si="11"/>
        <v>0.82815734989648049</v>
      </c>
      <c r="W21" s="33">
        <f t="shared" si="12"/>
        <v>1.0351966873706004</v>
      </c>
      <c r="X21" s="33">
        <f t="shared" si="13"/>
        <v>1.2422360248447206</v>
      </c>
      <c r="Y21" s="34" t="str">
        <f t="shared" si="14"/>
        <v>1</v>
      </c>
      <c r="Z21" s="34" t="str">
        <f t="shared" si="14"/>
        <v>2</v>
      </c>
      <c r="AA21" s="34" t="str">
        <f t="shared" si="14"/>
        <v>2</v>
      </c>
      <c r="AB21" s="34" t="str">
        <f t="shared" si="14"/>
        <v>2</v>
      </c>
      <c r="AC21" s="34" t="str">
        <f t="shared" si="14"/>
        <v>2</v>
      </c>
      <c r="AD21" s="34" t="str">
        <f t="shared" si="14"/>
        <v>1</v>
      </c>
      <c r="AE21" s="34" t="str">
        <f t="shared" si="14"/>
        <v>1</v>
      </c>
    </row>
    <row r="22" spans="1:31" ht="14.4" x14ac:dyDescent="0.3">
      <c r="A22" s="14">
        <v>19</v>
      </c>
      <c r="B22" s="24" t="s">
        <v>113</v>
      </c>
      <c r="C22" s="10">
        <v>30</v>
      </c>
      <c r="D22" s="10">
        <v>58</v>
      </c>
      <c r="E22" s="15">
        <v>365</v>
      </c>
      <c r="F22" s="26">
        <v>1E-4</v>
      </c>
      <c r="G22" s="10">
        <v>1200</v>
      </c>
      <c r="H22" s="13">
        <v>1.4E-3</v>
      </c>
      <c r="I22" s="17">
        <v>10950</v>
      </c>
      <c r="J22" s="22">
        <v>30</v>
      </c>
      <c r="K22" s="18">
        <f t="shared" si="0"/>
        <v>2.0689655172413798E-3</v>
      </c>
      <c r="L22" s="2">
        <f t="shared" si="1"/>
        <v>3.4482758620689658E-4</v>
      </c>
      <c r="M22" s="2">
        <f t="shared" si="2"/>
        <v>6.8965517241379316E-4</v>
      </c>
      <c r="N22" s="2">
        <f t="shared" si="3"/>
        <v>1.0344827586206899E-3</v>
      </c>
      <c r="O22" s="2">
        <f t="shared" si="4"/>
        <v>1.3793103448275863E-3</v>
      </c>
      <c r="P22" s="2">
        <f t="shared" si="5"/>
        <v>1.7241379310344827E-3</v>
      </c>
      <c r="Q22" s="2">
        <f t="shared" si="6"/>
        <v>2.0689655172413798E-3</v>
      </c>
      <c r="R22" s="2">
        <f t="shared" si="7"/>
        <v>1.4778325123152714</v>
      </c>
      <c r="S22" s="2">
        <f t="shared" si="8"/>
        <v>0.24630541871921185</v>
      </c>
      <c r="T22" s="2">
        <f t="shared" si="9"/>
        <v>0.49261083743842371</v>
      </c>
      <c r="U22" s="2">
        <f t="shared" si="10"/>
        <v>0.73891625615763568</v>
      </c>
      <c r="V22" s="2">
        <f t="shared" si="11"/>
        <v>0.98522167487684742</v>
      </c>
      <c r="W22" s="2">
        <f t="shared" si="12"/>
        <v>1.2315270935960592</v>
      </c>
      <c r="X22" s="2">
        <f t="shared" si="13"/>
        <v>1.4778325123152714</v>
      </c>
      <c r="Y22" s="5" t="str">
        <f t="shared" si="14"/>
        <v>1</v>
      </c>
      <c r="Z22" s="5" t="str">
        <f t="shared" si="14"/>
        <v>2</v>
      </c>
      <c r="AA22" s="5" t="str">
        <f t="shared" si="14"/>
        <v>2</v>
      </c>
      <c r="AB22" s="5" t="str">
        <f t="shared" si="14"/>
        <v>2</v>
      </c>
      <c r="AC22" s="5" t="str">
        <f t="shared" si="14"/>
        <v>2</v>
      </c>
      <c r="AD22" s="5" t="str">
        <f t="shared" si="14"/>
        <v>1</v>
      </c>
      <c r="AE22" s="5" t="str">
        <f t="shared" si="14"/>
        <v>1</v>
      </c>
    </row>
    <row r="23" spans="1:31" ht="14.4" x14ac:dyDescent="0.3">
      <c r="A23" s="14">
        <v>20</v>
      </c>
      <c r="B23" s="24" t="s">
        <v>157</v>
      </c>
      <c r="C23" s="10">
        <v>30</v>
      </c>
      <c r="D23" s="10">
        <v>62</v>
      </c>
      <c r="E23" s="15">
        <v>365</v>
      </c>
      <c r="F23" s="26">
        <v>1E-4</v>
      </c>
      <c r="G23" s="10">
        <v>900</v>
      </c>
      <c r="H23" s="13">
        <v>1.4E-3</v>
      </c>
      <c r="I23" s="17">
        <v>10950</v>
      </c>
      <c r="J23" s="22">
        <v>30</v>
      </c>
      <c r="K23" s="18">
        <f t="shared" si="0"/>
        <v>1.4516129032258066E-3</v>
      </c>
      <c r="L23" s="2">
        <f t="shared" si="1"/>
        <v>2.4193548387096774E-4</v>
      </c>
      <c r="M23" s="2">
        <f t="shared" si="2"/>
        <v>4.8387096774193548E-4</v>
      </c>
      <c r="N23" s="2">
        <f t="shared" si="3"/>
        <v>7.2580645161290328E-4</v>
      </c>
      <c r="O23" s="2">
        <f t="shared" si="4"/>
        <v>9.6774193548387097E-4</v>
      </c>
      <c r="P23" s="2">
        <f t="shared" si="5"/>
        <v>1.2096774193548388E-3</v>
      </c>
      <c r="Q23" s="2">
        <f t="shared" si="6"/>
        <v>1.4516129032258066E-3</v>
      </c>
      <c r="R23" s="2">
        <f t="shared" si="7"/>
        <v>1.0368663594470047</v>
      </c>
      <c r="S23" s="2">
        <f t="shared" si="8"/>
        <v>0.1728110599078341</v>
      </c>
      <c r="T23" s="2">
        <f t="shared" si="9"/>
        <v>0.34562211981566821</v>
      </c>
      <c r="U23" s="2">
        <f t="shared" si="10"/>
        <v>0.51843317972350234</v>
      </c>
      <c r="V23" s="2">
        <f t="shared" si="11"/>
        <v>0.69124423963133641</v>
      </c>
      <c r="W23" s="2">
        <f t="shared" si="12"/>
        <v>0.8640552995391706</v>
      </c>
      <c r="X23" s="2">
        <f t="shared" si="13"/>
        <v>1.0368663594470047</v>
      </c>
      <c r="Y23" s="5" t="str">
        <f t="shared" si="14"/>
        <v>1</v>
      </c>
      <c r="Z23" s="5" t="str">
        <f t="shared" si="14"/>
        <v>2</v>
      </c>
      <c r="AA23" s="5" t="str">
        <f t="shared" si="14"/>
        <v>2</v>
      </c>
      <c r="AB23" s="5" t="str">
        <f t="shared" si="14"/>
        <v>2</v>
      </c>
      <c r="AC23" s="5" t="str">
        <f t="shared" si="14"/>
        <v>2</v>
      </c>
      <c r="AD23" s="5" t="str">
        <f t="shared" si="14"/>
        <v>2</v>
      </c>
      <c r="AE23" s="5" t="str">
        <f t="shared" si="14"/>
        <v>1</v>
      </c>
    </row>
    <row r="24" spans="1:31" ht="14.4" x14ac:dyDescent="0.3">
      <c r="A24" s="14">
        <v>21</v>
      </c>
      <c r="B24" s="24" t="s">
        <v>158</v>
      </c>
      <c r="C24" s="10">
        <v>30</v>
      </c>
      <c r="D24" s="10">
        <v>70</v>
      </c>
      <c r="E24" s="15">
        <v>365</v>
      </c>
      <c r="F24" s="26">
        <v>1E-4</v>
      </c>
      <c r="G24" s="10">
        <v>900</v>
      </c>
      <c r="H24" s="13">
        <v>1.4E-3</v>
      </c>
      <c r="I24" s="17">
        <v>10950</v>
      </c>
      <c r="J24" s="22">
        <v>15</v>
      </c>
      <c r="K24" s="18">
        <f t="shared" si="0"/>
        <v>6.4285714285714282E-4</v>
      </c>
      <c r="L24" s="2">
        <f t="shared" si="1"/>
        <v>2.1428571428571427E-4</v>
      </c>
      <c r="M24" s="2">
        <f t="shared" si="2"/>
        <v>4.2857142857142855E-4</v>
      </c>
      <c r="N24" s="2">
        <f t="shared" si="3"/>
        <v>6.4285714285714282E-4</v>
      </c>
      <c r="O24" s="2">
        <f t="shared" si="4"/>
        <v>8.571428571428571E-4</v>
      </c>
      <c r="P24" s="2">
        <f t="shared" si="5"/>
        <v>1.0714285714285715E-3</v>
      </c>
      <c r="Q24" s="2">
        <f t="shared" si="6"/>
        <v>1.2857142857142856E-3</v>
      </c>
      <c r="R24" s="2">
        <f t="shared" si="7"/>
        <v>0.45918367346938771</v>
      </c>
      <c r="S24" s="2">
        <f t="shared" si="8"/>
        <v>0.15306122448979592</v>
      </c>
      <c r="T24" s="2">
        <f t="shared" si="9"/>
        <v>0.30612244897959184</v>
      </c>
      <c r="U24" s="2">
        <f t="shared" si="10"/>
        <v>0.45918367346938771</v>
      </c>
      <c r="V24" s="2">
        <f t="shared" si="11"/>
        <v>0.61224489795918369</v>
      </c>
      <c r="W24" s="2">
        <f t="shared" si="12"/>
        <v>0.76530612244897966</v>
      </c>
      <c r="X24" s="2">
        <f t="shared" si="13"/>
        <v>0.91836734693877542</v>
      </c>
      <c r="Y24" s="5" t="str">
        <f t="shared" si="14"/>
        <v>2</v>
      </c>
      <c r="Z24" s="5" t="str">
        <f t="shared" si="14"/>
        <v>2</v>
      </c>
      <c r="AA24" s="5" t="str">
        <f t="shared" si="14"/>
        <v>2</v>
      </c>
      <c r="AB24" s="5" t="str">
        <f t="shared" si="14"/>
        <v>2</v>
      </c>
      <c r="AC24" s="5" t="str">
        <f t="shared" si="14"/>
        <v>2</v>
      </c>
      <c r="AD24" s="5" t="str">
        <f t="shared" si="14"/>
        <v>2</v>
      </c>
      <c r="AE24" s="5" t="str">
        <f t="shared" si="14"/>
        <v>2</v>
      </c>
    </row>
    <row r="25" spans="1:31" ht="14.4" x14ac:dyDescent="0.3">
      <c r="A25" s="14">
        <v>22</v>
      </c>
      <c r="B25" s="24" t="s">
        <v>113</v>
      </c>
      <c r="C25" s="10">
        <v>30</v>
      </c>
      <c r="D25" s="10">
        <v>58</v>
      </c>
      <c r="E25" s="15">
        <v>365</v>
      </c>
      <c r="F25" s="26">
        <v>1E-4</v>
      </c>
      <c r="G25" s="10">
        <v>1200</v>
      </c>
      <c r="H25" s="13">
        <v>1.4E-3</v>
      </c>
      <c r="I25" s="17">
        <v>10950</v>
      </c>
      <c r="J25" s="22">
        <v>30</v>
      </c>
      <c r="K25" s="18">
        <f t="shared" si="0"/>
        <v>2.0689655172413798E-3</v>
      </c>
      <c r="L25" s="2">
        <f t="shared" si="1"/>
        <v>3.4482758620689658E-4</v>
      </c>
      <c r="M25" s="2">
        <f t="shared" si="2"/>
        <v>6.8965517241379316E-4</v>
      </c>
      <c r="N25" s="2">
        <f t="shared" si="3"/>
        <v>1.0344827586206899E-3</v>
      </c>
      <c r="O25" s="2">
        <f t="shared" si="4"/>
        <v>1.3793103448275863E-3</v>
      </c>
      <c r="P25" s="2">
        <f t="shared" si="5"/>
        <v>1.7241379310344827E-3</v>
      </c>
      <c r="Q25" s="2">
        <f t="shared" si="6"/>
        <v>2.0689655172413798E-3</v>
      </c>
      <c r="R25" s="2">
        <f t="shared" si="7"/>
        <v>1.4778325123152714</v>
      </c>
      <c r="S25" s="2">
        <f t="shared" si="8"/>
        <v>0.24630541871921185</v>
      </c>
      <c r="T25" s="2">
        <f t="shared" si="9"/>
        <v>0.49261083743842371</v>
      </c>
      <c r="U25" s="2">
        <f t="shared" si="10"/>
        <v>0.73891625615763568</v>
      </c>
      <c r="V25" s="2">
        <f t="shared" si="11"/>
        <v>0.98522167487684742</v>
      </c>
      <c r="W25" s="2">
        <f t="shared" si="12"/>
        <v>1.2315270935960592</v>
      </c>
      <c r="X25" s="2">
        <f t="shared" si="13"/>
        <v>1.4778325123152714</v>
      </c>
      <c r="Y25" s="5" t="str">
        <f t="shared" si="14"/>
        <v>1</v>
      </c>
      <c r="Z25" s="5" t="str">
        <f t="shared" si="14"/>
        <v>2</v>
      </c>
      <c r="AA25" s="5" t="str">
        <f t="shared" si="14"/>
        <v>2</v>
      </c>
      <c r="AB25" s="5" t="str">
        <f t="shared" si="14"/>
        <v>2</v>
      </c>
      <c r="AC25" s="5" t="str">
        <f t="shared" si="14"/>
        <v>2</v>
      </c>
      <c r="AD25" s="5" t="str">
        <f t="shared" si="14"/>
        <v>1</v>
      </c>
      <c r="AE25" s="5" t="str">
        <f t="shared" si="14"/>
        <v>1</v>
      </c>
    </row>
    <row r="26" spans="1:31" ht="14.4" x14ac:dyDescent="0.3">
      <c r="A26" s="14">
        <v>23</v>
      </c>
      <c r="B26" s="24" t="s">
        <v>129</v>
      </c>
      <c r="C26" s="10">
        <v>30</v>
      </c>
      <c r="D26" s="10">
        <v>70</v>
      </c>
      <c r="E26" s="15">
        <v>365</v>
      </c>
      <c r="F26" s="26">
        <v>1E-4</v>
      </c>
      <c r="G26" s="10">
        <v>900</v>
      </c>
      <c r="H26" s="13">
        <v>1.4E-3</v>
      </c>
      <c r="I26" s="17">
        <v>10950</v>
      </c>
      <c r="J26" s="22">
        <v>15</v>
      </c>
      <c r="K26" s="18">
        <f t="shared" si="0"/>
        <v>6.4285714285714282E-4</v>
      </c>
      <c r="L26" s="2">
        <f t="shared" si="1"/>
        <v>2.1428571428571427E-4</v>
      </c>
      <c r="M26" s="2">
        <f t="shared" si="2"/>
        <v>4.2857142857142855E-4</v>
      </c>
      <c r="N26" s="2">
        <f t="shared" si="3"/>
        <v>6.4285714285714282E-4</v>
      </c>
      <c r="O26" s="2">
        <f t="shared" si="4"/>
        <v>8.571428571428571E-4</v>
      </c>
      <c r="P26" s="2">
        <f t="shared" si="5"/>
        <v>1.0714285714285715E-3</v>
      </c>
      <c r="Q26" s="2">
        <f t="shared" si="6"/>
        <v>1.2857142857142856E-3</v>
      </c>
      <c r="R26" s="2">
        <f t="shared" si="7"/>
        <v>0.45918367346938771</v>
      </c>
      <c r="S26" s="2">
        <f t="shared" si="8"/>
        <v>0.15306122448979592</v>
      </c>
      <c r="T26" s="2">
        <f t="shared" si="9"/>
        <v>0.30612244897959184</v>
      </c>
      <c r="U26" s="2">
        <f t="shared" si="10"/>
        <v>0.45918367346938771</v>
      </c>
      <c r="V26" s="2">
        <f t="shared" si="11"/>
        <v>0.61224489795918369</v>
      </c>
      <c r="W26" s="2">
        <f t="shared" si="12"/>
        <v>0.76530612244897966</v>
      </c>
      <c r="X26" s="2">
        <f t="shared" si="13"/>
        <v>0.91836734693877542</v>
      </c>
      <c r="Y26" s="5" t="str">
        <f t="shared" si="14"/>
        <v>2</v>
      </c>
      <c r="Z26" s="5" t="str">
        <f t="shared" si="14"/>
        <v>2</v>
      </c>
      <c r="AA26" s="5" t="str">
        <f t="shared" si="14"/>
        <v>2</v>
      </c>
      <c r="AB26" s="5" t="str">
        <f t="shared" si="14"/>
        <v>2</v>
      </c>
      <c r="AC26" s="5" t="str">
        <f t="shared" si="14"/>
        <v>2</v>
      </c>
      <c r="AD26" s="5" t="str">
        <f t="shared" si="14"/>
        <v>2</v>
      </c>
      <c r="AE26" s="5" t="str">
        <f t="shared" si="14"/>
        <v>2</v>
      </c>
    </row>
    <row r="27" spans="1:31" ht="14.4" x14ac:dyDescent="0.3">
      <c r="A27" s="14">
        <v>24</v>
      </c>
      <c r="B27" s="24" t="s">
        <v>154</v>
      </c>
      <c r="C27" s="10">
        <v>30</v>
      </c>
      <c r="D27" s="10">
        <v>58</v>
      </c>
      <c r="E27" s="15">
        <v>365</v>
      </c>
      <c r="F27" s="26">
        <v>1E-4</v>
      </c>
      <c r="G27" s="10">
        <v>1200</v>
      </c>
      <c r="H27" s="13">
        <v>1.4E-3</v>
      </c>
      <c r="I27" s="17">
        <v>10950</v>
      </c>
      <c r="J27" s="22">
        <v>30</v>
      </c>
      <c r="K27" s="18">
        <f t="shared" si="0"/>
        <v>2.0689655172413798E-3</v>
      </c>
      <c r="L27" s="2">
        <f t="shared" si="1"/>
        <v>3.4482758620689658E-4</v>
      </c>
      <c r="M27" s="2">
        <f t="shared" si="2"/>
        <v>6.8965517241379316E-4</v>
      </c>
      <c r="N27" s="2">
        <f t="shared" si="3"/>
        <v>1.0344827586206899E-3</v>
      </c>
      <c r="O27" s="2">
        <f t="shared" si="4"/>
        <v>1.3793103448275863E-3</v>
      </c>
      <c r="P27" s="2">
        <f t="shared" si="5"/>
        <v>1.7241379310344827E-3</v>
      </c>
      <c r="Q27" s="2">
        <f t="shared" si="6"/>
        <v>2.0689655172413798E-3</v>
      </c>
      <c r="R27" s="2">
        <f t="shared" si="7"/>
        <v>1.4778325123152714</v>
      </c>
      <c r="S27" s="2">
        <f t="shared" si="8"/>
        <v>0.24630541871921185</v>
      </c>
      <c r="T27" s="2">
        <f t="shared" si="9"/>
        <v>0.49261083743842371</v>
      </c>
      <c r="U27" s="2">
        <f t="shared" si="10"/>
        <v>0.73891625615763568</v>
      </c>
      <c r="V27" s="2">
        <f t="shared" si="11"/>
        <v>0.98522167487684742</v>
      </c>
      <c r="W27" s="2">
        <f t="shared" si="12"/>
        <v>1.2315270935960592</v>
      </c>
      <c r="X27" s="2">
        <f t="shared" si="13"/>
        <v>1.4778325123152714</v>
      </c>
      <c r="Y27" s="5" t="str">
        <f t="shared" si="14"/>
        <v>1</v>
      </c>
      <c r="Z27" s="5" t="str">
        <f t="shared" si="14"/>
        <v>2</v>
      </c>
      <c r="AA27" s="5" t="str">
        <f t="shared" si="14"/>
        <v>2</v>
      </c>
      <c r="AB27" s="5" t="str">
        <f t="shared" si="14"/>
        <v>2</v>
      </c>
      <c r="AC27" s="5" t="str">
        <f t="shared" si="14"/>
        <v>2</v>
      </c>
      <c r="AD27" s="5" t="str">
        <f t="shared" si="14"/>
        <v>1</v>
      </c>
      <c r="AE27" s="5" t="str">
        <f t="shared" si="14"/>
        <v>1</v>
      </c>
    </row>
    <row r="28" spans="1:31" ht="14.4" x14ac:dyDescent="0.3">
      <c r="A28" s="14">
        <v>25</v>
      </c>
      <c r="B28" s="24" t="s">
        <v>138</v>
      </c>
      <c r="C28" s="10">
        <v>32</v>
      </c>
      <c r="D28" s="10">
        <v>40</v>
      </c>
      <c r="E28" s="15">
        <v>365</v>
      </c>
      <c r="F28" s="26">
        <v>1E-4</v>
      </c>
      <c r="G28" s="10">
        <v>900</v>
      </c>
      <c r="H28" s="13">
        <v>1.4E-3</v>
      </c>
      <c r="I28" s="17">
        <v>10950</v>
      </c>
      <c r="J28" s="22">
        <v>22</v>
      </c>
      <c r="K28" s="18">
        <f t="shared" si="0"/>
        <v>1.6500000000000002E-3</v>
      </c>
      <c r="L28" s="2">
        <f t="shared" si="1"/>
        <v>3.7500000000000001E-4</v>
      </c>
      <c r="M28" s="2">
        <f t="shared" si="2"/>
        <v>7.5000000000000002E-4</v>
      </c>
      <c r="N28" s="2">
        <f t="shared" si="3"/>
        <v>1.1249999999999999E-3</v>
      </c>
      <c r="O28" s="2">
        <f t="shared" si="4"/>
        <v>1.5E-3</v>
      </c>
      <c r="P28" s="2">
        <f t="shared" si="5"/>
        <v>1.8749999999999999E-3</v>
      </c>
      <c r="Q28" s="2">
        <f t="shared" si="6"/>
        <v>2.2499999999999998E-3</v>
      </c>
      <c r="R28" s="2">
        <f t="shared" si="7"/>
        <v>1.1785714285714288</v>
      </c>
      <c r="S28" s="2">
        <f t="shared" si="8"/>
        <v>0.26785714285714285</v>
      </c>
      <c r="T28" s="2">
        <f t="shared" si="9"/>
        <v>0.5357142857142857</v>
      </c>
      <c r="U28" s="2">
        <f t="shared" si="10"/>
        <v>0.80357142857142849</v>
      </c>
      <c r="V28" s="2">
        <f t="shared" si="11"/>
        <v>1.0714285714285714</v>
      </c>
      <c r="W28" s="2">
        <f t="shared" si="12"/>
        <v>1.3392857142857142</v>
      </c>
      <c r="X28" s="2">
        <f t="shared" si="13"/>
        <v>1.607142857142857</v>
      </c>
      <c r="Y28" s="5" t="str">
        <f t="shared" si="14"/>
        <v>1</v>
      </c>
      <c r="Z28" s="5" t="str">
        <f t="shared" si="14"/>
        <v>2</v>
      </c>
      <c r="AA28" s="5" t="str">
        <f t="shared" si="14"/>
        <v>2</v>
      </c>
      <c r="AB28" s="5" t="str">
        <f t="shared" si="14"/>
        <v>2</v>
      </c>
      <c r="AC28" s="5" t="str">
        <f t="shared" si="14"/>
        <v>1</v>
      </c>
      <c r="AD28" s="5" t="str">
        <f t="shared" si="14"/>
        <v>1</v>
      </c>
      <c r="AE28" s="5" t="str">
        <f t="shared" si="14"/>
        <v>1</v>
      </c>
    </row>
    <row r="29" spans="1:31" ht="14.4" x14ac:dyDescent="0.3">
      <c r="A29" s="14">
        <v>26</v>
      </c>
      <c r="B29" s="24" t="s">
        <v>159</v>
      </c>
      <c r="C29" s="10">
        <v>32</v>
      </c>
      <c r="D29" s="10">
        <v>39</v>
      </c>
      <c r="E29" s="15">
        <v>365</v>
      </c>
      <c r="F29" s="26">
        <v>1E-4</v>
      </c>
      <c r="G29" s="10">
        <v>900</v>
      </c>
      <c r="H29" s="13">
        <v>1.4E-3</v>
      </c>
      <c r="I29" s="17">
        <v>10950</v>
      </c>
      <c r="J29" s="22">
        <v>32</v>
      </c>
      <c r="K29" s="18">
        <f t="shared" si="0"/>
        <v>2.4615384615384616E-3</v>
      </c>
      <c r="L29" s="2">
        <f t="shared" si="1"/>
        <v>3.8461538461538462E-4</v>
      </c>
      <c r="M29" s="2">
        <f t="shared" si="2"/>
        <v>7.6923076923076923E-4</v>
      </c>
      <c r="N29" s="2">
        <f t="shared" si="3"/>
        <v>1.153846153846154E-3</v>
      </c>
      <c r="O29" s="2">
        <f t="shared" si="4"/>
        <v>1.5384615384615385E-3</v>
      </c>
      <c r="P29" s="2">
        <f t="shared" si="5"/>
        <v>1.9230769230769232E-3</v>
      </c>
      <c r="Q29" s="2">
        <f t="shared" si="6"/>
        <v>2.3076923076923079E-3</v>
      </c>
      <c r="R29" s="2">
        <f t="shared" si="7"/>
        <v>1.7582417582417582</v>
      </c>
      <c r="S29" s="2">
        <f t="shared" si="8"/>
        <v>0.27472527472527475</v>
      </c>
      <c r="T29" s="2">
        <f t="shared" si="9"/>
        <v>0.5494505494505495</v>
      </c>
      <c r="U29" s="2">
        <f t="shared" si="10"/>
        <v>0.82417582417582425</v>
      </c>
      <c r="V29" s="2">
        <f t="shared" si="11"/>
        <v>1.098901098901099</v>
      </c>
      <c r="W29" s="2">
        <f t="shared" si="12"/>
        <v>1.3736263736263736</v>
      </c>
      <c r="X29" s="2">
        <f t="shared" si="13"/>
        <v>1.6483516483516485</v>
      </c>
      <c r="Y29" s="5" t="str">
        <f t="shared" ref="Y29:AE53" si="15">IF(R29&gt;1,"1","2")</f>
        <v>1</v>
      </c>
      <c r="Z29" s="5" t="str">
        <f t="shared" si="15"/>
        <v>2</v>
      </c>
      <c r="AA29" s="5" t="str">
        <f t="shared" si="15"/>
        <v>2</v>
      </c>
      <c r="AB29" s="5" t="str">
        <f t="shared" si="15"/>
        <v>2</v>
      </c>
      <c r="AC29" s="5" t="str">
        <f t="shared" si="15"/>
        <v>1</v>
      </c>
      <c r="AD29" s="5" t="str">
        <f t="shared" si="15"/>
        <v>1</v>
      </c>
      <c r="AE29" s="5" t="str">
        <f t="shared" si="15"/>
        <v>1</v>
      </c>
    </row>
    <row r="30" spans="1:31" ht="14.4" x14ac:dyDescent="0.3">
      <c r="A30" s="14">
        <v>27</v>
      </c>
      <c r="B30" s="24" t="s">
        <v>160</v>
      </c>
      <c r="C30" s="10">
        <v>32</v>
      </c>
      <c r="D30" s="10">
        <v>67</v>
      </c>
      <c r="E30" s="15">
        <v>365</v>
      </c>
      <c r="F30" s="26">
        <v>1E-4</v>
      </c>
      <c r="G30" s="10">
        <v>3300</v>
      </c>
      <c r="H30" s="13">
        <v>1.4E-3</v>
      </c>
      <c r="I30" s="17">
        <v>10950</v>
      </c>
      <c r="J30" s="22">
        <v>27</v>
      </c>
      <c r="K30" s="18">
        <f t="shared" si="0"/>
        <v>4.4328358208955221E-3</v>
      </c>
      <c r="L30" s="2">
        <f t="shared" si="1"/>
        <v>8.2089552238805966E-4</v>
      </c>
      <c r="M30" s="2">
        <f t="shared" si="2"/>
        <v>1.6417910447761193E-3</v>
      </c>
      <c r="N30" s="2">
        <f t="shared" si="3"/>
        <v>2.4626865671641793E-3</v>
      </c>
      <c r="O30" s="2">
        <f t="shared" si="4"/>
        <v>3.2835820895522386E-3</v>
      </c>
      <c r="P30" s="2">
        <f t="shared" si="5"/>
        <v>4.1044776119402984E-3</v>
      </c>
      <c r="Q30" s="2">
        <f t="shared" si="6"/>
        <v>4.9253731343283586E-3</v>
      </c>
      <c r="R30" s="2">
        <f t="shared" si="7"/>
        <v>3.1663113006396588</v>
      </c>
      <c r="S30" s="2">
        <f t="shared" si="8"/>
        <v>0.5863539445628998</v>
      </c>
      <c r="T30" s="2">
        <f t="shared" si="9"/>
        <v>1.1727078891257996</v>
      </c>
      <c r="U30" s="2">
        <f t="shared" si="10"/>
        <v>1.7590618336886996</v>
      </c>
      <c r="V30" s="2">
        <f t="shared" si="11"/>
        <v>2.3454157782515992</v>
      </c>
      <c r="W30" s="2">
        <f t="shared" si="12"/>
        <v>2.931769722814499</v>
      </c>
      <c r="X30" s="2">
        <f t="shared" si="13"/>
        <v>3.5181236673773992</v>
      </c>
      <c r="Y30" s="5" t="str">
        <f t="shared" si="15"/>
        <v>1</v>
      </c>
      <c r="Z30" s="5" t="str">
        <f t="shared" si="15"/>
        <v>2</v>
      </c>
      <c r="AA30" s="5" t="str">
        <f t="shared" si="15"/>
        <v>1</v>
      </c>
      <c r="AB30" s="5" t="str">
        <f t="shared" si="15"/>
        <v>1</v>
      </c>
      <c r="AC30" s="5" t="str">
        <f t="shared" si="15"/>
        <v>1</v>
      </c>
      <c r="AD30" s="5" t="str">
        <f t="shared" si="15"/>
        <v>1</v>
      </c>
      <c r="AE30" s="5" t="str">
        <f t="shared" si="15"/>
        <v>1</v>
      </c>
    </row>
    <row r="31" spans="1:31" ht="14.4" x14ac:dyDescent="0.3">
      <c r="A31" s="14">
        <v>28</v>
      </c>
      <c r="B31" s="24" t="s">
        <v>131</v>
      </c>
      <c r="C31" s="10">
        <v>32</v>
      </c>
      <c r="D31" s="10">
        <v>40</v>
      </c>
      <c r="E31" s="15">
        <v>365</v>
      </c>
      <c r="F31" s="26">
        <v>1E-4</v>
      </c>
      <c r="G31" s="10">
        <v>900</v>
      </c>
      <c r="H31" s="13">
        <v>1.4E-3</v>
      </c>
      <c r="I31" s="17">
        <v>10950</v>
      </c>
      <c r="J31" s="22">
        <v>22</v>
      </c>
      <c r="K31" s="18">
        <f t="shared" si="0"/>
        <v>1.6500000000000002E-3</v>
      </c>
      <c r="L31" s="2">
        <f t="shared" si="1"/>
        <v>3.7500000000000001E-4</v>
      </c>
      <c r="M31" s="2">
        <f t="shared" si="2"/>
        <v>7.5000000000000002E-4</v>
      </c>
      <c r="N31" s="2">
        <f t="shared" si="3"/>
        <v>1.1249999999999999E-3</v>
      </c>
      <c r="O31" s="2">
        <f t="shared" si="4"/>
        <v>1.5E-3</v>
      </c>
      <c r="P31" s="2">
        <f t="shared" si="5"/>
        <v>1.8749999999999999E-3</v>
      </c>
      <c r="Q31" s="2">
        <f t="shared" si="6"/>
        <v>2.2499999999999998E-3</v>
      </c>
      <c r="R31" s="2">
        <f t="shared" si="7"/>
        <v>1.1785714285714288</v>
      </c>
      <c r="S31" s="2">
        <f t="shared" si="8"/>
        <v>0.26785714285714285</v>
      </c>
      <c r="T31" s="2">
        <f t="shared" si="9"/>
        <v>0.5357142857142857</v>
      </c>
      <c r="U31" s="2">
        <f t="shared" si="10"/>
        <v>0.80357142857142849</v>
      </c>
      <c r="V31" s="2">
        <f t="shared" si="11"/>
        <v>1.0714285714285714</v>
      </c>
      <c r="W31" s="2">
        <f t="shared" si="12"/>
        <v>1.3392857142857142</v>
      </c>
      <c r="X31" s="2">
        <f t="shared" si="13"/>
        <v>1.607142857142857</v>
      </c>
      <c r="Y31" s="5" t="str">
        <f t="shared" si="15"/>
        <v>1</v>
      </c>
      <c r="Z31" s="5" t="str">
        <f t="shared" si="15"/>
        <v>2</v>
      </c>
      <c r="AA31" s="5" t="str">
        <f t="shared" si="15"/>
        <v>2</v>
      </c>
      <c r="AB31" s="5" t="str">
        <f t="shared" si="15"/>
        <v>2</v>
      </c>
      <c r="AC31" s="5" t="str">
        <f t="shared" si="15"/>
        <v>1</v>
      </c>
      <c r="AD31" s="5" t="str">
        <f t="shared" si="15"/>
        <v>1</v>
      </c>
      <c r="AE31" s="5" t="str">
        <f t="shared" si="15"/>
        <v>1</v>
      </c>
    </row>
    <row r="32" spans="1:31" ht="14.4" x14ac:dyDescent="0.3">
      <c r="A32" s="14">
        <v>29</v>
      </c>
      <c r="B32" s="24" t="s">
        <v>148</v>
      </c>
      <c r="C32" s="10">
        <v>32</v>
      </c>
      <c r="D32" s="10">
        <v>39</v>
      </c>
      <c r="E32" s="15">
        <v>365</v>
      </c>
      <c r="F32" s="26">
        <v>1E-4</v>
      </c>
      <c r="G32" s="10">
        <v>900</v>
      </c>
      <c r="H32" s="13">
        <v>1.4E-3</v>
      </c>
      <c r="I32" s="17">
        <v>10950</v>
      </c>
      <c r="J32" s="22">
        <v>32</v>
      </c>
      <c r="K32" s="18">
        <f t="shared" si="0"/>
        <v>2.4615384615384616E-3</v>
      </c>
      <c r="L32" s="2">
        <f t="shared" si="1"/>
        <v>3.8461538461538462E-4</v>
      </c>
      <c r="M32" s="2">
        <f t="shared" si="2"/>
        <v>7.6923076923076923E-4</v>
      </c>
      <c r="N32" s="2">
        <f t="shared" si="3"/>
        <v>1.153846153846154E-3</v>
      </c>
      <c r="O32" s="2">
        <f t="shared" si="4"/>
        <v>1.5384615384615385E-3</v>
      </c>
      <c r="P32" s="2">
        <f t="shared" si="5"/>
        <v>1.9230769230769232E-3</v>
      </c>
      <c r="Q32" s="2">
        <f t="shared" si="6"/>
        <v>2.3076923076923079E-3</v>
      </c>
      <c r="R32" s="2">
        <f t="shared" si="7"/>
        <v>1.7582417582417582</v>
      </c>
      <c r="S32" s="2">
        <f t="shared" si="8"/>
        <v>0.27472527472527475</v>
      </c>
      <c r="T32" s="2">
        <f t="shared" si="9"/>
        <v>0.5494505494505495</v>
      </c>
      <c r="U32" s="2">
        <f t="shared" si="10"/>
        <v>0.82417582417582425</v>
      </c>
      <c r="V32" s="2">
        <f t="shared" si="11"/>
        <v>1.098901098901099</v>
      </c>
      <c r="W32" s="2">
        <f t="shared" si="12"/>
        <v>1.3736263736263736</v>
      </c>
      <c r="X32" s="2">
        <f t="shared" si="13"/>
        <v>1.6483516483516485</v>
      </c>
      <c r="Y32" s="5" t="str">
        <f t="shared" si="15"/>
        <v>1</v>
      </c>
      <c r="Z32" s="5" t="str">
        <f t="shared" si="15"/>
        <v>2</v>
      </c>
      <c r="AA32" s="5" t="str">
        <f t="shared" si="15"/>
        <v>2</v>
      </c>
      <c r="AB32" s="5" t="str">
        <f t="shared" si="15"/>
        <v>2</v>
      </c>
      <c r="AC32" s="5" t="str">
        <f t="shared" si="15"/>
        <v>1</v>
      </c>
      <c r="AD32" s="5" t="str">
        <f t="shared" si="15"/>
        <v>1</v>
      </c>
      <c r="AE32" s="5" t="str">
        <f t="shared" si="15"/>
        <v>1</v>
      </c>
    </row>
    <row r="33" spans="1:31" ht="14.4" x14ac:dyDescent="0.3">
      <c r="A33" s="14">
        <v>30</v>
      </c>
      <c r="B33" s="24" t="s">
        <v>111</v>
      </c>
      <c r="C33" s="10">
        <v>33</v>
      </c>
      <c r="D33" s="10">
        <v>75</v>
      </c>
      <c r="E33" s="15">
        <v>365</v>
      </c>
      <c r="F33" s="26">
        <v>1E-4</v>
      </c>
      <c r="G33" s="10">
        <v>2100</v>
      </c>
      <c r="H33" s="13">
        <v>1.4E-3</v>
      </c>
      <c r="I33" s="17">
        <v>10950</v>
      </c>
      <c r="J33" s="22">
        <v>8</v>
      </c>
      <c r="K33" s="18">
        <f t="shared" si="0"/>
        <v>7.4666666666666675E-4</v>
      </c>
      <c r="L33" s="2">
        <f t="shared" si="1"/>
        <v>4.6666666666666666E-4</v>
      </c>
      <c r="M33" s="2">
        <f t="shared" si="2"/>
        <v>9.3333333333333332E-4</v>
      </c>
      <c r="N33" s="2">
        <f t="shared" si="3"/>
        <v>1.4E-3</v>
      </c>
      <c r="O33" s="2">
        <f t="shared" si="4"/>
        <v>1.8666666666666666E-3</v>
      </c>
      <c r="P33" s="2">
        <f t="shared" si="5"/>
        <v>2.3333333333333335E-3</v>
      </c>
      <c r="Q33" s="2">
        <f t="shared" si="6"/>
        <v>2.8E-3</v>
      </c>
      <c r="R33" s="2">
        <f t="shared" si="7"/>
        <v>0.53333333333333344</v>
      </c>
      <c r="S33" s="2">
        <f t="shared" si="8"/>
        <v>0.33333333333333331</v>
      </c>
      <c r="T33" s="2">
        <f t="shared" si="9"/>
        <v>0.66666666666666663</v>
      </c>
      <c r="U33" s="2">
        <f t="shared" si="10"/>
        <v>1</v>
      </c>
      <c r="V33" s="2">
        <f t="shared" si="11"/>
        <v>1.3333333333333333</v>
      </c>
      <c r="W33" s="2">
        <f t="shared" si="12"/>
        <v>1.6666666666666667</v>
      </c>
      <c r="X33" s="2">
        <f t="shared" si="13"/>
        <v>2</v>
      </c>
      <c r="Y33" s="5" t="str">
        <f t="shared" si="15"/>
        <v>2</v>
      </c>
      <c r="Z33" s="5" t="str">
        <f t="shared" si="15"/>
        <v>2</v>
      </c>
      <c r="AA33" s="5" t="str">
        <f t="shared" si="15"/>
        <v>2</v>
      </c>
      <c r="AB33" s="5" t="str">
        <f t="shared" si="15"/>
        <v>2</v>
      </c>
      <c r="AC33" s="5" t="str">
        <f t="shared" si="15"/>
        <v>1</v>
      </c>
      <c r="AD33" s="5" t="str">
        <f t="shared" si="15"/>
        <v>1</v>
      </c>
      <c r="AE33" s="5" t="str">
        <f t="shared" si="15"/>
        <v>1</v>
      </c>
    </row>
    <row r="34" spans="1:31" ht="14.4" x14ac:dyDescent="0.3">
      <c r="A34" s="14">
        <v>31</v>
      </c>
      <c r="B34" s="24" t="s">
        <v>161</v>
      </c>
      <c r="C34" s="10">
        <v>34</v>
      </c>
      <c r="D34" s="10">
        <v>65</v>
      </c>
      <c r="E34" s="15">
        <v>365</v>
      </c>
      <c r="F34" s="26">
        <v>1E-4</v>
      </c>
      <c r="G34" s="10">
        <v>1800</v>
      </c>
      <c r="H34" s="13">
        <v>1.4E-3</v>
      </c>
      <c r="I34" s="17">
        <v>10950</v>
      </c>
      <c r="J34" s="22">
        <v>34</v>
      </c>
      <c r="K34" s="18">
        <f t="shared" si="0"/>
        <v>3.1384615384615388E-3</v>
      </c>
      <c r="L34" s="2">
        <f t="shared" si="1"/>
        <v>4.6153846153846153E-4</v>
      </c>
      <c r="M34" s="2">
        <f t="shared" si="2"/>
        <v>9.2307692307692305E-4</v>
      </c>
      <c r="N34" s="2">
        <f t="shared" si="3"/>
        <v>1.3846153846153845E-3</v>
      </c>
      <c r="O34" s="2">
        <f t="shared" si="4"/>
        <v>1.8461538461538461E-3</v>
      </c>
      <c r="P34" s="2">
        <f t="shared" si="5"/>
        <v>2.3076923076923079E-3</v>
      </c>
      <c r="Q34" s="2">
        <f t="shared" si="6"/>
        <v>2.7692307692307691E-3</v>
      </c>
      <c r="R34" s="2">
        <f t="shared" si="7"/>
        <v>2.2417582417582418</v>
      </c>
      <c r="S34" s="2">
        <f t="shared" si="8"/>
        <v>0.32967032967032966</v>
      </c>
      <c r="T34" s="2">
        <f t="shared" si="9"/>
        <v>0.65934065934065933</v>
      </c>
      <c r="U34" s="2">
        <f t="shared" si="10"/>
        <v>0.98901098901098894</v>
      </c>
      <c r="V34" s="2">
        <f t="shared" si="11"/>
        <v>1.3186813186813187</v>
      </c>
      <c r="W34" s="2">
        <f t="shared" si="12"/>
        <v>1.6483516483516485</v>
      </c>
      <c r="X34" s="2">
        <f t="shared" si="13"/>
        <v>1.9780219780219779</v>
      </c>
      <c r="Y34" s="5" t="str">
        <f t="shared" si="15"/>
        <v>1</v>
      </c>
      <c r="Z34" s="5" t="str">
        <f t="shared" si="15"/>
        <v>2</v>
      </c>
      <c r="AA34" s="5" t="str">
        <f t="shared" si="15"/>
        <v>2</v>
      </c>
      <c r="AB34" s="5" t="str">
        <f t="shared" si="15"/>
        <v>2</v>
      </c>
      <c r="AC34" s="5" t="str">
        <f t="shared" si="15"/>
        <v>1</v>
      </c>
      <c r="AD34" s="5" t="str">
        <f t="shared" si="15"/>
        <v>1</v>
      </c>
      <c r="AE34" s="5" t="str">
        <f t="shared" si="15"/>
        <v>1</v>
      </c>
    </row>
    <row r="35" spans="1:31" ht="14.4" x14ac:dyDescent="0.3">
      <c r="A35" s="14">
        <v>32</v>
      </c>
      <c r="B35" s="24" t="s">
        <v>162</v>
      </c>
      <c r="C35" s="10">
        <v>34</v>
      </c>
      <c r="D35" s="10">
        <v>64</v>
      </c>
      <c r="E35" s="15">
        <v>365</v>
      </c>
      <c r="F35" s="26">
        <v>1E-4</v>
      </c>
      <c r="G35" s="10">
        <v>1200</v>
      </c>
      <c r="H35" s="13">
        <v>1.4E-3</v>
      </c>
      <c r="I35" s="17">
        <v>10950</v>
      </c>
      <c r="J35" s="22">
        <v>11</v>
      </c>
      <c r="K35" s="18">
        <f t="shared" si="0"/>
        <v>6.8750000000000007E-4</v>
      </c>
      <c r="L35" s="2">
        <f t="shared" si="1"/>
        <v>3.1250000000000006E-4</v>
      </c>
      <c r="M35" s="2">
        <f t="shared" si="2"/>
        <v>6.2500000000000012E-4</v>
      </c>
      <c r="N35" s="2">
        <f t="shared" si="3"/>
        <v>9.3750000000000018E-4</v>
      </c>
      <c r="O35" s="2">
        <f t="shared" si="4"/>
        <v>1.2500000000000002E-3</v>
      </c>
      <c r="P35" s="2">
        <f t="shared" si="5"/>
        <v>1.5625000000000001E-3</v>
      </c>
      <c r="Q35" s="2">
        <f t="shared" si="6"/>
        <v>1.8750000000000004E-3</v>
      </c>
      <c r="R35" s="2">
        <f t="shared" si="7"/>
        <v>0.4910714285714286</v>
      </c>
      <c r="S35" s="2">
        <f t="shared" si="8"/>
        <v>0.22321428571428575</v>
      </c>
      <c r="T35" s="2">
        <f t="shared" si="9"/>
        <v>0.44642857142857151</v>
      </c>
      <c r="U35" s="2">
        <f t="shared" si="10"/>
        <v>0.66964285714285732</v>
      </c>
      <c r="V35" s="2">
        <f t="shared" si="11"/>
        <v>0.89285714285714302</v>
      </c>
      <c r="W35" s="2">
        <f t="shared" si="12"/>
        <v>1.1160714285714286</v>
      </c>
      <c r="X35" s="2">
        <f t="shared" si="13"/>
        <v>1.3392857142857146</v>
      </c>
      <c r="Y35" s="5" t="str">
        <f t="shared" si="15"/>
        <v>2</v>
      </c>
      <c r="Z35" s="5" t="str">
        <f t="shared" si="15"/>
        <v>2</v>
      </c>
      <c r="AA35" s="5" t="str">
        <f t="shared" si="15"/>
        <v>2</v>
      </c>
      <c r="AB35" s="5" t="str">
        <f t="shared" si="15"/>
        <v>2</v>
      </c>
      <c r="AC35" s="5" t="str">
        <f t="shared" si="15"/>
        <v>2</v>
      </c>
      <c r="AD35" s="5" t="str">
        <f t="shared" si="15"/>
        <v>1</v>
      </c>
      <c r="AE35" s="5" t="str">
        <f t="shared" si="15"/>
        <v>1</v>
      </c>
    </row>
    <row r="36" spans="1:31" ht="14.4" x14ac:dyDescent="0.3">
      <c r="A36" s="14">
        <v>33</v>
      </c>
      <c r="B36" s="24" t="s">
        <v>119</v>
      </c>
      <c r="C36" s="10">
        <v>34</v>
      </c>
      <c r="D36" s="10">
        <v>65</v>
      </c>
      <c r="E36" s="15">
        <v>365</v>
      </c>
      <c r="F36" s="26">
        <v>1E-4</v>
      </c>
      <c r="G36" s="10">
        <v>1800</v>
      </c>
      <c r="H36" s="13">
        <v>1.4E-3</v>
      </c>
      <c r="I36" s="17">
        <v>10950</v>
      </c>
      <c r="J36" s="22">
        <v>34</v>
      </c>
      <c r="K36" s="18">
        <f t="shared" si="0"/>
        <v>3.1384615384615388E-3</v>
      </c>
      <c r="L36" s="2">
        <f t="shared" si="1"/>
        <v>4.6153846153846153E-4</v>
      </c>
      <c r="M36" s="2">
        <f t="shared" si="2"/>
        <v>9.2307692307692305E-4</v>
      </c>
      <c r="N36" s="2">
        <f t="shared" si="3"/>
        <v>1.3846153846153845E-3</v>
      </c>
      <c r="O36" s="2">
        <f t="shared" si="4"/>
        <v>1.8461538461538461E-3</v>
      </c>
      <c r="P36" s="2">
        <f t="shared" si="5"/>
        <v>2.3076923076923079E-3</v>
      </c>
      <c r="Q36" s="2">
        <f t="shared" si="6"/>
        <v>2.7692307692307691E-3</v>
      </c>
      <c r="R36" s="2">
        <f t="shared" si="7"/>
        <v>2.2417582417582418</v>
      </c>
      <c r="S36" s="2">
        <f t="shared" si="8"/>
        <v>0.32967032967032966</v>
      </c>
      <c r="T36" s="2">
        <f t="shared" si="9"/>
        <v>0.65934065934065933</v>
      </c>
      <c r="U36" s="2">
        <f t="shared" si="10"/>
        <v>0.98901098901098894</v>
      </c>
      <c r="V36" s="2">
        <f t="shared" si="11"/>
        <v>1.3186813186813187</v>
      </c>
      <c r="W36" s="2">
        <f t="shared" si="12"/>
        <v>1.6483516483516485</v>
      </c>
      <c r="X36" s="2">
        <f t="shared" si="13"/>
        <v>1.9780219780219779</v>
      </c>
      <c r="Y36" s="5" t="str">
        <f t="shared" si="15"/>
        <v>1</v>
      </c>
      <c r="Z36" s="5" t="str">
        <f t="shared" si="15"/>
        <v>2</v>
      </c>
      <c r="AA36" s="5" t="str">
        <f t="shared" si="15"/>
        <v>2</v>
      </c>
      <c r="AB36" s="5" t="str">
        <f t="shared" si="15"/>
        <v>2</v>
      </c>
      <c r="AC36" s="5" t="str">
        <f t="shared" si="15"/>
        <v>1</v>
      </c>
      <c r="AD36" s="5" t="str">
        <f t="shared" si="15"/>
        <v>1</v>
      </c>
      <c r="AE36" s="5" t="str">
        <f t="shared" si="15"/>
        <v>1</v>
      </c>
    </row>
    <row r="37" spans="1:31" ht="14.4" x14ac:dyDescent="0.3">
      <c r="A37" s="14">
        <v>34</v>
      </c>
      <c r="B37" s="24" t="s">
        <v>139</v>
      </c>
      <c r="C37" s="10">
        <v>34</v>
      </c>
      <c r="D37" s="10">
        <v>65</v>
      </c>
      <c r="E37" s="16">
        <v>365</v>
      </c>
      <c r="F37" s="26">
        <v>1E-4</v>
      </c>
      <c r="G37" s="10">
        <v>1800</v>
      </c>
      <c r="H37" s="13">
        <v>1.4E-3</v>
      </c>
      <c r="I37" s="17">
        <v>10950</v>
      </c>
      <c r="J37" s="22">
        <v>34</v>
      </c>
      <c r="K37" s="18">
        <f t="shared" si="0"/>
        <v>3.1384615384615388E-3</v>
      </c>
      <c r="L37" s="2">
        <f t="shared" si="1"/>
        <v>4.6153846153846153E-4</v>
      </c>
      <c r="M37" s="2">
        <f t="shared" si="2"/>
        <v>9.2307692307692305E-4</v>
      </c>
      <c r="N37" s="2">
        <f t="shared" si="3"/>
        <v>1.3846153846153845E-3</v>
      </c>
      <c r="O37" s="2">
        <f t="shared" si="4"/>
        <v>1.8461538461538461E-3</v>
      </c>
      <c r="P37" s="2">
        <f t="shared" si="5"/>
        <v>2.3076923076923079E-3</v>
      </c>
      <c r="Q37" s="2">
        <f t="shared" si="6"/>
        <v>2.7692307692307691E-3</v>
      </c>
      <c r="R37" s="2">
        <f t="shared" si="7"/>
        <v>2.2417582417582418</v>
      </c>
      <c r="S37" s="2">
        <f t="shared" si="8"/>
        <v>0.32967032967032966</v>
      </c>
      <c r="T37" s="2">
        <f t="shared" si="9"/>
        <v>0.65934065934065933</v>
      </c>
      <c r="U37" s="2">
        <f t="shared" si="10"/>
        <v>0.98901098901098894</v>
      </c>
      <c r="V37" s="2">
        <f t="shared" si="11"/>
        <v>1.3186813186813187</v>
      </c>
      <c r="W37" s="2">
        <f t="shared" si="12"/>
        <v>1.6483516483516485</v>
      </c>
      <c r="X37" s="2">
        <f t="shared" si="13"/>
        <v>1.9780219780219779</v>
      </c>
      <c r="Y37" s="5" t="str">
        <f t="shared" si="15"/>
        <v>1</v>
      </c>
      <c r="Z37" s="5" t="str">
        <f t="shared" si="15"/>
        <v>2</v>
      </c>
      <c r="AA37" s="5" t="str">
        <f t="shared" si="15"/>
        <v>2</v>
      </c>
      <c r="AB37" s="5" t="str">
        <f t="shared" si="15"/>
        <v>2</v>
      </c>
      <c r="AC37" s="5" t="str">
        <f t="shared" si="15"/>
        <v>1</v>
      </c>
      <c r="AD37" s="5" t="str">
        <f t="shared" si="15"/>
        <v>1</v>
      </c>
      <c r="AE37" s="5" t="str">
        <f t="shared" si="15"/>
        <v>1</v>
      </c>
    </row>
    <row r="38" spans="1:31" ht="14.4" x14ac:dyDescent="0.3">
      <c r="A38" s="14">
        <v>35</v>
      </c>
      <c r="B38" s="24" t="s">
        <v>119</v>
      </c>
      <c r="C38" s="10">
        <v>34</v>
      </c>
      <c r="D38" s="10">
        <v>65</v>
      </c>
      <c r="E38" s="16">
        <v>365</v>
      </c>
      <c r="F38" s="26">
        <v>1E-4</v>
      </c>
      <c r="G38" s="10">
        <v>1800</v>
      </c>
      <c r="H38" s="13">
        <v>1.4E-3</v>
      </c>
      <c r="I38" s="17">
        <v>10950</v>
      </c>
      <c r="J38" s="22">
        <v>34</v>
      </c>
      <c r="K38" s="18">
        <f t="shared" si="0"/>
        <v>3.1384615384615388E-3</v>
      </c>
      <c r="L38" s="2">
        <f t="shared" si="1"/>
        <v>4.6153846153846153E-4</v>
      </c>
      <c r="M38" s="2">
        <f t="shared" si="2"/>
        <v>9.2307692307692305E-4</v>
      </c>
      <c r="N38" s="2">
        <f t="shared" si="3"/>
        <v>1.3846153846153845E-3</v>
      </c>
      <c r="O38" s="2">
        <f t="shared" si="4"/>
        <v>1.8461538461538461E-3</v>
      </c>
      <c r="P38" s="2">
        <f t="shared" si="5"/>
        <v>2.3076923076923079E-3</v>
      </c>
      <c r="Q38" s="2">
        <f t="shared" si="6"/>
        <v>2.7692307692307691E-3</v>
      </c>
      <c r="R38" s="2">
        <f t="shared" si="7"/>
        <v>2.2417582417582418</v>
      </c>
      <c r="S38" s="2">
        <f t="shared" si="8"/>
        <v>0.32967032967032966</v>
      </c>
      <c r="T38" s="2">
        <f t="shared" si="9"/>
        <v>0.65934065934065933</v>
      </c>
      <c r="U38" s="2">
        <f t="shared" si="10"/>
        <v>0.98901098901098894</v>
      </c>
      <c r="V38" s="2">
        <f t="shared" si="11"/>
        <v>1.3186813186813187</v>
      </c>
      <c r="W38" s="2">
        <f t="shared" si="12"/>
        <v>1.6483516483516485</v>
      </c>
      <c r="X38" s="2">
        <f t="shared" si="13"/>
        <v>1.9780219780219779</v>
      </c>
      <c r="Y38" s="5" t="str">
        <f t="shared" si="15"/>
        <v>1</v>
      </c>
      <c r="Z38" s="5" t="str">
        <f t="shared" si="15"/>
        <v>2</v>
      </c>
      <c r="AA38" s="5" t="str">
        <f t="shared" si="15"/>
        <v>2</v>
      </c>
      <c r="AB38" s="5" t="str">
        <f t="shared" si="15"/>
        <v>2</v>
      </c>
      <c r="AC38" s="5" t="str">
        <f t="shared" si="15"/>
        <v>1</v>
      </c>
      <c r="AD38" s="5" t="str">
        <f t="shared" si="15"/>
        <v>1</v>
      </c>
      <c r="AE38" s="5" t="str">
        <f t="shared" si="15"/>
        <v>1</v>
      </c>
    </row>
    <row r="39" spans="1:31" ht="14.4" x14ac:dyDescent="0.3">
      <c r="A39" s="14">
        <v>36</v>
      </c>
      <c r="B39" s="24" t="s">
        <v>163</v>
      </c>
      <c r="C39" s="10">
        <v>35</v>
      </c>
      <c r="D39" s="10">
        <v>75</v>
      </c>
      <c r="E39" s="16">
        <v>365</v>
      </c>
      <c r="F39" s="26">
        <v>1E-4</v>
      </c>
      <c r="G39" s="10">
        <v>1200</v>
      </c>
      <c r="H39" s="13">
        <v>1.4E-3</v>
      </c>
      <c r="I39" s="17">
        <v>10950</v>
      </c>
      <c r="J39" s="22">
        <v>5</v>
      </c>
      <c r="K39" s="18">
        <f t="shared" si="0"/>
        <v>2.6666666666666668E-4</v>
      </c>
      <c r="L39" s="2">
        <f t="shared" si="1"/>
        <v>2.6666666666666668E-4</v>
      </c>
      <c r="M39" s="2">
        <f t="shared" si="2"/>
        <v>5.3333333333333336E-4</v>
      </c>
      <c r="N39" s="2">
        <f t="shared" si="3"/>
        <v>8.0000000000000015E-4</v>
      </c>
      <c r="O39" s="2">
        <f t="shared" si="4"/>
        <v>1.0666666666666667E-3</v>
      </c>
      <c r="P39" s="2">
        <f t="shared" si="5"/>
        <v>1.3333333333333333E-3</v>
      </c>
      <c r="Q39" s="2">
        <f t="shared" si="6"/>
        <v>1.6000000000000003E-3</v>
      </c>
      <c r="R39" s="2">
        <f t="shared" si="7"/>
        <v>0.19047619047619049</v>
      </c>
      <c r="S39" s="2">
        <f t="shared" si="8"/>
        <v>0.19047619047619049</v>
      </c>
      <c r="T39" s="2">
        <f t="shared" si="9"/>
        <v>0.38095238095238099</v>
      </c>
      <c r="U39" s="2">
        <f t="shared" si="10"/>
        <v>0.57142857142857151</v>
      </c>
      <c r="V39" s="2">
        <f t="shared" si="11"/>
        <v>0.76190476190476197</v>
      </c>
      <c r="W39" s="2">
        <f t="shared" si="12"/>
        <v>0.95238095238095233</v>
      </c>
      <c r="X39" s="2">
        <f t="shared" si="13"/>
        <v>1.142857142857143</v>
      </c>
      <c r="Y39" s="5" t="str">
        <f t="shared" si="15"/>
        <v>2</v>
      </c>
      <c r="Z39" s="5" t="str">
        <f t="shared" si="15"/>
        <v>2</v>
      </c>
      <c r="AA39" s="5" t="str">
        <f t="shared" si="15"/>
        <v>2</v>
      </c>
      <c r="AB39" s="5" t="str">
        <f t="shared" si="15"/>
        <v>2</v>
      </c>
      <c r="AC39" s="5" t="str">
        <f t="shared" si="15"/>
        <v>2</v>
      </c>
      <c r="AD39" s="5" t="str">
        <f t="shared" si="15"/>
        <v>2</v>
      </c>
      <c r="AE39" s="5" t="str">
        <f t="shared" si="15"/>
        <v>1</v>
      </c>
    </row>
    <row r="40" spans="1:31" ht="14.4" x14ac:dyDescent="0.3">
      <c r="A40" s="14">
        <v>37</v>
      </c>
      <c r="B40" s="24" t="s">
        <v>164</v>
      </c>
      <c r="C40" s="10">
        <v>35</v>
      </c>
      <c r="D40" s="10">
        <v>85</v>
      </c>
      <c r="E40" s="16">
        <v>365</v>
      </c>
      <c r="F40" s="26">
        <v>1E-4</v>
      </c>
      <c r="G40" s="10">
        <v>900</v>
      </c>
      <c r="H40" s="13">
        <v>1.4E-3</v>
      </c>
      <c r="I40" s="17">
        <v>10950</v>
      </c>
      <c r="J40" s="22">
        <v>6</v>
      </c>
      <c r="K40" s="18">
        <f t="shared" si="0"/>
        <v>2.1176470588235298E-4</v>
      </c>
      <c r="L40" s="2">
        <f t="shared" si="1"/>
        <v>1.7647058823529413E-4</v>
      </c>
      <c r="M40" s="2">
        <f t="shared" si="2"/>
        <v>3.5294117647058826E-4</v>
      </c>
      <c r="N40" s="2">
        <f t="shared" si="3"/>
        <v>5.2941176470588231E-4</v>
      </c>
      <c r="O40" s="2">
        <f t="shared" si="4"/>
        <v>7.0588235294117652E-4</v>
      </c>
      <c r="P40" s="2">
        <f t="shared" si="5"/>
        <v>8.8235294117647062E-4</v>
      </c>
      <c r="Q40" s="2">
        <f t="shared" si="6"/>
        <v>1.0588235294117646E-3</v>
      </c>
      <c r="R40" s="2">
        <f t="shared" si="7"/>
        <v>0.15126050420168069</v>
      </c>
      <c r="S40" s="2">
        <f t="shared" si="8"/>
        <v>0.12605042016806722</v>
      </c>
      <c r="T40" s="2">
        <f t="shared" si="9"/>
        <v>0.25210084033613445</v>
      </c>
      <c r="U40" s="2">
        <f t="shared" si="10"/>
        <v>0.37815126050420167</v>
      </c>
      <c r="V40" s="2">
        <f t="shared" si="11"/>
        <v>0.50420168067226889</v>
      </c>
      <c r="W40" s="2">
        <f t="shared" si="12"/>
        <v>0.63025210084033612</v>
      </c>
      <c r="X40" s="2">
        <f t="shared" si="13"/>
        <v>0.75630252100840334</v>
      </c>
      <c r="Y40" s="5" t="str">
        <f t="shared" si="15"/>
        <v>2</v>
      </c>
      <c r="Z40" s="5" t="str">
        <f t="shared" si="15"/>
        <v>2</v>
      </c>
      <c r="AA40" s="5" t="str">
        <f t="shared" si="15"/>
        <v>2</v>
      </c>
      <c r="AB40" s="5" t="str">
        <f t="shared" si="15"/>
        <v>2</v>
      </c>
      <c r="AC40" s="5" t="str">
        <f t="shared" si="15"/>
        <v>2</v>
      </c>
      <c r="AD40" s="5" t="str">
        <f t="shared" si="15"/>
        <v>2</v>
      </c>
      <c r="AE40" s="5" t="str">
        <f t="shared" si="15"/>
        <v>2</v>
      </c>
    </row>
    <row r="41" spans="1:31" ht="14.4" x14ac:dyDescent="0.3">
      <c r="A41" s="14">
        <v>38</v>
      </c>
      <c r="B41" s="24" t="s">
        <v>165</v>
      </c>
      <c r="C41" s="10">
        <v>35</v>
      </c>
      <c r="D41" s="10">
        <v>55</v>
      </c>
      <c r="E41" s="16">
        <v>365</v>
      </c>
      <c r="F41" s="26">
        <v>1E-4</v>
      </c>
      <c r="G41" s="10">
        <v>900</v>
      </c>
      <c r="H41" s="13">
        <v>1.4E-3</v>
      </c>
      <c r="I41" s="17">
        <v>10950</v>
      </c>
      <c r="J41" s="22">
        <v>35</v>
      </c>
      <c r="K41" s="18">
        <f t="shared" si="0"/>
        <v>1.9090909090909091E-3</v>
      </c>
      <c r="L41" s="2">
        <f t="shared" si="1"/>
        <v>2.7272727272727274E-4</v>
      </c>
      <c r="M41" s="2">
        <f t="shared" si="2"/>
        <v>5.4545454545454548E-4</v>
      </c>
      <c r="N41" s="2">
        <f t="shared" si="3"/>
        <v>8.1818181818181816E-4</v>
      </c>
      <c r="O41" s="2">
        <f t="shared" si="4"/>
        <v>1.090909090909091E-3</v>
      </c>
      <c r="P41" s="2">
        <f t="shared" si="5"/>
        <v>1.3636363636363637E-3</v>
      </c>
      <c r="Q41" s="2">
        <f t="shared" si="6"/>
        <v>1.6363636363636363E-3</v>
      </c>
      <c r="R41" s="2">
        <f t="shared" si="7"/>
        <v>1.3636363636363638</v>
      </c>
      <c r="S41" s="2">
        <f t="shared" si="8"/>
        <v>0.19480519480519481</v>
      </c>
      <c r="T41" s="2">
        <f t="shared" si="9"/>
        <v>0.38961038961038963</v>
      </c>
      <c r="U41" s="2">
        <f t="shared" si="10"/>
        <v>0.58441558441558439</v>
      </c>
      <c r="V41" s="2">
        <f t="shared" si="11"/>
        <v>0.77922077922077926</v>
      </c>
      <c r="W41" s="2">
        <f t="shared" si="12"/>
        <v>0.97402597402597413</v>
      </c>
      <c r="X41" s="2">
        <f t="shared" si="13"/>
        <v>1.1688311688311688</v>
      </c>
      <c r="Y41" s="5" t="str">
        <f t="shared" si="15"/>
        <v>1</v>
      </c>
      <c r="Z41" s="5" t="str">
        <f t="shared" si="15"/>
        <v>2</v>
      </c>
      <c r="AA41" s="5" t="str">
        <f t="shared" si="15"/>
        <v>2</v>
      </c>
      <c r="AB41" s="5" t="str">
        <f t="shared" si="15"/>
        <v>2</v>
      </c>
      <c r="AC41" s="5" t="str">
        <f t="shared" si="15"/>
        <v>2</v>
      </c>
      <c r="AD41" s="5" t="str">
        <f t="shared" si="15"/>
        <v>2</v>
      </c>
      <c r="AE41" s="5" t="str">
        <f t="shared" si="15"/>
        <v>1</v>
      </c>
    </row>
    <row r="42" spans="1:31" ht="14.4" x14ac:dyDescent="0.3">
      <c r="A42" s="14">
        <v>39</v>
      </c>
      <c r="B42" s="24" t="s">
        <v>106</v>
      </c>
      <c r="C42" s="10">
        <v>35</v>
      </c>
      <c r="D42" s="10">
        <v>55</v>
      </c>
      <c r="E42" s="16">
        <v>365</v>
      </c>
      <c r="F42" s="26">
        <v>1E-4</v>
      </c>
      <c r="G42" s="10">
        <v>1200</v>
      </c>
      <c r="H42" s="13">
        <v>1.4E-3</v>
      </c>
      <c r="I42" s="17">
        <v>10950</v>
      </c>
      <c r="J42" s="22">
        <v>4</v>
      </c>
      <c r="K42" s="18">
        <f t="shared" si="0"/>
        <v>2.9090909090909091E-4</v>
      </c>
      <c r="L42" s="2">
        <f t="shared" si="1"/>
        <v>3.6363636363636367E-4</v>
      </c>
      <c r="M42" s="2">
        <f t="shared" si="2"/>
        <v>7.2727272727272734E-4</v>
      </c>
      <c r="N42" s="2">
        <f t="shared" si="3"/>
        <v>1.0909090909090912E-3</v>
      </c>
      <c r="O42" s="2">
        <f t="shared" si="4"/>
        <v>1.4545454545454547E-3</v>
      </c>
      <c r="P42" s="2">
        <f t="shared" si="5"/>
        <v>1.8181818181818182E-3</v>
      </c>
      <c r="Q42" s="2">
        <f t="shared" si="6"/>
        <v>2.1818181818181823E-3</v>
      </c>
      <c r="R42" s="2">
        <f t="shared" si="7"/>
        <v>0.20779220779220781</v>
      </c>
      <c r="S42" s="2">
        <f t="shared" si="8"/>
        <v>0.25974025974025977</v>
      </c>
      <c r="T42" s="2">
        <f t="shared" si="9"/>
        <v>0.51948051948051954</v>
      </c>
      <c r="U42" s="2">
        <f t="shared" si="10"/>
        <v>0.77922077922077937</v>
      </c>
      <c r="V42" s="2">
        <f t="shared" si="11"/>
        <v>1.0389610389610391</v>
      </c>
      <c r="W42" s="2">
        <f t="shared" si="12"/>
        <v>1.2987012987012987</v>
      </c>
      <c r="X42" s="2">
        <f t="shared" si="13"/>
        <v>1.5584415584415587</v>
      </c>
      <c r="Y42" s="5" t="str">
        <f t="shared" si="15"/>
        <v>2</v>
      </c>
      <c r="Z42" s="5" t="str">
        <f t="shared" si="15"/>
        <v>2</v>
      </c>
      <c r="AA42" s="5" t="str">
        <f t="shared" si="15"/>
        <v>2</v>
      </c>
      <c r="AB42" s="5" t="str">
        <f t="shared" si="15"/>
        <v>2</v>
      </c>
      <c r="AC42" s="5" t="str">
        <f t="shared" si="15"/>
        <v>1</v>
      </c>
      <c r="AD42" s="5" t="str">
        <f t="shared" si="15"/>
        <v>1</v>
      </c>
      <c r="AE42" s="5" t="str">
        <f t="shared" si="15"/>
        <v>1</v>
      </c>
    </row>
    <row r="43" spans="1:31" ht="14.4" x14ac:dyDescent="0.3">
      <c r="A43" s="14">
        <v>40</v>
      </c>
      <c r="B43" s="24" t="s">
        <v>166</v>
      </c>
      <c r="C43" s="10">
        <v>35</v>
      </c>
      <c r="D43" s="10">
        <v>47</v>
      </c>
      <c r="E43" s="16">
        <v>365</v>
      </c>
      <c r="F43" s="26">
        <v>1E-4</v>
      </c>
      <c r="G43" s="10">
        <v>1200</v>
      </c>
      <c r="H43" s="13">
        <v>1.4E-3</v>
      </c>
      <c r="I43" s="17">
        <v>10950</v>
      </c>
      <c r="J43" s="22">
        <v>20</v>
      </c>
      <c r="K43" s="18">
        <f t="shared" si="0"/>
        <v>1.7021276595744683E-3</v>
      </c>
      <c r="L43" s="2">
        <f t="shared" si="1"/>
        <v>4.2553191489361707E-4</v>
      </c>
      <c r="M43" s="2">
        <f t="shared" si="2"/>
        <v>8.5106382978723414E-4</v>
      </c>
      <c r="N43" s="2">
        <f t="shared" si="3"/>
        <v>1.2765957446808512E-3</v>
      </c>
      <c r="O43" s="2">
        <f t="shared" si="4"/>
        <v>1.7021276595744683E-3</v>
      </c>
      <c r="P43" s="2">
        <f t="shared" si="5"/>
        <v>2.1276595744680851E-3</v>
      </c>
      <c r="Q43" s="2">
        <f t="shared" si="6"/>
        <v>2.5531914893617024E-3</v>
      </c>
      <c r="R43" s="2">
        <f t="shared" si="7"/>
        <v>1.2158054711246202</v>
      </c>
      <c r="S43" s="2">
        <f>L43/H43</f>
        <v>0.30395136778115506</v>
      </c>
      <c r="T43" s="2">
        <f t="shared" si="9"/>
        <v>0.60790273556231011</v>
      </c>
      <c r="U43" s="2">
        <f t="shared" si="10"/>
        <v>0.91185410334346517</v>
      </c>
      <c r="V43" s="2">
        <f t="shared" si="11"/>
        <v>1.2158054711246202</v>
      </c>
      <c r="W43" s="2">
        <f t="shared" si="12"/>
        <v>1.5197568389057752</v>
      </c>
      <c r="X43" s="2">
        <f t="shared" si="13"/>
        <v>1.8237082066869303</v>
      </c>
      <c r="Y43" s="5" t="str">
        <f t="shared" si="15"/>
        <v>1</v>
      </c>
      <c r="Z43" s="5" t="str">
        <f t="shared" si="15"/>
        <v>2</v>
      </c>
      <c r="AA43" s="5" t="str">
        <f t="shared" si="15"/>
        <v>2</v>
      </c>
      <c r="AB43" s="5" t="str">
        <f t="shared" si="15"/>
        <v>2</v>
      </c>
      <c r="AC43" s="5" t="str">
        <f t="shared" si="15"/>
        <v>1</v>
      </c>
      <c r="AD43" s="5" t="str">
        <f t="shared" si="15"/>
        <v>1</v>
      </c>
      <c r="AE43" s="5" t="str">
        <f t="shared" si="15"/>
        <v>1</v>
      </c>
    </row>
    <row r="44" spans="1:31" ht="14.4" x14ac:dyDescent="0.3">
      <c r="A44" s="14">
        <v>41</v>
      </c>
      <c r="B44" s="24" t="s">
        <v>118</v>
      </c>
      <c r="C44" s="10">
        <v>35</v>
      </c>
      <c r="D44" s="10">
        <v>75</v>
      </c>
      <c r="E44" s="16">
        <v>365</v>
      </c>
      <c r="F44" s="26">
        <v>1E-4</v>
      </c>
      <c r="G44" s="10">
        <v>1200</v>
      </c>
      <c r="H44" s="13">
        <v>1.4E-3</v>
      </c>
      <c r="I44" s="17">
        <v>10950</v>
      </c>
      <c r="J44" s="22">
        <v>5</v>
      </c>
      <c r="K44" s="18">
        <f t="shared" si="0"/>
        <v>2.6666666666666668E-4</v>
      </c>
      <c r="L44" s="2">
        <f t="shared" si="1"/>
        <v>2.6666666666666668E-4</v>
      </c>
      <c r="M44" s="2">
        <f t="shared" si="2"/>
        <v>5.3333333333333336E-4</v>
      </c>
      <c r="N44" s="2">
        <f t="shared" si="3"/>
        <v>8.0000000000000015E-4</v>
      </c>
      <c r="O44" s="2">
        <f t="shared" si="4"/>
        <v>1.0666666666666667E-3</v>
      </c>
      <c r="P44" s="2">
        <f t="shared" si="5"/>
        <v>1.3333333333333333E-3</v>
      </c>
      <c r="Q44" s="2">
        <f t="shared" si="6"/>
        <v>1.6000000000000003E-3</v>
      </c>
      <c r="R44" s="2">
        <f t="shared" si="7"/>
        <v>0.19047619047619049</v>
      </c>
      <c r="S44" s="2">
        <f t="shared" ref="S44:S103" si="16">L44/H44</f>
        <v>0.19047619047619049</v>
      </c>
      <c r="T44" s="2">
        <f t="shared" si="9"/>
        <v>0.38095238095238099</v>
      </c>
      <c r="U44" s="2">
        <f>N44/H44</f>
        <v>0.57142857142857151</v>
      </c>
      <c r="V44" s="2">
        <f>O44/H44</f>
        <v>0.76190476190476197</v>
      </c>
      <c r="W44" s="2">
        <f>P44/H44</f>
        <v>0.95238095238095233</v>
      </c>
      <c r="X44" s="2">
        <f>Q44/H44</f>
        <v>1.142857142857143</v>
      </c>
      <c r="Y44" s="5" t="str">
        <f t="shared" si="15"/>
        <v>2</v>
      </c>
      <c r="Z44" s="5" t="str">
        <f t="shared" si="15"/>
        <v>2</v>
      </c>
      <c r="AA44" s="5" t="str">
        <f t="shared" si="15"/>
        <v>2</v>
      </c>
      <c r="AB44" s="5" t="str">
        <f t="shared" si="15"/>
        <v>2</v>
      </c>
      <c r="AC44" s="5" t="str">
        <f t="shared" si="15"/>
        <v>2</v>
      </c>
      <c r="AD44" s="5" t="str">
        <f t="shared" si="15"/>
        <v>2</v>
      </c>
      <c r="AE44" s="5" t="str">
        <f t="shared" si="15"/>
        <v>1</v>
      </c>
    </row>
    <row r="45" spans="1:31" ht="14.4" x14ac:dyDescent="0.3">
      <c r="A45" s="14">
        <v>42</v>
      </c>
      <c r="B45" s="24" t="s">
        <v>130</v>
      </c>
      <c r="C45" s="10">
        <v>35</v>
      </c>
      <c r="D45" s="10">
        <v>47</v>
      </c>
      <c r="E45" s="16">
        <v>365</v>
      </c>
      <c r="F45" s="26">
        <v>1E-4</v>
      </c>
      <c r="G45" s="10">
        <v>1200</v>
      </c>
      <c r="H45" s="13">
        <v>1.4E-3</v>
      </c>
      <c r="I45" s="17">
        <v>10950</v>
      </c>
      <c r="J45" s="22">
        <v>20</v>
      </c>
      <c r="K45" s="18">
        <f t="shared" si="0"/>
        <v>1.7021276595744683E-3</v>
      </c>
      <c r="L45" s="2">
        <f t="shared" si="1"/>
        <v>4.2553191489361707E-4</v>
      </c>
      <c r="M45" s="2">
        <f t="shared" si="2"/>
        <v>8.5106382978723414E-4</v>
      </c>
      <c r="N45" s="2">
        <f t="shared" si="3"/>
        <v>1.2765957446808512E-3</v>
      </c>
      <c r="O45" s="2">
        <f t="shared" si="4"/>
        <v>1.7021276595744683E-3</v>
      </c>
      <c r="P45" s="2">
        <f t="shared" si="5"/>
        <v>2.1276595744680851E-3</v>
      </c>
      <c r="Q45" s="2">
        <f t="shared" si="6"/>
        <v>2.5531914893617024E-3</v>
      </c>
      <c r="R45" s="2">
        <f t="shared" si="7"/>
        <v>1.2158054711246202</v>
      </c>
      <c r="S45" s="2">
        <f t="shared" si="16"/>
        <v>0.30395136778115506</v>
      </c>
      <c r="T45" s="2">
        <f t="shared" si="9"/>
        <v>0.60790273556231011</v>
      </c>
      <c r="U45" s="2">
        <f>N45/H45</f>
        <v>0.91185410334346517</v>
      </c>
      <c r="V45" s="2">
        <f>O45/H45</f>
        <v>1.2158054711246202</v>
      </c>
      <c r="W45" s="2">
        <f>P45/H45</f>
        <v>1.5197568389057752</v>
      </c>
      <c r="X45" s="2">
        <f>Q45/H45</f>
        <v>1.8237082066869303</v>
      </c>
      <c r="Y45" s="5" t="str">
        <f t="shared" si="15"/>
        <v>1</v>
      </c>
      <c r="Z45" s="5" t="str">
        <f t="shared" si="15"/>
        <v>2</v>
      </c>
      <c r="AA45" s="5" t="str">
        <f t="shared" si="15"/>
        <v>2</v>
      </c>
      <c r="AB45" s="5" t="str">
        <f t="shared" si="15"/>
        <v>2</v>
      </c>
      <c r="AC45" s="5" t="str">
        <f t="shared" si="15"/>
        <v>1</v>
      </c>
      <c r="AD45" s="5" t="str">
        <f t="shared" si="15"/>
        <v>1</v>
      </c>
      <c r="AE45" s="5" t="str">
        <f t="shared" si="15"/>
        <v>1</v>
      </c>
    </row>
    <row r="46" spans="1:31" ht="14.4" x14ac:dyDescent="0.3">
      <c r="A46" s="14">
        <v>43</v>
      </c>
      <c r="B46" s="24" t="s">
        <v>138</v>
      </c>
      <c r="C46" s="10">
        <v>35</v>
      </c>
      <c r="D46" s="10">
        <v>75</v>
      </c>
      <c r="E46" s="16">
        <v>365</v>
      </c>
      <c r="F46" s="26">
        <v>1E-4</v>
      </c>
      <c r="G46" s="10">
        <v>1200</v>
      </c>
      <c r="H46" s="13">
        <v>1.4E-3</v>
      </c>
      <c r="I46" s="17">
        <v>10950</v>
      </c>
      <c r="J46" s="22">
        <v>5</v>
      </c>
      <c r="K46" s="18">
        <f t="shared" si="0"/>
        <v>2.6666666666666668E-4</v>
      </c>
      <c r="L46" s="2">
        <f>(F46*G46*E46*5)/(D46*I46)</f>
        <v>2.6666666666666668E-4</v>
      </c>
      <c r="M46" s="2">
        <f t="shared" si="2"/>
        <v>5.3333333333333336E-4</v>
      </c>
      <c r="N46" s="2">
        <f t="shared" si="3"/>
        <v>8.0000000000000015E-4</v>
      </c>
      <c r="O46" s="2">
        <f t="shared" si="4"/>
        <v>1.0666666666666667E-3</v>
      </c>
      <c r="P46" s="2">
        <f t="shared" si="5"/>
        <v>1.3333333333333333E-3</v>
      </c>
      <c r="Q46" s="2">
        <f t="shared" si="6"/>
        <v>1.6000000000000003E-3</v>
      </c>
      <c r="R46" s="2">
        <f t="shared" si="7"/>
        <v>0.19047619047619049</v>
      </c>
      <c r="S46" s="2">
        <f t="shared" si="16"/>
        <v>0.19047619047619049</v>
      </c>
      <c r="T46" s="2">
        <f t="shared" si="9"/>
        <v>0.38095238095238099</v>
      </c>
      <c r="U46" s="2">
        <f t="shared" ref="U46:U103" si="17">N46/H46</f>
        <v>0.57142857142857151</v>
      </c>
      <c r="V46" s="2">
        <f t="shared" ref="V46:V103" si="18">O46/H46</f>
        <v>0.76190476190476197</v>
      </c>
      <c r="W46" s="2">
        <f t="shared" ref="W46:W103" si="19">P46/H46</f>
        <v>0.95238095238095233</v>
      </c>
      <c r="X46" s="2">
        <f t="shared" ref="X46:X103" si="20">Q46/H46</f>
        <v>1.142857142857143</v>
      </c>
      <c r="Y46" s="5" t="str">
        <f t="shared" si="15"/>
        <v>2</v>
      </c>
      <c r="Z46" s="5" t="str">
        <f t="shared" si="15"/>
        <v>2</v>
      </c>
      <c r="AA46" s="5" t="str">
        <f t="shared" si="15"/>
        <v>2</v>
      </c>
      <c r="AB46" s="5" t="str">
        <f t="shared" si="15"/>
        <v>2</v>
      </c>
      <c r="AC46" s="5" t="str">
        <f t="shared" si="15"/>
        <v>2</v>
      </c>
      <c r="AD46" s="5" t="str">
        <f t="shared" si="15"/>
        <v>2</v>
      </c>
      <c r="AE46" s="5" t="str">
        <f t="shared" si="15"/>
        <v>1</v>
      </c>
    </row>
    <row r="47" spans="1:31" ht="14.4" x14ac:dyDescent="0.3">
      <c r="A47" s="14">
        <v>44</v>
      </c>
      <c r="B47" s="24" t="s">
        <v>167</v>
      </c>
      <c r="C47" s="10">
        <v>37</v>
      </c>
      <c r="D47" s="10">
        <v>85</v>
      </c>
      <c r="E47" s="16">
        <v>365</v>
      </c>
      <c r="F47" s="26">
        <v>1E-4</v>
      </c>
      <c r="G47" s="10">
        <v>1500</v>
      </c>
      <c r="H47" s="13">
        <v>1.4E-3</v>
      </c>
      <c r="I47" s="17">
        <v>10950</v>
      </c>
      <c r="J47" s="22">
        <v>6</v>
      </c>
      <c r="K47" s="18">
        <f t="shared" si="0"/>
        <v>3.5294117647058826E-4</v>
      </c>
      <c r="L47" s="2">
        <f t="shared" ref="L47:L103" si="21">(F47*G47*E47*5)/(D47*I47)</f>
        <v>2.941176470588235E-4</v>
      </c>
      <c r="M47" s="2">
        <f t="shared" si="2"/>
        <v>5.8823529411764701E-4</v>
      </c>
      <c r="N47" s="2">
        <f t="shared" si="3"/>
        <v>8.8235294117647062E-4</v>
      </c>
      <c r="O47" s="2">
        <f t="shared" si="4"/>
        <v>1.176470588235294E-3</v>
      </c>
      <c r="P47" s="2">
        <f t="shared" si="5"/>
        <v>1.4705882352941176E-3</v>
      </c>
      <c r="Q47" s="2">
        <f t="shared" si="6"/>
        <v>1.7647058823529412E-3</v>
      </c>
      <c r="R47" s="2">
        <f t="shared" si="7"/>
        <v>0.25210084033613445</v>
      </c>
      <c r="S47" s="2">
        <f t="shared" si="16"/>
        <v>0.21008403361344535</v>
      </c>
      <c r="T47" s="2">
        <f t="shared" si="9"/>
        <v>0.42016806722689071</v>
      </c>
      <c r="U47" s="2">
        <f t="shared" si="17"/>
        <v>0.63025210084033612</v>
      </c>
      <c r="V47" s="2">
        <f t="shared" si="18"/>
        <v>0.84033613445378141</v>
      </c>
      <c r="W47" s="2">
        <f t="shared" si="19"/>
        <v>1.0504201680672269</v>
      </c>
      <c r="X47" s="2">
        <f t="shared" si="20"/>
        <v>1.2605042016806722</v>
      </c>
      <c r="Y47" s="5" t="str">
        <f t="shared" si="15"/>
        <v>2</v>
      </c>
      <c r="Z47" s="5" t="str">
        <f t="shared" si="15"/>
        <v>2</v>
      </c>
      <c r="AA47" s="5" t="str">
        <f t="shared" si="15"/>
        <v>2</v>
      </c>
      <c r="AB47" s="5" t="str">
        <f t="shared" si="15"/>
        <v>2</v>
      </c>
      <c r="AC47" s="5" t="str">
        <f t="shared" si="15"/>
        <v>2</v>
      </c>
      <c r="AD47" s="5" t="str">
        <f t="shared" si="15"/>
        <v>1</v>
      </c>
      <c r="AE47" s="5" t="str">
        <f t="shared" si="15"/>
        <v>1</v>
      </c>
    </row>
    <row r="48" spans="1:31" ht="14.4" x14ac:dyDescent="0.3">
      <c r="A48" s="14">
        <v>45</v>
      </c>
      <c r="B48" s="24" t="s">
        <v>168</v>
      </c>
      <c r="C48" s="10">
        <v>37</v>
      </c>
      <c r="D48" s="10">
        <v>60</v>
      </c>
      <c r="E48" s="16">
        <v>365</v>
      </c>
      <c r="F48" s="26">
        <v>1E-4</v>
      </c>
      <c r="G48" s="10">
        <v>2400</v>
      </c>
      <c r="H48" s="13">
        <v>1.4E-3</v>
      </c>
      <c r="I48" s="17">
        <v>10950</v>
      </c>
      <c r="J48" s="22">
        <v>19</v>
      </c>
      <c r="K48" s="18">
        <f t="shared" si="0"/>
        <v>2.5333333333333336E-3</v>
      </c>
      <c r="L48" s="2">
        <f t="shared" si="21"/>
        <v>6.6666666666666675E-4</v>
      </c>
      <c r="M48" s="2">
        <f t="shared" si="2"/>
        <v>1.3333333333333335E-3</v>
      </c>
      <c r="N48" s="2">
        <f t="shared" si="3"/>
        <v>2.0000000000000005E-3</v>
      </c>
      <c r="O48" s="2">
        <f t="shared" si="4"/>
        <v>2.666666666666667E-3</v>
      </c>
      <c r="P48" s="2">
        <f t="shared" si="5"/>
        <v>3.3333333333333335E-3</v>
      </c>
      <c r="Q48" s="2">
        <f t="shared" si="6"/>
        <v>4.000000000000001E-3</v>
      </c>
      <c r="R48" s="2">
        <f t="shared" si="7"/>
        <v>1.8095238095238098</v>
      </c>
      <c r="S48" s="2">
        <f t="shared" si="16"/>
        <v>0.47619047619047628</v>
      </c>
      <c r="T48" s="2">
        <f t="shared" si="9"/>
        <v>0.95238095238095255</v>
      </c>
      <c r="U48" s="2">
        <f t="shared" si="17"/>
        <v>1.4285714285714288</v>
      </c>
      <c r="V48" s="2">
        <f t="shared" si="18"/>
        <v>1.9047619047619051</v>
      </c>
      <c r="W48" s="2">
        <f t="shared" si="19"/>
        <v>2.3809523809523809</v>
      </c>
      <c r="X48" s="2">
        <f t="shared" si="20"/>
        <v>2.8571428571428577</v>
      </c>
      <c r="Y48" s="5" t="str">
        <f t="shared" si="15"/>
        <v>1</v>
      </c>
      <c r="Z48" s="5" t="str">
        <f t="shared" si="15"/>
        <v>2</v>
      </c>
      <c r="AA48" s="5" t="str">
        <f t="shared" si="15"/>
        <v>2</v>
      </c>
      <c r="AB48" s="5" t="str">
        <f t="shared" si="15"/>
        <v>1</v>
      </c>
      <c r="AC48" s="5" t="str">
        <f t="shared" si="15"/>
        <v>1</v>
      </c>
      <c r="AD48" s="5" t="str">
        <f t="shared" si="15"/>
        <v>1</v>
      </c>
      <c r="AE48" s="5" t="str">
        <f t="shared" si="15"/>
        <v>1</v>
      </c>
    </row>
    <row r="49" spans="1:31" ht="14.4" x14ac:dyDescent="0.3">
      <c r="A49" s="14">
        <v>46</v>
      </c>
      <c r="B49" s="24" t="s">
        <v>125</v>
      </c>
      <c r="C49" s="10">
        <v>37</v>
      </c>
      <c r="D49" s="10">
        <v>85</v>
      </c>
      <c r="E49" s="16">
        <v>365</v>
      </c>
      <c r="F49" s="26">
        <v>1E-4</v>
      </c>
      <c r="G49" s="10">
        <v>1500</v>
      </c>
      <c r="H49" s="13">
        <v>1.4E-3</v>
      </c>
      <c r="I49" s="17">
        <v>10950</v>
      </c>
      <c r="J49" s="22">
        <v>6</v>
      </c>
      <c r="K49" s="18">
        <f t="shared" si="0"/>
        <v>3.5294117647058826E-4</v>
      </c>
      <c r="L49" s="2">
        <f t="shared" si="21"/>
        <v>2.941176470588235E-4</v>
      </c>
      <c r="M49" s="2">
        <f t="shared" si="2"/>
        <v>5.8823529411764701E-4</v>
      </c>
      <c r="N49" s="2">
        <f t="shared" si="3"/>
        <v>8.8235294117647062E-4</v>
      </c>
      <c r="O49" s="2">
        <f t="shared" si="4"/>
        <v>1.176470588235294E-3</v>
      </c>
      <c r="P49" s="2">
        <f t="shared" si="5"/>
        <v>1.4705882352941176E-3</v>
      </c>
      <c r="Q49" s="2">
        <f t="shared" si="6"/>
        <v>1.7647058823529412E-3</v>
      </c>
      <c r="R49" s="2">
        <f t="shared" si="7"/>
        <v>0.25210084033613445</v>
      </c>
      <c r="S49" s="2">
        <f t="shared" si="16"/>
        <v>0.21008403361344535</v>
      </c>
      <c r="T49" s="2">
        <f t="shared" si="9"/>
        <v>0.42016806722689071</v>
      </c>
      <c r="U49" s="2">
        <f t="shared" si="17"/>
        <v>0.63025210084033612</v>
      </c>
      <c r="V49" s="2">
        <f t="shared" si="18"/>
        <v>0.84033613445378141</v>
      </c>
      <c r="W49" s="2">
        <f t="shared" si="19"/>
        <v>1.0504201680672269</v>
      </c>
      <c r="X49" s="2">
        <f t="shared" si="20"/>
        <v>1.2605042016806722</v>
      </c>
      <c r="Y49" s="5" t="str">
        <f t="shared" si="15"/>
        <v>2</v>
      </c>
      <c r="Z49" s="5" t="str">
        <f t="shared" si="15"/>
        <v>2</v>
      </c>
      <c r="AA49" s="5" t="str">
        <f t="shared" si="15"/>
        <v>2</v>
      </c>
      <c r="AB49" s="5" t="str">
        <f t="shared" si="15"/>
        <v>2</v>
      </c>
      <c r="AC49" s="5" t="str">
        <f t="shared" si="15"/>
        <v>2</v>
      </c>
      <c r="AD49" s="5" t="str">
        <f t="shared" si="15"/>
        <v>1</v>
      </c>
      <c r="AE49" s="5" t="str">
        <f t="shared" si="15"/>
        <v>1</v>
      </c>
    </row>
    <row r="50" spans="1:31" ht="14.4" x14ac:dyDescent="0.3">
      <c r="A50" s="14">
        <v>47</v>
      </c>
      <c r="B50" s="24" t="s">
        <v>128</v>
      </c>
      <c r="C50" s="10">
        <v>37</v>
      </c>
      <c r="D50" s="10">
        <v>60</v>
      </c>
      <c r="E50" s="16">
        <v>365</v>
      </c>
      <c r="F50" s="26">
        <v>1E-4</v>
      </c>
      <c r="G50" s="10">
        <v>2400</v>
      </c>
      <c r="H50" s="13">
        <v>1.4E-3</v>
      </c>
      <c r="I50" s="17">
        <v>10950</v>
      </c>
      <c r="J50" s="22">
        <v>19</v>
      </c>
      <c r="K50" s="18">
        <f t="shared" si="0"/>
        <v>2.5333333333333336E-3</v>
      </c>
      <c r="L50" s="2">
        <f t="shared" si="21"/>
        <v>6.6666666666666675E-4</v>
      </c>
      <c r="M50" s="2">
        <f t="shared" si="2"/>
        <v>1.3333333333333335E-3</v>
      </c>
      <c r="N50" s="2">
        <f t="shared" si="3"/>
        <v>2.0000000000000005E-3</v>
      </c>
      <c r="O50" s="2">
        <f t="shared" si="4"/>
        <v>2.666666666666667E-3</v>
      </c>
      <c r="P50" s="2">
        <f t="shared" si="5"/>
        <v>3.3333333333333335E-3</v>
      </c>
      <c r="Q50" s="2">
        <f t="shared" si="6"/>
        <v>4.000000000000001E-3</v>
      </c>
      <c r="R50" s="2">
        <f t="shared" si="7"/>
        <v>1.8095238095238098</v>
      </c>
      <c r="S50" s="2">
        <f t="shared" si="16"/>
        <v>0.47619047619047628</v>
      </c>
      <c r="T50" s="2">
        <f t="shared" si="9"/>
        <v>0.95238095238095255</v>
      </c>
      <c r="U50" s="2">
        <f t="shared" si="17"/>
        <v>1.4285714285714288</v>
      </c>
      <c r="V50" s="2">
        <f t="shared" si="18"/>
        <v>1.9047619047619051</v>
      </c>
      <c r="W50" s="2">
        <f t="shared" si="19"/>
        <v>2.3809523809523809</v>
      </c>
      <c r="X50" s="2">
        <f t="shared" si="20"/>
        <v>2.8571428571428577</v>
      </c>
      <c r="Y50" s="5" t="str">
        <f t="shared" si="15"/>
        <v>1</v>
      </c>
      <c r="Z50" s="5" t="str">
        <f t="shared" si="15"/>
        <v>2</v>
      </c>
      <c r="AA50" s="5" t="str">
        <f t="shared" si="15"/>
        <v>2</v>
      </c>
      <c r="AB50" s="5" t="str">
        <f t="shared" si="15"/>
        <v>1</v>
      </c>
      <c r="AC50" s="5" t="str">
        <f t="shared" si="15"/>
        <v>1</v>
      </c>
      <c r="AD50" s="5" t="str">
        <f t="shared" si="15"/>
        <v>1</v>
      </c>
      <c r="AE50" s="5" t="str">
        <f t="shared" si="15"/>
        <v>1</v>
      </c>
    </row>
    <row r="51" spans="1:31" ht="14.4" x14ac:dyDescent="0.3">
      <c r="A51" s="14">
        <v>48</v>
      </c>
      <c r="B51" s="24" t="s">
        <v>169</v>
      </c>
      <c r="C51" s="10">
        <v>38</v>
      </c>
      <c r="D51" s="10">
        <v>43</v>
      </c>
      <c r="E51" s="16">
        <v>365</v>
      </c>
      <c r="F51" s="26">
        <v>1E-4</v>
      </c>
      <c r="G51" s="10">
        <v>2100</v>
      </c>
      <c r="H51" s="13">
        <v>1.4E-3</v>
      </c>
      <c r="I51" s="17">
        <v>10950</v>
      </c>
      <c r="J51" s="22">
        <v>11</v>
      </c>
      <c r="K51" s="18">
        <f t="shared" si="0"/>
        <v>1.7906976744186049E-3</v>
      </c>
      <c r="L51" s="2">
        <f t="shared" si="21"/>
        <v>8.1395348837209306E-4</v>
      </c>
      <c r="M51" s="2">
        <f t="shared" si="2"/>
        <v>1.6279069767441861E-3</v>
      </c>
      <c r="N51" s="2">
        <f t="shared" si="3"/>
        <v>2.4418604651162789E-3</v>
      </c>
      <c r="O51" s="2">
        <f t="shared" si="4"/>
        <v>3.2558139534883722E-3</v>
      </c>
      <c r="P51" s="2">
        <f t="shared" si="5"/>
        <v>4.0697674418604659E-3</v>
      </c>
      <c r="Q51" s="2">
        <f t="shared" si="6"/>
        <v>4.8837209302325579E-3</v>
      </c>
      <c r="R51" s="2">
        <f t="shared" si="7"/>
        <v>1.2790697674418607</v>
      </c>
      <c r="S51" s="2">
        <f t="shared" si="16"/>
        <v>0.58139534883720934</v>
      </c>
      <c r="T51" s="2">
        <f t="shared" si="9"/>
        <v>1.1627906976744187</v>
      </c>
      <c r="U51" s="2">
        <f t="shared" si="17"/>
        <v>1.7441860465116279</v>
      </c>
      <c r="V51" s="2">
        <f t="shared" si="18"/>
        <v>2.3255813953488373</v>
      </c>
      <c r="W51" s="2">
        <f t="shared" si="19"/>
        <v>2.9069767441860472</v>
      </c>
      <c r="X51" s="2">
        <f t="shared" si="20"/>
        <v>3.4883720930232558</v>
      </c>
      <c r="Y51" s="5" t="str">
        <f t="shared" si="15"/>
        <v>1</v>
      </c>
      <c r="Z51" s="5" t="str">
        <f t="shared" si="15"/>
        <v>2</v>
      </c>
      <c r="AA51" s="5" t="str">
        <f t="shared" si="15"/>
        <v>1</v>
      </c>
      <c r="AB51" s="5" t="str">
        <f t="shared" si="15"/>
        <v>1</v>
      </c>
      <c r="AC51" s="5" t="str">
        <f t="shared" si="15"/>
        <v>1</v>
      </c>
      <c r="AD51" s="5" t="str">
        <f t="shared" si="15"/>
        <v>1</v>
      </c>
      <c r="AE51" s="5" t="str">
        <f t="shared" si="15"/>
        <v>1</v>
      </c>
    </row>
    <row r="52" spans="1:31" ht="14.4" x14ac:dyDescent="0.3">
      <c r="A52" s="14">
        <v>49</v>
      </c>
      <c r="B52" s="24" t="s">
        <v>170</v>
      </c>
      <c r="C52" s="10">
        <v>38</v>
      </c>
      <c r="D52" s="10">
        <v>50</v>
      </c>
      <c r="E52" s="16">
        <v>365</v>
      </c>
      <c r="F52" s="26">
        <v>1E-4</v>
      </c>
      <c r="G52" s="10">
        <v>900</v>
      </c>
      <c r="H52" s="13">
        <v>1.4E-3</v>
      </c>
      <c r="I52" s="17">
        <v>10950</v>
      </c>
      <c r="J52" s="22">
        <v>1</v>
      </c>
      <c r="K52" s="18">
        <f t="shared" si="0"/>
        <v>6.0000000000000002E-5</v>
      </c>
      <c r="L52" s="2">
        <f t="shared" si="21"/>
        <v>2.9999999999999997E-4</v>
      </c>
      <c r="M52" s="2">
        <f t="shared" si="2"/>
        <v>5.9999999999999995E-4</v>
      </c>
      <c r="N52" s="2">
        <f t="shared" si="3"/>
        <v>8.9999999999999998E-4</v>
      </c>
      <c r="O52" s="2">
        <f t="shared" si="4"/>
        <v>1.1999999999999999E-3</v>
      </c>
      <c r="P52" s="2">
        <f t="shared" si="5"/>
        <v>1.5E-3</v>
      </c>
      <c r="Q52" s="2">
        <f t="shared" si="6"/>
        <v>1.8E-3</v>
      </c>
      <c r="R52" s="2">
        <f t="shared" si="7"/>
        <v>4.2857142857142858E-2</v>
      </c>
      <c r="S52" s="2">
        <f t="shared" si="16"/>
        <v>0.21428571428571427</v>
      </c>
      <c r="T52" s="2">
        <f t="shared" si="9"/>
        <v>0.42857142857142855</v>
      </c>
      <c r="U52" s="2">
        <f t="shared" si="17"/>
        <v>0.64285714285714279</v>
      </c>
      <c r="V52" s="2">
        <f t="shared" si="18"/>
        <v>0.8571428571428571</v>
      </c>
      <c r="W52" s="2">
        <f t="shared" si="19"/>
        <v>1.0714285714285714</v>
      </c>
      <c r="X52" s="2">
        <f t="shared" si="20"/>
        <v>1.2857142857142856</v>
      </c>
      <c r="Y52" s="5" t="str">
        <f t="shared" si="15"/>
        <v>2</v>
      </c>
      <c r="Z52" s="5" t="str">
        <f t="shared" si="15"/>
        <v>2</v>
      </c>
      <c r="AA52" s="5" t="str">
        <f t="shared" si="15"/>
        <v>2</v>
      </c>
      <c r="AB52" s="5" t="str">
        <f t="shared" si="15"/>
        <v>2</v>
      </c>
      <c r="AC52" s="5" t="str">
        <f t="shared" si="15"/>
        <v>2</v>
      </c>
      <c r="AD52" s="5" t="str">
        <f t="shared" si="15"/>
        <v>1</v>
      </c>
      <c r="AE52" s="5" t="str">
        <f t="shared" si="15"/>
        <v>1</v>
      </c>
    </row>
    <row r="53" spans="1:31" ht="14.4" x14ac:dyDescent="0.3">
      <c r="A53" s="14">
        <v>50</v>
      </c>
      <c r="B53" s="24" t="s">
        <v>121</v>
      </c>
      <c r="C53" s="10">
        <v>38</v>
      </c>
      <c r="D53" s="10">
        <v>43</v>
      </c>
      <c r="E53" s="16">
        <v>365</v>
      </c>
      <c r="F53" s="26">
        <v>1E-4</v>
      </c>
      <c r="G53" s="10">
        <v>2100</v>
      </c>
      <c r="H53" s="13">
        <v>1.4E-3</v>
      </c>
      <c r="I53" s="17">
        <v>10950</v>
      </c>
      <c r="J53" s="22">
        <v>11</v>
      </c>
      <c r="K53" s="18">
        <f t="shared" si="0"/>
        <v>1.7906976744186049E-3</v>
      </c>
      <c r="L53" s="2">
        <f t="shared" si="21"/>
        <v>8.1395348837209306E-4</v>
      </c>
      <c r="M53" s="2">
        <f t="shared" si="2"/>
        <v>1.6279069767441861E-3</v>
      </c>
      <c r="N53" s="2">
        <f t="shared" si="3"/>
        <v>2.4418604651162789E-3</v>
      </c>
      <c r="O53" s="2">
        <f t="shared" si="4"/>
        <v>3.2558139534883722E-3</v>
      </c>
      <c r="P53" s="2">
        <f t="shared" si="5"/>
        <v>4.0697674418604659E-3</v>
      </c>
      <c r="Q53" s="2">
        <f t="shared" si="6"/>
        <v>4.8837209302325579E-3</v>
      </c>
      <c r="R53" s="2">
        <f t="shared" si="7"/>
        <v>1.2790697674418607</v>
      </c>
      <c r="S53" s="2">
        <f t="shared" si="16"/>
        <v>0.58139534883720934</v>
      </c>
      <c r="T53" s="2">
        <f t="shared" si="9"/>
        <v>1.1627906976744187</v>
      </c>
      <c r="U53" s="2">
        <f t="shared" si="17"/>
        <v>1.7441860465116279</v>
      </c>
      <c r="V53" s="2">
        <f t="shared" si="18"/>
        <v>2.3255813953488373</v>
      </c>
      <c r="W53" s="2">
        <f t="shared" si="19"/>
        <v>2.9069767441860472</v>
      </c>
      <c r="X53" s="2">
        <f t="shared" si="20"/>
        <v>3.4883720930232558</v>
      </c>
      <c r="Y53" s="5" t="str">
        <f t="shared" si="15"/>
        <v>1</v>
      </c>
      <c r="Z53" s="5" t="str">
        <f t="shared" si="15"/>
        <v>2</v>
      </c>
      <c r="AA53" s="5" t="str">
        <f t="shared" si="15"/>
        <v>1</v>
      </c>
      <c r="AB53" s="5" t="str">
        <f t="shared" si="15"/>
        <v>1</v>
      </c>
      <c r="AC53" s="5" t="str">
        <f t="shared" si="15"/>
        <v>1</v>
      </c>
      <c r="AD53" s="5" t="str">
        <f t="shared" si="15"/>
        <v>1</v>
      </c>
      <c r="AE53" s="5" t="str">
        <f t="shared" si="15"/>
        <v>1</v>
      </c>
    </row>
    <row r="54" spans="1:31" ht="14.4" x14ac:dyDescent="0.3">
      <c r="A54" s="14">
        <v>51</v>
      </c>
      <c r="B54" s="24" t="s">
        <v>142</v>
      </c>
      <c r="C54" s="10">
        <v>38</v>
      </c>
      <c r="D54" s="10">
        <v>50</v>
      </c>
      <c r="E54" s="16">
        <v>365</v>
      </c>
      <c r="F54" s="26">
        <v>1E-4</v>
      </c>
      <c r="G54" s="10">
        <v>900</v>
      </c>
      <c r="H54" s="13">
        <v>1.4E-3</v>
      </c>
      <c r="I54" s="17">
        <v>10950</v>
      </c>
      <c r="J54" s="22">
        <v>1</v>
      </c>
      <c r="K54" s="18">
        <f t="shared" si="0"/>
        <v>6.0000000000000002E-5</v>
      </c>
      <c r="L54" s="2">
        <f t="shared" si="21"/>
        <v>2.9999999999999997E-4</v>
      </c>
      <c r="M54" s="2">
        <f t="shared" si="2"/>
        <v>5.9999999999999995E-4</v>
      </c>
      <c r="N54" s="2">
        <f t="shared" si="3"/>
        <v>8.9999999999999998E-4</v>
      </c>
      <c r="O54" s="2">
        <f t="shared" si="4"/>
        <v>1.1999999999999999E-3</v>
      </c>
      <c r="P54" s="2">
        <f t="shared" si="5"/>
        <v>1.5E-3</v>
      </c>
      <c r="Q54" s="2">
        <f t="shared" si="6"/>
        <v>1.8E-3</v>
      </c>
      <c r="R54" s="2">
        <f t="shared" si="7"/>
        <v>4.2857142857142858E-2</v>
      </c>
      <c r="S54" s="2">
        <f t="shared" si="16"/>
        <v>0.21428571428571427</v>
      </c>
      <c r="T54" s="2">
        <f t="shared" si="9"/>
        <v>0.42857142857142855</v>
      </c>
      <c r="U54" s="2">
        <f t="shared" si="17"/>
        <v>0.64285714285714279</v>
      </c>
      <c r="V54" s="2">
        <f t="shared" si="18"/>
        <v>0.8571428571428571</v>
      </c>
      <c r="W54" s="2">
        <f t="shared" si="19"/>
        <v>1.0714285714285714</v>
      </c>
      <c r="X54" s="2">
        <f t="shared" si="20"/>
        <v>1.2857142857142856</v>
      </c>
      <c r="Y54" s="5" t="str">
        <f t="shared" ref="Y54:AE90" si="22">IF(R54&gt;1,"1","2")</f>
        <v>2</v>
      </c>
      <c r="Z54" s="5" t="str">
        <f t="shared" si="22"/>
        <v>2</v>
      </c>
      <c r="AA54" s="5" t="str">
        <f t="shared" si="22"/>
        <v>2</v>
      </c>
      <c r="AB54" s="5" t="str">
        <f t="shared" si="22"/>
        <v>2</v>
      </c>
      <c r="AC54" s="5" t="str">
        <f t="shared" si="22"/>
        <v>2</v>
      </c>
      <c r="AD54" s="5" t="str">
        <f t="shared" si="22"/>
        <v>1</v>
      </c>
      <c r="AE54" s="5" t="str">
        <f t="shared" si="22"/>
        <v>1</v>
      </c>
    </row>
    <row r="55" spans="1:31" ht="14.4" x14ac:dyDescent="0.3">
      <c r="A55" s="14">
        <v>52</v>
      </c>
      <c r="B55" s="24" t="s">
        <v>142</v>
      </c>
      <c r="C55" s="10">
        <v>38</v>
      </c>
      <c r="D55" s="10">
        <v>50</v>
      </c>
      <c r="E55" s="16">
        <v>365</v>
      </c>
      <c r="F55" s="26">
        <v>1E-4</v>
      </c>
      <c r="G55" s="10">
        <v>900</v>
      </c>
      <c r="H55" s="13">
        <v>1.4E-3</v>
      </c>
      <c r="I55" s="17">
        <v>10950</v>
      </c>
      <c r="J55" s="22">
        <v>1</v>
      </c>
      <c r="K55" s="18">
        <f t="shared" si="0"/>
        <v>6.0000000000000002E-5</v>
      </c>
      <c r="L55" s="2">
        <f t="shared" si="21"/>
        <v>2.9999999999999997E-4</v>
      </c>
      <c r="M55" s="2">
        <f t="shared" si="2"/>
        <v>5.9999999999999995E-4</v>
      </c>
      <c r="N55" s="2">
        <f t="shared" si="3"/>
        <v>8.9999999999999998E-4</v>
      </c>
      <c r="O55" s="2">
        <f t="shared" si="4"/>
        <v>1.1999999999999999E-3</v>
      </c>
      <c r="P55" s="2">
        <f t="shared" si="5"/>
        <v>1.5E-3</v>
      </c>
      <c r="Q55" s="2">
        <f t="shared" si="6"/>
        <v>1.8E-3</v>
      </c>
      <c r="R55" s="2">
        <f t="shared" si="7"/>
        <v>4.2857142857142858E-2</v>
      </c>
      <c r="S55" s="2">
        <f t="shared" si="16"/>
        <v>0.21428571428571427</v>
      </c>
      <c r="T55" s="2">
        <f t="shared" si="9"/>
        <v>0.42857142857142855</v>
      </c>
      <c r="U55" s="2">
        <f t="shared" si="17"/>
        <v>0.64285714285714279</v>
      </c>
      <c r="V55" s="2">
        <f t="shared" si="18"/>
        <v>0.8571428571428571</v>
      </c>
      <c r="W55" s="2">
        <f t="shared" si="19"/>
        <v>1.0714285714285714</v>
      </c>
      <c r="X55" s="2">
        <f t="shared" si="20"/>
        <v>1.2857142857142856</v>
      </c>
      <c r="Y55" s="5" t="str">
        <f t="shared" si="22"/>
        <v>2</v>
      </c>
      <c r="Z55" s="5" t="str">
        <f t="shared" si="22"/>
        <v>2</v>
      </c>
      <c r="AA55" s="5" t="str">
        <f t="shared" si="22"/>
        <v>2</v>
      </c>
      <c r="AB55" s="5" t="str">
        <f t="shared" si="22"/>
        <v>2</v>
      </c>
      <c r="AC55" s="5" t="str">
        <f t="shared" si="22"/>
        <v>2</v>
      </c>
      <c r="AD55" s="5" t="str">
        <f t="shared" si="22"/>
        <v>1</v>
      </c>
      <c r="AE55" s="5" t="str">
        <f t="shared" si="22"/>
        <v>1</v>
      </c>
    </row>
    <row r="56" spans="1:31" ht="14.4" x14ac:dyDescent="0.3">
      <c r="A56" s="14">
        <v>53</v>
      </c>
      <c r="B56" s="24" t="s">
        <v>171</v>
      </c>
      <c r="C56" s="10">
        <v>39</v>
      </c>
      <c r="D56" s="10">
        <v>65</v>
      </c>
      <c r="E56" s="16">
        <v>365</v>
      </c>
      <c r="F56" s="26">
        <v>1E-4</v>
      </c>
      <c r="G56" s="10">
        <v>1200</v>
      </c>
      <c r="H56" s="13">
        <v>1.4E-3</v>
      </c>
      <c r="I56" s="17">
        <v>10950</v>
      </c>
      <c r="J56" s="22">
        <v>12</v>
      </c>
      <c r="K56" s="18">
        <f t="shared" si="0"/>
        <v>7.3846153846153853E-4</v>
      </c>
      <c r="L56" s="2">
        <f t="shared" si="21"/>
        <v>3.0769230769230776E-4</v>
      </c>
      <c r="M56" s="2">
        <f t="shared" si="2"/>
        <v>6.1538461538461551E-4</v>
      </c>
      <c r="N56" s="2">
        <f t="shared" si="3"/>
        <v>9.2307692307692327E-4</v>
      </c>
      <c r="O56" s="2">
        <f t="shared" si="4"/>
        <v>1.230769230769231E-3</v>
      </c>
      <c r="P56" s="2">
        <f t="shared" si="5"/>
        <v>1.5384615384615385E-3</v>
      </c>
      <c r="Q56" s="2">
        <f t="shared" si="6"/>
        <v>1.8461538461538465E-3</v>
      </c>
      <c r="R56" s="2">
        <f t="shared" si="7"/>
        <v>0.52747252747252749</v>
      </c>
      <c r="S56" s="2">
        <f t="shared" si="16"/>
        <v>0.21978021978021983</v>
      </c>
      <c r="T56" s="2">
        <f t="shared" si="9"/>
        <v>0.43956043956043966</v>
      </c>
      <c r="U56" s="2">
        <f t="shared" si="17"/>
        <v>0.65934065934065944</v>
      </c>
      <c r="V56" s="2">
        <f t="shared" si="18"/>
        <v>0.87912087912087933</v>
      </c>
      <c r="W56" s="2">
        <f t="shared" si="19"/>
        <v>1.098901098901099</v>
      </c>
      <c r="X56" s="2">
        <f t="shared" si="20"/>
        <v>1.3186813186813189</v>
      </c>
      <c r="Y56" s="5" t="str">
        <f t="shared" si="22"/>
        <v>2</v>
      </c>
      <c r="Z56" s="5" t="str">
        <f t="shared" si="22"/>
        <v>2</v>
      </c>
      <c r="AA56" s="5" t="str">
        <f t="shared" si="22"/>
        <v>2</v>
      </c>
      <c r="AB56" s="5" t="str">
        <f t="shared" si="22"/>
        <v>2</v>
      </c>
      <c r="AC56" s="5" t="str">
        <f t="shared" si="22"/>
        <v>2</v>
      </c>
      <c r="AD56" s="5" t="str">
        <f t="shared" si="22"/>
        <v>1</v>
      </c>
      <c r="AE56" s="5" t="str">
        <f t="shared" si="22"/>
        <v>1</v>
      </c>
    </row>
    <row r="57" spans="1:31" ht="14.4" x14ac:dyDescent="0.3">
      <c r="A57" s="14">
        <v>54</v>
      </c>
      <c r="B57" s="24" t="s">
        <v>172</v>
      </c>
      <c r="C57" s="10">
        <v>39</v>
      </c>
      <c r="D57" s="10">
        <v>83</v>
      </c>
      <c r="E57" s="16">
        <v>365</v>
      </c>
      <c r="F57" s="26">
        <v>1E-4</v>
      </c>
      <c r="G57" s="10">
        <v>900</v>
      </c>
      <c r="H57" s="13">
        <v>1.4E-3</v>
      </c>
      <c r="I57" s="17">
        <v>10950</v>
      </c>
      <c r="J57" s="22">
        <v>39</v>
      </c>
      <c r="K57" s="18">
        <f t="shared" si="0"/>
        <v>1.4096385542168677E-3</v>
      </c>
      <c r="L57" s="2">
        <f t="shared" si="21"/>
        <v>1.8072289156626507E-4</v>
      </c>
      <c r="M57" s="2">
        <f t="shared" si="2"/>
        <v>3.6144578313253013E-4</v>
      </c>
      <c r="N57" s="2">
        <f t="shared" si="3"/>
        <v>5.421686746987952E-4</v>
      </c>
      <c r="O57" s="2">
        <f t="shared" si="4"/>
        <v>7.2289156626506026E-4</v>
      </c>
      <c r="P57" s="2">
        <f t="shared" si="5"/>
        <v>9.0361445783132533E-4</v>
      </c>
      <c r="Q57" s="2">
        <f t="shared" si="6"/>
        <v>1.0843373493975904E-3</v>
      </c>
      <c r="R57" s="2">
        <f t="shared" si="7"/>
        <v>1.0068846815834769</v>
      </c>
      <c r="S57" s="2">
        <f t="shared" si="16"/>
        <v>0.12908777969018934</v>
      </c>
      <c r="T57" s="2">
        <f t="shared" si="9"/>
        <v>0.25817555938037867</v>
      </c>
      <c r="U57" s="2">
        <f t="shared" si="17"/>
        <v>0.38726333907056798</v>
      </c>
      <c r="V57" s="2">
        <f t="shared" si="18"/>
        <v>0.51635111876075734</v>
      </c>
      <c r="W57" s="2">
        <f t="shared" si="19"/>
        <v>0.64543889845094671</v>
      </c>
      <c r="X57" s="2">
        <f t="shared" si="20"/>
        <v>0.77452667814113596</v>
      </c>
      <c r="Y57" s="5" t="str">
        <f t="shared" si="22"/>
        <v>1</v>
      </c>
      <c r="Z57" s="5" t="str">
        <f t="shared" si="22"/>
        <v>2</v>
      </c>
      <c r="AA57" s="5" t="str">
        <f t="shared" si="22"/>
        <v>2</v>
      </c>
      <c r="AB57" s="5" t="str">
        <f t="shared" si="22"/>
        <v>2</v>
      </c>
      <c r="AC57" s="5" t="str">
        <f t="shared" si="22"/>
        <v>2</v>
      </c>
      <c r="AD57" s="5" t="str">
        <f t="shared" si="22"/>
        <v>2</v>
      </c>
      <c r="AE57" s="5" t="str">
        <f t="shared" si="22"/>
        <v>2</v>
      </c>
    </row>
    <row r="58" spans="1:31" ht="14.4" x14ac:dyDescent="0.3">
      <c r="A58" s="14">
        <v>55</v>
      </c>
      <c r="B58" s="24" t="s">
        <v>173</v>
      </c>
      <c r="C58" s="10">
        <v>39</v>
      </c>
      <c r="D58" s="10">
        <v>65</v>
      </c>
      <c r="E58" s="16">
        <v>365</v>
      </c>
      <c r="F58" s="26">
        <v>1E-4</v>
      </c>
      <c r="G58" s="10">
        <v>900</v>
      </c>
      <c r="H58" s="13">
        <v>1.4E-3</v>
      </c>
      <c r="I58" s="17">
        <v>10950</v>
      </c>
      <c r="J58" s="22">
        <v>20</v>
      </c>
      <c r="K58" s="18">
        <f t="shared" si="0"/>
        <v>9.2307692307692305E-4</v>
      </c>
      <c r="L58" s="2">
        <f t="shared" si="21"/>
        <v>2.3076923076923076E-4</v>
      </c>
      <c r="M58" s="2">
        <f t="shared" si="2"/>
        <v>4.6153846153846153E-4</v>
      </c>
      <c r="N58" s="2">
        <f t="shared" si="3"/>
        <v>6.9230769230769226E-4</v>
      </c>
      <c r="O58" s="2">
        <f t="shared" si="4"/>
        <v>9.2307692307692305E-4</v>
      </c>
      <c r="P58" s="2">
        <f t="shared" si="5"/>
        <v>1.153846153846154E-3</v>
      </c>
      <c r="Q58" s="2">
        <f t="shared" si="6"/>
        <v>1.3846153846153845E-3</v>
      </c>
      <c r="R58" s="2">
        <f t="shared" si="7"/>
        <v>0.65934065934065933</v>
      </c>
      <c r="S58" s="2">
        <f t="shared" si="16"/>
        <v>0.16483516483516483</v>
      </c>
      <c r="T58" s="2">
        <f t="shared" si="9"/>
        <v>0.32967032967032966</v>
      </c>
      <c r="U58" s="2">
        <f t="shared" si="17"/>
        <v>0.49450549450549447</v>
      </c>
      <c r="V58" s="2">
        <f t="shared" si="18"/>
        <v>0.65934065934065933</v>
      </c>
      <c r="W58" s="2">
        <f t="shared" si="19"/>
        <v>0.82417582417582425</v>
      </c>
      <c r="X58" s="2">
        <f t="shared" si="20"/>
        <v>0.98901098901098894</v>
      </c>
      <c r="Y58" s="5" t="str">
        <f t="shared" si="22"/>
        <v>2</v>
      </c>
      <c r="Z58" s="5" t="str">
        <f t="shared" si="22"/>
        <v>2</v>
      </c>
      <c r="AA58" s="5" t="str">
        <f t="shared" si="22"/>
        <v>2</v>
      </c>
      <c r="AB58" s="5" t="str">
        <f t="shared" si="22"/>
        <v>2</v>
      </c>
      <c r="AC58" s="5" t="str">
        <f t="shared" si="22"/>
        <v>2</v>
      </c>
      <c r="AD58" s="5" t="str">
        <f t="shared" si="22"/>
        <v>2</v>
      </c>
      <c r="AE58" s="5" t="str">
        <f t="shared" si="22"/>
        <v>2</v>
      </c>
    </row>
    <row r="59" spans="1:31" ht="14.4" x14ac:dyDescent="0.3">
      <c r="A59" s="14">
        <v>56</v>
      </c>
      <c r="B59" s="24" t="s">
        <v>174</v>
      </c>
      <c r="C59" s="10">
        <v>39</v>
      </c>
      <c r="D59" s="10">
        <v>53</v>
      </c>
      <c r="E59" s="16">
        <v>365</v>
      </c>
      <c r="F59" s="26">
        <v>1E-4</v>
      </c>
      <c r="G59" s="10">
        <v>900</v>
      </c>
      <c r="H59" s="13">
        <v>1.4E-3</v>
      </c>
      <c r="I59" s="17">
        <v>10950</v>
      </c>
      <c r="J59" s="22">
        <v>4</v>
      </c>
      <c r="K59" s="18">
        <f t="shared" si="0"/>
        <v>2.2641509433962264E-4</v>
      </c>
      <c r="L59" s="2">
        <f t="shared" si="21"/>
        <v>2.8301886792452831E-4</v>
      </c>
      <c r="M59" s="2">
        <f t="shared" si="2"/>
        <v>5.6603773584905663E-4</v>
      </c>
      <c r="N59" s="2">
        <f t="shared" si="3"/>
        <v>8.4905660377358489E-4</v>
      </c>
      <c r="O59" s="2">
        <f t="shared" si="4"/>
        <v>1.1320754716981133E-3</v>
      </c>
      <c r="P59" s="2">
        <f t="shared" si="5"/>
        <v>1.4150943396226414E-3</v>
      </c>
      <c r="Q59" s="2">
        <f t="shared" si="6"/>
        <v>1.6981132075471698E-3</v>
      </c>
      <c r="R59" s="2">
        <f t="shared" si="7"/>
        <v>0.16172506738544473</v>
      </c>
      <c r="S59" s="2">
        <f t="shared" si="16"/>
        <v>0.20215633423180593</v>
      </c>
      <c r="T59" s="2">
        <f t="shared" si="9"/>
        <v>0.40431266846361186</v>
      </c>
      <c r="U59" s="2">
        <f t="shared" si="17"/>
        <v>0.60646900269541781</v>
      </c>
      <c r="V59" s="2">
        <f t="shared" si="18"/>
        <v>0.80862533692722371</v>
      </c>
      <c r="W59" s="2">
        <f t="shared" si="19"/>
        <v>1.0107816711590296</v>
      </c>
      <c r="X59" s="2">
        <f t="shared" si="20"/>
        <v>1.2129380053908356</v>
      </c>
      <c r="Y59" s="5" t="str">
        <f t="shared" si="22"/>
        <v>2</v>
      </c>
      <c r="Z59" s="5" t="str">
        <f t="shared" si="22"/>
        <v>2</v>
      </c>
      <c r="AA59" s="5" t="str">
        <f t="shared" si="22"/>
        <v>2</v>
      </c>
      <c r="AB59" s="5" t="str">
        <f t="shared" si="22"/>
        <v>2</v>
      </c>
      <c r="AC59" s="5" t="str">
        <f t="shared" si="22"/>
        <v>2</v>
      </c>
      <c r="AD59" s="5" t="str">
        <f t="shared" si="22"/>
        <v>1</v>
      </c>
      <c r="AE59" s="5" t="str">
        <f t="shared" si="22"/>
        <v>1</v>
      </c>
    </row>
    <row r="60" spans="1:31" ht="14.4" x14ac:dyDescent="0.3">
      <c r="A60" s="14">
        <v>57</v>
      </c>
      <c r="B60" s="24" t="s">
        <v>146</v>
      </c>
      <c r="C60" s="10">
        <v>39</v>
      </c>
      <c r="D60" s="10">
        <v>83</v>
      </c>
      <c r="E60" s="16">
        <v>365</v>
      </c>
      <c r="F60" s="26">
        <v>1E-4</v>
      </c>
      <c r="G60" s="10">
        <v>900</v>
      </c>
      <c r="H60" s="13">
        <v>1.4E-3</v>
      </c>
      <c r="I60" s="17">
        <v>10950</v>
      </c>
      <c r="J60" s="22">
        <v>39</v>
      </c>
      <c r="K60" s="18">
        <f t="shared" si="0"/>
        <v>1.4096385542168677E-3</v>
      </c>
      <c r="L60" s="2">
        <f t="shared" si="21"/>
        <v>1.8072289156626507E-4</v>
      </c>
      <c r="M60" s="2">
        <f t="shared" si="2"/>
        <v>3.6144578313253013E-4</v>
      </c>
      <c r="N60" s="2">
        <f t="shared" si="3"/>
        <v>5.421686746987952E-4</v>
      </c>
      <c r="O60" s="2">
        <f t="shared" si="4"/>
        <v>7.2289156626506026E-4</v>
      </c>
      <c r="P60" s="2">
        <f t="shared" si="5"/>
        <v>9.0361445783132533E-4</v>
      </c>
      <c r="Q60" s="2">
        <f t="shared" si="6"/>
        <v>1.0843373493975904E-3</v>
      </c>
      <c r="R60" s="2">
        <f t="shared" si="7"/>
        <v>1.0068846815834769</v>
      </c>
      <c r="S60" s="2">
        <f t="shared" si="16"/>
        <v>0.12908777969018934</v>
      </c>
      <c r="T60" s="2">
        <f t="shared" si="9"/>
        <v>0.25817555938037867</v>
      </c>
      <c r="U60" s="2">
        <f t="shared" si="17"/>
        <v>0.38726333907056798</v>
      </c>
      <c r="V60" s="2">
        <f t="shared" si="18"/>
        <v>0.51635111876075734</v>
      </c>
      <c r="W60" s="2">
        <f t="shared" si="19"/>
        <v>0.64543889845094671</v>
      </c>
      <c r="X60" s="2">
        <f t="shared" si="20"/>
        <v>0.77452667814113596</v>
      </c>
      <c r="Y60" s="5" t="str">
        <f t="shared" si="22"/>
        <v>1</v>
      </c>
      <c r="Z60" s="5" t="str">
        <f t="shared" si="22"/>
        <v>2</v>
      </c>
      <c r="AA60" s="5" t="str">
        <f t="shared" si="22"/>
        <v>2</v>
      </c>
      <c r="AB60" s="5" t="str">
        <f t="shared" si="22"/>
        <v>2</v>
      </c>
      <c r="AC60" s="5" t="str">
        <f t="shared" si="22"/>
        <v>2</v>
      </c>
      <c r="AD60" s="5" t="str">
        <f t="shared" si="22"/>
        <v>2</v>
      </c>
      <c r="AE60" s="5" t="str">
        <f t="shared" si="22"/>
        <v>2</v>
      </c>
    </row>
    <row r="61" spans="1:31" ht="14.4" x14ac:dyDescent="0.3">
      <c r="A61" s="14">
        <v>58</v>
      </c>
      <c r="B61" s="24" t="s">
        <v>175</v>
      </c>
      <c r="C61" s="10">
        <v>40</v>
      </c>
      <c r="D61" s="10">
        <v>64</v>
      </c>
      <c r="E61" s="16">
        <v>365</v>
      </c>
      <c r="F61" s="26">
        <v>1E-4</v>
      </c>
      <c r="G61" s="10">
        <v>900</v>
      </c>
      <c r="H61" s="13">
        <v>1.4E-3</v>
      </c>
      <c r="I61" s="17">
        <v>10950</v>
      </c>
      <c r="J61" s="22">
        <v>5</v>
      </c>
      <c r="K61" s="18">
        <f t="shared" si="0"/>
        <v>2.3437499999999999E-4</v>
      </c>
      <c r="L61" s="2">
        <f t="shared" si="21"/>
        <v>2.3437499999999999E-4</v>
      </c>
      <c r="M61" s="2">
        <f t="shared" si="2"/>
        <v>4.6874999999999998E-4</v>
      </c>
      <c r="N61" s="2">
        <f t="shared" si="3"/>
        <v>7.0312499999999997E-4</v>
      </c>
      <c r="O61" s="2">
        <f t="shared" si="4"/>
        <v>9.3749999999999997E-4</v>
      </c>
      <c r="P61" s="2">
        <f t="shared" si="5"/>
        <v>1.171875E-3</v>
      </c>
      <c r="Q61" s="2">
        <f t="shared" si="6"/>
        <v>1.4062499999999999E-3</v>
      </c>
      <c r="R61" s="2">
        <f t="shared" si="7"/>
        <v>0.16741071428571427</v>
      </c>
      <c r="S61" s="2">
        <f t="shared" si="16"/>
        <v>0.16741071428571427</v>
      </c>
      <c r="T61" s="2">
        <f t="shared" si="9"/>
        <v>0.33482142857142855</v>
      </c>
      <c r="U61" s="2">
        <f t="shared" si="17"/>
        <v>0.50223214285714279</v>
      </c>
      <c r="V61" s="2">
        <f t="shared" si="18"/>
        <v>0.6696428571428571</v>
      </c>
      <c r="W61" s="2">
        <f t="shared" si="19"/>
        <v>0.8370535714285714</v>
      </c>
      <c r="X61" s="2">
        <f t="shared" si="20"/>
        <v>1.0044642857142856</v>
      </c>
      <c r="Y61" s="5" t="str">
        <f t="shared" si="22"/>
        <v>2</v>
      </c>
      <c r="Z61" s="5" t="str">
        <f t="shared" si="22"/>
        <v>2</v>
      </c>
      <c r="AA61" s="5" t="str">
        <f t="shared" si="22"/>
        <v>2</v>
      </c>
      <c r="AB61" s="5" t="str">
        <f t="shared" si="22"/>
        <v>2</v>
      </c>
      <c r="AC61" s="5" t="str">
        <f t="shared" si="22"/>
        <v>2</v>
      </c>
      <c r="AD61" s="5" t="str">
        <f t="shared" si="22"/>
        <v>2</v>
      </c>
      <c r="AE61" s="5" t="str">
        <f t="shared" si="22"/>
        <v>1</v>
      </c>
    </row>
    <row r="62" spans="1:31" ht="14.4" x14ac:dyDescent="0.3">
      <c r="A62" s="14">
        <v>59</v>
      </c>
      <c r="B62" s="24" t="s">
        <v>176</v>
      </c>
      <c r="C62" s="10">
        <v>40</v>
      </c>
      <c r="D62" s="10">
        <v>57</v>
      </c>
      <c r="E62" s="16">
        <v>365</v>
      </c>
      <c r="F62" s="26">
        <v>1E-4</v>
      </c>
      <c r="G62" s="10">
        <v>1500</v>
      </c>
      <c r="H62" s="13">
        <v>1.4E-3</v>
      </c>
      <c r="I62" s="17">
        <v>10950</v>
      </c>
      <c r="J62" s="22">
        <v>6</v>
      </c>
      <c r="K62" s="18">
        <f t="shared" si="0"/>
        <v>5.263157894736842E-4</v>
      </c>
      <c r="L62" s="2">
        <f t="shared" si="21"/>
        <v>4.3859649122807018E-4</v>
      </c>
      <c r="M62" s="2">
        <f t="shared" si="2"/>
        <v>8.7719298245614037E-4</v>
      </c>
      <c r="N62" s="2">
        <f t="shared" si="3"/>
        <v>1.3157894736842105E-3</v>
      </c>
      <c r="O62" s="2">
        <f t="shared" si="4"/>
        <v>1.7543859649122807E-3</v>
      </c>
      <c r="P62" s="2">
        <f t="shared" si="5"/>
        <v>2.1929824561403508E-3</v>
      </c>
      <c r="Q62" s="2">
        <f t="shared" si="6"/>
        <v>2.631578947368421E-3</v>
      </c>
      <c r="R62" s="2">
        <f t="shared" si="7"/>
        <v>0.37593984962406013</v>
      </c>
      <c r="S62" s="2">
        <f t="shared" si="16"/>
        <v>0.31328320802005011</v>
      </c>
      <c r="T62" s="2">
        <f t="shared" si="9"/>
        <v>0.62656641604010022</v>
      </c>
      <c r="U62" s="2">
        <f t="shared" si="17"/>
        <v>0.93984962406015038</v>
      </c>
      <c r="V62" s="2">
        <f t="shared" si="18"/>
        <v>1.2531328320802004</v>
      </c>
      <c r="W62" s="2">
        <f t="shared" si="19"/>
        <v>1.5664160401002505</v>
      </c>
      <c r="X62" s="2">
        <f t="shared" si="20"/>
        <v>1.8796992481203008</v>
      </c>
      <c r="Y62" s="5" t="str">
        <f t="shared" si="22"/>
        <v>2</v>
      </c>
      <c r="Z62" s="5" t="str">
        <f t="shared" si="22"/>
        <v>2</v>
      </c>
      <c r="AA62" s="5" t="str">
        <f t="shared" si="22"/>
        <v>2</v>
      </c>
      <c r="AB62" s="5" t="str">
        <f t="shared" si="22"/>
        <v>2</v>
      </c>
      <c r="AC62" s="5" t="str">
        <f t="shared" si="22"/>
        <v>1</v>
      </c>
      <c r="AD62" s="5" t="str">
        <f t="shared" si="22"/>
        <v>1</v>
      </c>
      <c r="AE62" s="5" t="str">
        <f t="shared" si="22"/>
        <v>1</v>
      </c>
    </row>
    <row r="63" spans="1:31" ht="14.4" x14ac:dyDescent="0.3">
      <c r="A63" s="14">
        <v>60</v>
      </c>
      <c r="B63" s="24" t="s">
        <v>107</v>
      </c>
      <c r="C63" s="10">
        <v>40</v>
      </c>
      <c r="D63" s="10">
        <v>76</v>
      </c>
      <c r="E63" s="16">
        <v>365</v>
      </c>
      <c r="F63" s="26">
        <v>1E-4</v>
      </c>
      <c r="G63" s="10">
        <v>3000</v>
      </c>
      <c r="H63" s="13">
        <v>1.4E-3</v>
      </c>
      <c r="I63" s="17">
        <v>10950</v>
      </c>
      <c r="J63" s="22">
        <v>1</v>
      </c>
      <c r="K63" s="18">
        <f t="shared" si="0"/>
        <v>1.3157894736842105E-4</v>
      </c>
      <c r="L63" s="2">
        <f t="shared" si="21"/>
        <v>6.5789473684210525E-4</v>
      </c>
      <c r="M63" s="2">
        <f t="shared" si="2"/>
        <v>1.3157894736842105E-3</v>
      </c>
      <c r="N63" s="2">
        <f t="shared" si="3"/>
        <v>1.9736842105263159E-3</v>
      </c>
      <c r="O63" s="2">
        <f t="shared" si="4"/>
        <v>2.631578947368421E-3</v>
      </c>
      <c r="P63" s="2">
        <f t="shared" si="5"/>
        <v>3.2894736842105261E-3</v>
      </c>
      <c r="Q63" s="2">
        <f t="shared" si="6"/>
        <v>3.9473684210526317E-3</v>
      </c>
      <c r="R63" s="2">
        <f t="shared" si="7"/>
        <v>9.3984962406015032E-2</v>
      </c>
      <c r="S63" s="2">
        <f t="shared" si="16"/>
        <v>0.46992481203007519</v>
      </c>
      <c r="T63" s="2">
        <f t="shared" si="9"/>
        <v>0.93984962406015038</v>
      </c>
      <c r="U63" s="2">
        <f t="shared" si="17"/>
        <v>1.4097744360902256</v>
      </c>
      <c r="V63" s="2">
        <f t="shared" si="18"/>
        <v>1.8796992481203008</v>
      </c>
      <c r="W63" s="2">
        <f t="shared" si="19"/>
        <v>2.3496240601503757</v>
      </c>
      <c r="X63" s="2">
        <f t="shared" si="20"/>
        <v>2.8195488721804511</v>
      </c>
      <c r="Y63" s="5" t="str">
        <f t="shared" si="22"/>
        <v>2</v>
      </c>
      <c r="Z63" s="5" t="str">
        <f t="shared" si="22"/>
        <v>2</v>
      </c>
      <c r="AA63" s="5" t="str">
        <f t="shared" si="22"/>
        <v>2</v>
      </c>
      <c r="AB63" s="5" t="str">
        <f t="shared" si="22"/>
        <v>1</v>
      </c>
      <c r="AC63" s="5" t="str">
        <f t="shared" si="22"/>
        <v>1</v>
      </c>
      <c r="AD63" s="5" t="str">
        <f t="shared" si="22"/>
        <v>1</v>
      </c>
      <c r="AE63" s="5" t="str">
        <f t="shared" si="22"/>
        <v>1</v>
      </c>
    </row>
    <row r="64" spans="1:31" ht="14.4" x14ac:dyDescent="0.3">
      <c r="A64" s="14">
        <v>61</v>
      </c>
      <c r="B64" s="24" t="s">
        <v>147</v>
      </c>
      <c r="C64" s="10">
        <v>40</v>
      </c>
      <c r="D64" s="10">
        <v>64</v>
      </c>
      <c r="E64" s="16">
        <v>365</v>
      </c>
      <c r="F64" s="26">
        <v>1E-4</v>
      </c>
      <c r="G64" s="10">
        <v>900</v>
      </c>
      <c r="H64" s="13">
        <v>1.4E-3</v>
      </c>
      <c r="I64" s="17">
        <v>10950</v>
      </c>
      <c r="J64" s="22">
        <v>5</v>
      </c>
      <c r="K64" s="18">
        <f t="shared" si="0"/>
        <v>2.3437499999999999E-4</v>
      </c>
      <c r="L64" s="2">
        <f t="shared" si="21"/>
        <v>2.3437499999999999E-4</v>
      </c>
      <c r="M64" s="2">
        <f t="shared" si="2"/>
        <v>4.6874999999999998E-4</v>
      </c>
      <c r="N64" s="2">
        <f t="shared" si="3"/>
        <v>7.0312499999999997E-4</v>
      </c>
      <c r="O64" s="2">
        <f t="shared" si="4"/>
        <v>9.3749999999999997E-4</v>
      </c>
      <c r="P64" s="2">
        <f t="shared" si="5"/>
        <v>1.171875E-3</v>
      </c>
      <c r="Q64" s="2">
        <f t="shared" si="6"/>
        <v>1.4062499999999999E-3</v>
      </c>
      <c r="R64" s="2">
        <f t="shared" si="7"/>
        <v>0.16741071428571427</v>
      </c>
      <c r="S64" s="2">
        <f t="shared" si="16"/>
        <v>0.16741071428571427</v>
      </c>
      <c r="T64" s="2">
        <f t="shared" si="9"/>
        <v>0.33482142857142855</v>
      </c>
      <c r="U64" s="2">
        <f t="shared" si="17"/>
        <v>0.50223214285714279</v>
      </c>
      <c r="V64" s="2">
        <f t="shared" si="18"/>
        <v>0.6696428571428571</v>
      </c>
      <c r="W64" s="2">
        <f t="shared" si="19"/>
        <v>0.8370535714285714</v>
      </c>
      <c r="X64" s="2">
        <f t="shared" si="20"/>
        <v>1.0044642857142856</v>
      </c>
      <c r="Y64" s="5" t="str">
        <f t="shared" si="22"/>
        <v>2</v>
      </c>
      <c r="Z64" s="5" t="str">
        <f t="shared" si="22"/>
        <v>2</v>
      </c>
      <c r="AA64" s="5" t="str">
        <f t="shared" si="22"/>
        <v>2</v>
      </c>
      <c r="AB64" s="5" t="str">
        <f t="shared" si="22"/>
        <v>2</v>
      </c>
      <c r="AC64" s="5" t="str">
        <f t="shared" si="22"/>
        <v>2</v>
      </c>
      <c r="AD64" s="5" t="str">
        <f t="shared" si="22"/>
        <v>2</v>
      </c>
      <c r="AE64" s="5" t="str">
        <f t="shared" si="22"/>
        <v>1</v>
      </c>
    </row>
    <row r="65" spans="1:31" ht="14.4" x14ac:dyDescent="0.3">
      <c r="A65" s="14">
        <v>62</v>
      </c>
      <c r="B65" s="24" t="s">
        <v>177</v>
      </c>
      <c r="C65" s="10">
        <v>41</v>
      </c>
      <c r="D65" s="10">
        <v>55</v>
      </c>
      <c r="E65" s="16">
        <v>365</v>
      </c>
      <c r="F65" s="26">
        <v>1E-4</v>
      </c>
      <c r="G65" s="10">
        <v>2100</v>
      </c>
      <c r="H65" s="13">
        <v>1.4E-3</v>
      </c>
      <c r="I65" s="17">
        <v>10950</v>
      </c>
      <c r="J65" s="22">
        <v>6</v>
      </c>
      <c r="K65" s="18">
        <f t="shared" si="0"/>
        <v>7.6363636363636369E-4</v>
      </c>
      <c r="L65" s="2">
        <f t="shared" si="21"/>
        <v>6.3636363636363641E-4</v>
      </c>
      <c r="M65" s="2">
        <f t="shared" si="2"/>
        <v>1.2727272727272728E-3</v>
      </c>
      <c r="N65" s="2">
        <f t="shared" si="3"/>
        <v>1.9090909090909091E-3</v>
      </c>
      <c r="O65" s="2">
        <f t="shared" si="4"/>
        <v>2.5454545454545456E-3</v>
      </c>
      <c r="P65" s="2">
        <f t="shared" si="5"/>
        <v>3.1818181818181824E-3</v>
      </c>
      <c r="Q65" s="2">
        <f t="shared" si="6"/>
        <v>3.8181818181818182E-3</v>
      </c>
      <c r="R65" s="2">
        <f t="shared" si="7"/>
        <v>0.54545454545454553</v>
      </c>
      <c r="S65" s="2">
        <f t="shared" si="16"/>
        <v>0.45454545454545459</v>
      </c>
      <c r="T65" s="2">
        <f t="shared" si="9"/>
        <v>0.90909090909090917</v>
      </c>
      <c r="U65" s="2">
        <f t="shared" si="17"/>
        <v>1.3636363636363638</v>
      </c>
      <c r="V65" s="2">
        <f t="shared" si="18"/>
        <v>1.8181818181818183</v>
      </c>
      <c r="W65" s="2">
        <f t="shared" si="19"/>
        <v>2.2727272727272729</v>
      </c>
      <c r="X65" s="2">
        <f t="shared" si="20"/>
        <v>2.7272727272727275</v>
      </c>
      <c r="Y65" s="5" t="str">
        <f t="shared" si="22"/>
        <v>2</v>
      </c>
      <c r="Z65" s="5" t="str">
        <f t="shared" si="22"/>
        <v>2</v>
      </c>
      <c r="AA65" s="5" t="str">
        <f t="shared" si="22"/>
        <v>2</v>
      </c>
      <c r="AB65" s="5" t="str">
        <f t="shared" si="22"/>
        <v>1</v>
      </c>
      <c r="AC65" s="5" t="str">
        <f t="shared" si="22"/>
        <v>1</v>
      </c>
      <c r="AD65" s="5" t="str">
        <f t="shared" si="22"/>
        <v>1</v>
      </c>
      <c r="AE65" s="5" t="str">
        <f t="shared" si="22"/>
        <v>1</v>
      </c>
    </row>
    <row r="66" spans="1:31" ht="14.4" x14ac:dyDescent="0.3">
      <c r="A66" s="14">
        <v>63</v>
      </c>
      <c r="B66" s="24" t="s">
        <v>126</v>
      </c>
      <c r="C66" s="10">
        <v>41</v>
      </c>
      <c r="D66" s="10">
        <v>55</v>
      </c>
      <c r="E66" s="16">
        <v>365</v>
      </c>
      <c r="F66" s="26">
        <v>1E-4</v>
      </c>
      <c r="G66" s="10">
        <v>2100</v>
      </c>
      <c r="H66" s="13">
        <v>1.4E-3</v>
      </c>
      <c r="I66" s="17">
        <v>10950</v>
      </c>
      <c r="J66" s="22">
        <v>6</v>
      </c>
      <c r="K66" s="18">
        <f t="shared" si="0"/>
        <v>7.6363636363636369E-4</v>
      </c>
      <c r="L66" s="2">
        <f t="shared" si="21"/>
        <v>6.3636363636363641E-4</v>
      </c>
      <c r="M66" s="2">
        <f t="shared" si="2"/>
        <v>1.2727272727272728E-3</v>
      </c>
      <c r="N66" s="2">
        <f t="shared" si="3"/>
        <v>1.9090909090909091E-3</v>
      </c>
      <c r="O66" s="2">
        <f t="shared" si="4"/>
        <v>2.5454545454545456E-3</v>
      </c>
      <c r="P66" s="2">
        <f t="shared" si="5"/>
        <v>3.1818181818181824E-3</v>
      </c>
      <c r="Q66" s="2">
        <f t="shared" si="6"/>
        <v>3.8181818181818182E-3</v>
      </c>
      <c r="R66" s="2">
        <f t="shared" si="7"/>
        <v>0.54545454545454553</v>
      </c>
      <c r="S66" s="2">
        <f t="shared" si="16"/>
        <v>0.45454545454545459</v>
      </c>
      <c r="T66" s="2">
        <f t="shared" si="9"/>
        <v>0.90909090909090917</v>
      </c>
      <c r="U66" s="2">
        <f t="shared" si="17"/>
        <v>1.3636363636363638</v>
      </c>
      <c r="V66" s="2">
        <f t="shared" si="18"/>
        <v>1.8181818181818183</v>
      </c>
      <c r="W66" s="2">
        <f t="shared" si="19"/>
        <v>2.2727272727272729</v>
      </c>
      <c r="X66" s="2">
        <f t="shared" si="20"/>
        <v>2.7272727272727275</v>
      </c>
      <c r="Y66" s="5" t="str">
        <f t="shared" si="22"/>
        <v>2</v>
      </c>
      <c r="Z66" s="5" t="str">
        <f t="shared" si="22"/>
        <v>2</v>
      </c>
      <c r="AA66" s="5" t="str">
        <f t="shared" si="22"/>
        <v>2</v>
      </c>
      <c r="AB66" s="5" t="str">
        <f t="shared" si="22"/>
        <v>1</v>
      </c>
      <c r="AC66" s="5" t="str">
        <f t="shared" si="22"/>
        <v>1</v>
      </c>
      <c r="AD66" s="5" t="str">
        <f t="shared" si="22"/>
        <v>1</v>
      </c>
      <c r="AE66" s="5" t="str">
        <f t="shared" si="22"/>
        <v>1</v>
      </c>
    </row>
    <row r="67" spans="1:31" ht="14.4" x14ac:dyDescent="0.3">
      <c r="A67" s="14">
        <v>64</v>
      </c>
      <c r="B67" s="24" t="s">
        <v>178</v>
      </c>
      <c r="C67" s="10">
        <v>42</v>
      </c>
      <c r="D67" s="10">
        <v>78</v>
      </c>
      <c r="E67" s="16">
        <v>365</v>
      </c>
      <c r="F67" s="26">
        <v>1E-4</v>
      </c>
      <c r="G67" s="10">
        <v>1500</v>
      </c>
      <c r="H67" s="13">
        <v>1.4E-3</v>
      </c>
      <c r="I67" s="17">
        <v>10950</v>
      </c>
      <c r="J67" s="22">
        <v>26</v>
      </c>
      <c r="K67" s="18">
        <f t="shared" si="0"/>
        <v>1.6666666666666668E-3</v>
      </c>
      <c r="L67" s="2">
        <f t="shared" si="21"/>
        <v>3.2051282051282051E-4</v>
      </c>
      <c r="M67" s="2">
        <f t="shared" si="2"/>
        <v>6.4102564102564103E-4</v>
      </c>
      <c r="N67" s="2">
        <f t="shared" si="3"/>
        <v>9.6153846153846159E-4</v>
      </c>
      <c r="O67" s="2">
        <f t="shared" si="4"/>
        <v>1.2820512820512821E-3</v>
      </c>
      <c r="P67" s="2">
        <f t="shared" si="5"/>
        <v>1.6025641025641025E-3</v>
      </c>
      <c r="Q67" s="2">
        <f t="shared" si="6"/>
        <v>1.9230769230769232E-3</v>
      </c>
      <c r="R67" s="2">
        <f t="shared" si="7"/>
        <v>1.1904761904761905</v>
      </c>
      <c r="S67" s="2">
        <f t="shared" si="16"/>
        <v>0.22893772893772893</v>
      </c>
      <c r="T67" s="2">
        <f t="shared" si="9"/>
        <v>0.45787545787545786</v>
      </c>
      <c r="U67" s="2">
        <f t="shared" si="17"/>
        <v>0.68681318681318682</v>
      </c>
      <c r="V67" s="2">
        <f t="shared" si="18"/>
        <v>0.91575091575091572</v>
      </c>
      <c r="W67" s="2">
        <f t="shared" si="19"/>
        <v>1.1446886446886446</v>
      </c>
      <c r="X67" s="2">
        <f t="shared" si="20"/>
        <v>1.3736263736263736</v>
      </c>
      <c r="Y67" s="5" t="str">
        <f t="shared" si="22"/>
        <v>1</v>
      </c>
      <c r="Z67" s="5" t="str">
        <f t="shared" si="22"/>
        <v>2</v>
      </c>
      <c r="AA67" s="5" t="str">
        <f t="shared" si="22"/>
        <v>2</v>
      </c>
      <c r="AB67" s="5" t="str">
        <f t="shared" si="22"/>
        <v>2</v>
      </c>
      <c r="AC67" s="5" t="str">
        <f t="shared" si="22"/>
        <v>2</v>
      </c>
      <c r="AD67" s="5" t="str">
        <f t="shared" si="22"/>
        <v>1</v>
      </c>
      <c r="AE67" s="5" t="str">
        <f t="shared" si="22"/>
        <v>1</v>
      </c>
    </row>
    <row r="68" spans="1:31" ht="14.4" x14ac:dyDescent="0.3">
      <c r="A68" s="14">
        <v>65</v>
      </c>
      <c r="B68" s="24" t="s">
        <v>144</v>
      </c>
      <c r="C68" s="10">
        <v>42</v>
      </c>
      <c r="D68" s="10">
        <v>80</v>
      </c>
      <c r="E68" s="16">
        <v>365</v>
      </c>
      <c r="F68" s="26">
        <v>1E-4</v>
      </c>
      <c r="G68" s="10">
        <v>900</v>
      </c>
      <c r="H68" s="13">
        <v>1.4E-3</v>
      </c>
      <c r="I68" s="17">
        <v>10950</v>
      </c>
      <c r="J68" s="22">
        <v>20</v>
      </c>
      <c r="K68" s="18">
        <f t="shared" ref="K68:K103" si="23">(F68*G68*E68*J68)/(D68*I68)</f>
        <v>7.5000000000000002E-4</v>
      </c>
      <c r="L68" s="2">
        <f t="shared" si="21"/>
        <v>1.875E-4</v>
      </c>
      <c r="M68" s="2">
        <f t="shared" ref="M68:M103" si="24">(F68*G68*E68*10)/(D68*I68)</f>
        <v>3.7500000000000001E-4</v>
      </c>
      <c r="N68" s="2">
        <f t="shared" ref="N68:N103" si="25">(F68*G68*E68*15)/(D68*I68)</f>
        <v>5.6249999999999996E-4</v>
      </c>
      <c r="O68" s="2">
        <f t="shared" ref="O68:O103" si="26">(F68*G68*E68*20)/(D68*I68)</f>
        <v>7.5000000000000002E-4</v>
      </c>
      <c r="P68" s="2">
        <f t="shared" ref="P68:P103" si="27">(F68*G68*E68*25)/(D68*I68)</f>
        <v>9.3749999999999997E-4</v>
      </c>
      <c r="Q68" s="2">
        <f t="shared" ref="Q68:Q103" si="28">(F68*G68*E68*30)/(D68*I68)</f>
        <v>1.1249999999999999E-3</v>
      </c>
      <c r="R68" s="2">
        <f t="shared" ref="R68:R103" si="29">K68/H68</f>
        <v>0.5357142857142857</v>
      </c>
      <c r="S68" s="2">
        <f t="shared" si="16"/>
        <v>0.13392857142857142</v>
      </c>
      <c r="T68" s="2">
        <f t="shared" ref="T68:T103" si="30">M68/H68</f>
        <v>0.26785714285714285</v>
      </c>
      <c r="U68" s="2">
        <f t="shared" si="17"/>
        <v>0.40178571428571425</v>
      </c>
      <c r="V68" s="2">
        <f t="shared" si="18"/>
        <v>0.5357142857142857</v>
      </c>
      <c r="W68" s="2">
        <f t="shared" si="19"/>
        <v>0.6696428571428571</v>
      </c>
      <c r="X68" s="2">
        <f t="shared" si="20"/>
        <v>0.80357142857142849</v>
      </c>
      <c r="Y68" s="5" t="str">
        <f t="shared" si="22"/>
        <v>2</v>
      </c>
      <c r="Z68" s="5" t="str">
        <f t="shared" si="22"/>
        <v>2</v>
      </c>
      <c r="AA68" s="5" t="str">
        <f t="shared" si="22"/>
        <v>2</v>
      </c>
      <c r="AB68" s="5" t="str">
        <f t="shared" si="22"/>
        <v>2</v>
      </c>
      <c r="AC68" s="5" t="str">
        <f t="shared" si="22"/>
        <v>2</v>
      </c>
      <c r="AD68" s="5" t="str">
        <f t="shared" si="22"/>
        <v>2</v>
      </c>
      <c r="AE68" s="5" t="str">
        <f t="shared" si="22"/>
        <v>2</v>
      </c>
    </row>
    <row r="69" spans="1:31" ht="14.4" x14ac:dyDescent="0.3">
      <c r="A69" s="14">
        <v>66</v>
      </c>
      <c r="B69" s="24" t="s">
        <v>179</v>
      </c>
      <c r="C69" s="10">
        <v>42</v>
      </c>
      <c r="D69" s="10">
        <v>49</v>
      </c>
      <c r="E69" s="16">
        <v>365</v>
      </c>
      <c r="F69" s="26">
        <v>1E-4</v>
      </c>
      <c r="G69" s="10">
        <v>900</v>
      </c>
      <c r="H69" s="13">
        <v>1.4E-3</v>
      </c>
      <c r="I69" s="17">
        <v>10950</v>
      </c>
      <c r="J69" s="22">
        <v>1</v>
      </c>
      <c r="K69" s="18">
        <f t="shared" si="23"/>
        <v>6.1224489795918364E-5</v>
      </c>
      <c r="L69" s="2">
        <f t="shared" si="21"/>
        <v>3.0612244897959182E-4</v>
      </c>
      <c r="M69" s="2">
        <f t="shared" si="24"/>
        <v>6.1224489795918364E-4</v>
      </c>
      <c r="N69" s="2">
        <f t="shared" si="25"/>
        <v>9.1836734693877546E-4</v>
      </c>
      <c r="O69" s="2">
        <f t="shared" si="26"/>
        <v>1.2244897959183673E-3</v>
      </c>
      <c r="P69" s="2">
        <f t="shared" si="27"/>
        <v>1.5306122448979591E-3</v>
      </c>
      <c r="Q69" s="2">
        <f t="shared" si="28"/>
        <v>1.8367346938775509E-3</v>
      </c>
      <c r="R69" s="2">
        <f t="shared" si="29"/>
        <v>4.3731778425655975E-2</v>
      </c>
      <c r="S69" s="2">
        <f t="shared" si="16"/>
        <v>0.21865889212827988</v>
      </c>
      <c r="T69" s="2">
        <f t="shared" si="30"/>
        <v>0.43731778425655976</v>
      </c>
      <c r="U69" s="2">
        <f t="shared" si="17"/>
        <v>0.65597667638483959</v>
      </c>
      <c r="V69" s="2">
        <f t="shared" si="18"/>
        <v>0.87463556851311952</v>
      </c>
      <c r="W69" s="2">
        <f t="shared" si="19"/>
        <v>1.0932944606413995</v>
      </c>
      <c r="X69" s="2">
        <f t="shared" si="20"/>
        <v>1.3119533527696792</v>
      </c>
      <c r="Y69" s="5" t="str">
        <f t="shared" si="22"/>
        <v>2</v>
      </c>
      <c r="Z69" s="5" t="str">
        <f t="shared" si="22"/>
        <v>2</v>
      </c>
      <c r="AA69" s="5" t="str">
        <f t="shared" si="22"/>
        <v>2</v>
      </c>
      <c r="AB69" s="5" t="str">
        <f t="shared" si="22"/>
        <v>2</v>
      </c>
      <c r="AC69" s="5" t="str">
        <f t="shared" si="22"/>
        <v>2</v>
      </c>
      <c r="AD69" s="5" t="str">
        <f t="shared" si="22"/>
        <v>1</v>
      </c>
      <c r="AE69" s="5" t="str">
        <f t="shared" si="22"/>
        <v>1</v>
      </c>
    </row>
    <row r="70" spans="1:31" ht="14.4" x14ac:dyDescent="0.3">
      <c r="A70" s="14">
        <v>67</v>
      </c>
      <c r="B70" s="24" t="s">
        <v>112</v>
      </c>
      <c r="C70" s="10">
        <v>42</v>
      </c>
      <c r="D70" s="10">
        <v>78</v>
      </c>
      <c r="E70" s="16">
        <v>365</v>
      </c>
      <c r="F70" s="26">
        <v>1E-4</v>
      </c>
      <c r="G70" s="10">
        <v>1500</v>
      </c>
      <c r="H70" s="13">
        <v>1.4E-3</v>
      </c>
      <c r="I70" s="17">
        <v>10950</v>
      </c>
      <c r="J70" s="22">
        <v>26</v>
      </c>
      <c r="K70" s="18">
        <f t="shared" si="23"/>
        <v>1.6666666666666668E-3</v>
      </c>
      <c r="L70" s="2">
        <f t="shared" si="21"/>
        <v>3.2051282051282051E-4</v>
      </c>
      <c r="M70" s="2">
        <f t="shared" si="24"/>
        <v>6.4102564102564103E-4</v>
      </c>
      <c r="N70" s="2">
        <f t="shared" si="25"/>
        <v>9.6153846153846159E-4</v>
      </c>
      <c r="O70" s="2">
        <f t="shared" si="26"/>
        <v>1.2820512820512821E-3</v>
      </c>
      <c r="P70" s="2">
        <f t="shared" si="27"/>
        <v>1.6025641025641025E-3</v>
      </c>
      <c r="Q70" s="2">
        <f t="shared" si="28"/>
        <v>1.9230769230769232E-3</v>
      </c>
      <c r="R70" s="2">
        <f t="shared" si="29"/>
        <v>1.1904761904761905</v>
      </c>
      <c r="S70" s="2">
        <f t="shared" si="16"/>
        <v>0.22893772893772893</v>
      </c>
      <c r="T70" s="2">
        <f t="shared" si="30"/>
        <v>0.45787545787545786</v>
      </c>
      <c r="U70" s="2">
        <f t="shared" si="17"/>
        <v>0.68681318681318682</v>
      </c>
      <c r="V70" s="2">
        <f t="shared" si="18"/>
        <v>0.91575091575091572</v>
      </c>
      <c r="W70" s="2">
        <f t="shared" si="19"/>
        <v>1.1446886446886446</v>
      </c>
      <c r="X70" s="2">
        <f t="shared" si="20"/>
        <v>1.3736263736263736</v>
      </c>
      <c r="Y70" s="5" t="str">
        <f t="shared" si="22"/>
        <v>1</v>
      </c>
      <c r="Z70" s="5" t="str">
        <f t="shared" si="22"/>
        <v>2</v>
      </c>
      <c r="AA70" s="5" t="str">
        <f t="shared" si="22"/>
        <v>2</v>
      </c>
      <c r="AB70" s="5" t="str">
        <f t="shared" si="22"/>
        <v>2</v>
      </c>
      <c r="AC70" s="5" t="str">
        <f t="shared" si="22"/>
        <v>2</v>
      </c>
      <c r="AD70" s="5" t="str">
        <f t="shared" si="22"/>
        <v>1</v>
      </c>
      <c r="AE70" s="5" t="str">
        <f t="shared" si="22"/>
        <v>1</v>
      </c>
    </row>
    <row r="71" spans="1:31" ht="14.4" x14ac:dyDescent="0.3">
      <c r="A71" s="14">
        <v>68</v>
      </c>
      <c r="B71" s="24" t="s">
        <v>144</v>
      </c>
      <c r="C71" s="10">
        <v>42</v>
      </c>
      <c r="D71" s="10">
        <v>80</v>
      </c>
      <c r="E71" s="16">
        <v>365</v>
      </c>
      <c r="F71" s="26">
        <v>1E-4</v>
      </c>
      <c r="G71" s="10">
        <v>900</v>
      </c>
      <c r="H71" s="13">
        <v>1.4E-3</v>
      </c>
      <c r="I71" s="17">
        <v>10950</v>
      </c>
      <c r="J71" s="22">
        <v>20</v>
      </c>
      <c r="K71" s="18">
        <f t="shared" si="23"/>
        <v>7.5000000000000002E-4</v>
      </c>
      <c r="L71" s="2">
        <f t="shared" si="21"/>
        <v>1.875E-4</v>
      </c>
      <c r="M71" s="2">
        <f t="shared" si="24"/>
        <v>3.7500000000000001E-4</v>
      </c>
      <c r="N71" s="2">
        <f t="shared" si="25"/>
        <v>5.6249999999999996E-4</v>
      </c>
      <c r="O71" s="2">
        <f t="shared" si="26"/>
        <v>7.5000000000000002E-4</v>
      </c>
      <c r="P71" s="2">
        <f t="shared" si="27"/>
        <v>9.3749999999999997E-4</v>
      </c>
      <c r="Q71" s="2">
        <f t="shared" si="28"/>
        <v>1.1249999999999999E-3</v>
      </c>
      <c r="R71" s="2">
        <f t="shared" si="29"/>
        <v>0.5357142857142857</v>
      </c>
      <c r="S71" s="2">
        <f t="shared" si="16"/>
        <v>0.13392857142857142</v>
      </c>
      <c r="T71" s="2">
        <f t="shared" si="30"/>
        <v>0.26785714285714285</v>
      </c>
      <c r="U71" s="2">
        <f t="shared" si="17"/>
        <v>0.40178571428571425</v>
      </c>
      <c r="V71" s="2">
        <f t="shared" si="18"/>
        <v>0.5357142857142857</v>
      </c>
      <c r="W71" s="2">
        <f t="shared" si="19"/>
        <v>0.6696428571428571</v>
      </c>
      <c r="X71" s="2">
        <f t="shared" si="20"/>
        <v>0.80357142857142849</v>
      </c>
      <c r="Y71" s="5" t="str">
        <f t="shared" si="22"/>
        <v>2</v>
      </c>
      <c r="Z71" s="5" t="str">
        <f t="shared" si="22"/>
        <v>2</v>
      </c>
      <c r="AA71" s="5" t="str">
        <f t="shared" si="22"/>
        <v>2</v>
      </c>
      <c r="AB71" s="5" t="str">
        <f t="shared" si="22"/>
        <v>2</v>
      </c>
      <c r="AC71" s="5" t="str">
        <f t="shared" si="22"/>
        <v>2</v>
      </c>
      <c r="AD71" s="5" t="str">
        <f t="shared" si="22"/>
        <v>2</v>
      </c>
      <c r="AE71" s="5" t="str">
        <f t="shared" si="22"/>
        <v>2</v>
      </c>
    </row>
    <row r="72" spans="1:31" ht="14.4" x14ac:dyDescent="0.3">
      <c r="A72" s="14">
        <v>69</v>
      </c>
      <c r="B72" s="24" t="s">
        <v>153</v>
      </c>
      <c r="C72" s="10">
        <v>42</v>
      </c>
      <c r="D72" s="10">
        <v>80</v>
      </c>
      <c r="E72" s="16">
        <v>365</v>
      </c>
      <c r="F72" s="26">
        <v>1E-4</v>
      </c>
      <c r="G72" s="10">
        <v>900</v>
      </c>
      <c r="H72" s="13">
        <v>1.4E-3</v>
      </c>
      <c r="I72" s="17">
        <v>10950</v>
      </c>
      <c r="J72" s="22">
        <v>20</v>
      </c>
      <c r="K72" s="18">
        <f t="shared" si="23"/>
        <v>7.5000000000000002E-4</v>
      </c>
      <c r="L72" s="2">
        <f t="shared" si="21"/>
        <v>1.875E-4</v>
      </c>
      <c r="M72" s="2">
        <f t="shared" si="24"/>
        <v>3.7500000000000001E-4</v>
      </c>
      <c r="N72" s="2">
        <f t="shared" si="25"/>
        <v>5.6249999999999996E-4</v>
      </c>
      <c r="O72" s="2">
        <f t="shared" si="26"/>
        <v>7.5000000000000002E-4</v>
      </c>
      <c r="P72" s="2">
        <f t="shared" si="27"/>
        <v>9.3749999999999997E-4</v>
      </c>
      <c r="Q72" s="2">
        <f t="shared" si="28"/>
        <v>1.1249999999999999E-3</v>
      </c>
      <c r="R72" s="2">
        <f t="shared" si="29"/>
        <v>0.5357142857142857</v>
      </c>
      <c r="S72" s="2">
        <f t="shared" si="16"/>
        <v>0.13392857142857142</v>
      </c>
      <c r="T72" s="2">
        <f t="shared" si="30"/>
        <v>0.26785714285714285</v>
      </c>
      <c r="U72" s="2">
        <f t="shared" si="17"/>
        <v>0.40178571428571425</v>
      </c>
      <c r="V72" s="2">
        <f t="shared" si="18"/>
        <v>0.5357142857142857</v>
      </c>
      <c r="W72" s="2">
        <f t="shared" si="19"/>
        <v>0.6696428571428571</v>
      </c>
      <c r="X72" s="2">
        <f t="shared" si="20"/>
        <v>0.80357142857142849</v>
      </c>
      <c r="Y72" s="5" t="str">
        <f t="shared" si="22"/>
        <v>2</v>
      </c>
      <c r="Z72" s="5" t="str">
        <f t="shared" si="22"/>
        <v>2</v>
      </c>
      <c r="AA72" s="5" t="str">
        <f t="shared" si="22"/>
        <v>2</v>
      </c>
      <c r="AB72" s="5" t="str">
        <f t="shared" si="22"/>
        <v>2</v>
      </c>
      <c r="AC72" s="5" t="str">
        <f t="shared" si="22"/>
        <v>2</v>
      </c>
      <c r="AD72" s="5" t="str">
        <f t="shared" si="22"/>
        <v>2</v>
      </c>
      <c r="AE72" s="5" t="str">
        <f t="shared" si="22"/>
        <v>2</v>
      </c>
    </row>
    <row r="73" spans="1:31" ht="14.4" x14ac:dyDescent="0.3">
      <c r="A73" s="14">
        <v>70</v>
      </c>
      <c r="B73" s="24" t="s">
        <v>180</v>
      </c>
      <c r="C73" s="10">
        <v>43</v>
      </c>
      <c r="D73" s="10">
        <v>41</v>
      </c>
      <c r="E73" s="16">
        <v>365</v>
      </c>
      <c r="F73" s="26">
        <v>1E-4</v>
      </c>
      <c r="G73" s="10">
        <v>1500</v>
      </c>
      <c r="H73" s="13">
        <v>1.4E-3</v>
      </c>
      <c r="I73" s="17">
        <v>10950</v>
      </c>
      <c r="J73" s="22">
        <v>43</v>
      </c>
      <c r="K73" s="18">
        <f t="shared" si="23"/>
        <v>5.2439024390243906E-3</v>
      </c>
      <c r="L73" s="2">
        <f t="shared" si="21"/>
        <v>6.0975609756097561E-4</v>
      </c>
      <c r="M73" s="2">
        <f t="shared" si="24"/>
        <v>1.2195121951219512E-3</v>
      </c>
      <c r="N73" s="2">
        <f t="shared" si="25"/>
        <v>1.8292682926829269E-3</v>
      </c>
      <c r="O73" s="2">
        <f t="shared" si="26"/>
        <v>2.4390243902439024E-3</v>
      </c>
      <c r="P73" s="2">
        <f t="shared" si="27"/>
        <v>3.0487804878048782E-3</v>
      </c>
      <c r="Q73" s="2">
        <f t="shared" si="28"/>
        <v>3.6585365853658539E-3</v>
      </c>
      <c r="R73" s="2">
        <f t="shared" si="29"/>
        <v>3.745644599303136</v>
      </c>
      <c r="S73" s="2">
        <f t="shared" si="16"/>
        <v>0.43554006968641118</v>
      </c>
      <c r="T73" s="2">
        <f t="shared" si="30"/>
        <v>0.87108013937282236</v>
      </c>
      <c r="U73" s="2">
        <f t="shared" si="17"/>
        <v>1.3066202090592336</v>
      </c>
      <c r="V73" s="2">
        <f t="shared" si="18"/>
        <v>1.7421602787456447</v>
      </c>
      <c r="W73" s="2">
        <f t="shared" si="19"/>
        <v>2.1777003484320558</v>
      </c>
      <c r="X73" s="2">
        <f t="shared" si="20"/>
        <v>2.6132404181184672</v>
      </c>
      <c r="Y73" s="5" t="str">
        <f t="shared" si="22"/>
        <v>1</v>
      </c>
      <c r="Z73" s="5" t="str">
        <f t="shared" si="22"/>
        <v>2</v>
      </c>
      <c r="AA73" s="5" t="str">
        <f t="shared" si="22"/>
        <v>2</v>
      </c>
      <c r="AB73" s="5" t="str">
        <f t="shared" si="22"/>
        <v>1</v>
      </c>
      <c r="AC73" s="5" t="str">
        <f t="shared" si="22"/>
        <v>1</v>
      </c>
      <c r="AD73" s="5" t="str">
        <f t="shared" si="22"/>
        <v>1</v>
      </c>
      <c r="AE73" s="5" t="str">
        <f t="shared" si="22"/>
        <v>1</v>
      </c>
    </row>
    <row r="74" spans="1:31" ht="14.4" x14ac:dyDescent="0.3">
      <c r="A74" s="14">
        <v>71</v>
      </c>
      <c r="B74" s="24" t="s">
        <v>115</v>
      </c>
      <c r="C74" s="10">
        <v>43</v>
      </c>
      <c r="D74" s="10">
        <v>41</v>
      </c>
      <c r="E74" s="16">
        <v>365</v>
      </c>
      <c r="F74" s="26">
        <v>1E-4</v>
      </c>
      <c r="G74" s="10">
        <v>1500</v>
      </c>
      <c r="H74" s="13">
        <v>1.4E-3</v>
      </c>
      <c r="I74" s="17">
        <v>10950</v>
      </c>
      <c r="J74" s="22">
        <v>43</v>
      </c>
      <c r="K74" s="18">
        <f t="shared" si="23"/>
        <v>5.2439024390243906E-3</v>
      </c>
      <c r="L74" s="2">
        <f t="shared" si="21"/>
        <v>6.0975609756097561E-4</v>
      </c>
      <c r="M74" s="2">
        <f t="shared" si="24"/>
        <v>1.2195121951219512E-3</v>
      </c>
      <c r="N74" s="2">
        <f t="shared" si="25"/>
        <v>1.8292682926829269E-3</v>
      </c>
      <c r="O74" s="2">
        <f t="shared" si="26"/>
        <v>2.4390243902439024E-3</v>
      </c>
      <c r="P74" s="2">
        <f t="shared" si="27"/>
        <v>3.0487804878048782E-3</v>
      </c>
      <c r="Q74" s="2">
        <f t="shared" si="28"/>
        <v>3.6585365853658539E-3</v>
      </c>
      <c r="R74" s="2">
        <f t="shared" si="29"/>
        <v>3.745644599303136</v>
      </c>
      <c r="S74" s="2">
        <f t="shared" si="16"/>
        <v>0.43554006968641118</v>
      </c>
      <c r="T74" s="2">
        <f t="shared" si="30"/>
        <v>0.87108013937282236</v>
      </c>
      <c r="U74" s="2">
        <f t="shared" si="17"/>
        <v>1.3066202090592336</v>
      </c>
      <c r="V74" s="2">
        <f t="shared" si="18"/>
        <v>1.7421602787456447</v>
      </c>
      <c r="W74" s="2">
        <f t="shared" si="19"/>
        <v>2.1777003484320558</v>
      </c>
      <c r="X74" s="2">
        <f t="shared" si="20"/>
        <v>2.6132404181184672</v>
      </c>
      <c r="Y74" s="5" t="str">
        <f t="shared" si="22"/>
        <v>1</v>
      </c>
      <c r="Z74" s="5" t="str">
        <f t="shared" si="22"/>
        <v>2</v>
      </c>
      <c r="AA74" s="5" t="str">
        <f t="shared" si="22"/>
        <v>2</v>
      </c>
      <c r="AB74" s="5" t="str">
        <f t="shared" si="22"/>
        <v>1</v>
      </c>
      <c r="AC74" s="5" t="str">
        <f t="shared" si="22"/>
        <v>1</v>
      </c>
      <c r="AD74" s="5" t="str">
        <f t="shared" si="22"/>
        <v>1</v>
      </c>
      <c r="AE74" s="5" t="str">
        <f t="shared" si="22"/>
        <v>1</v>
      </c>
    </row>
    <row r="75" spans="1:31" ht="14.4" x14ac:dyDescent="0.3">
      <c r="A75" s="14">
        <v>72</v>
      </c>
      <c r="B75" s="24" t="s">
        <v>133</v>
      </c>
      <c r="C75" s="10">
        <v>43</v>
      </c>
      <c r="D75" s="10">
        <v>41</v>
      </c>
      <c r="E75" s="16">
        <v>365</v>
      </c>
      <c r="F75" s="26">
        <v>1E-4</v>
      </c>
      <c r="G75" s="10">
        <v>1500</v>
      </c>
      <c r="H75" s="13">
        <v>1.4E-3</v>
      </c>
      <c r="I75" s="17">
        <v>10950</v>
      </c>
      <c r="J75" s="22">
        <v>43</v>
      </c>
      <c r="K75" s="18">
        <f t="shared" si="23"/>
        <v>5.2439024390243906E-3</v>
      </c>
      <c r="L75" s="2">
        <f t="shared" si="21"/>
        <v>6.0975609756097561E-4</v>
      </c>
      <c r="M75" s="2">
        <f t="shared" si="24"/>
        <v>1.2195121951219512E-3</v>
      </c>
      <c r="N75" s="2">
        <f t="shared" si="25"/>
        <v>1.8292682926829269E-3</v>
      </c>
      <c r="O75" s="2">
        <f t="shared" si="26"/>
        <v>2.4390243902439024E-3</v>
      </c>
      <c r="P75" s="2">
        <f t="shared" si="27"/>
        <v>3.0487804878048782E-3</v>
      </c>
      <c r="Q75" s="2">
        <f t="shared" si="28"/>
        <v>3.6585365853658539E-3</v>
      </c>
      <c r="R75" s="2">
        <f t="shared" si="29"/>
        <v>3.745644599303136</v>
      </c>
      <c r="S75" s="2">
        <f t="shared" si="16"/>
        <v>0.43554006968641118</v>
      </c>
      <c r="T75" s="2">
        <f t="shared" si="30"/>
        <v>0.87108013937282236</v>
      </c>
      <c r="U75" s="2">
        <f t="shared" si="17"/>
        <v>1.3066202090592336</v>
      </c>
      <c r="V75" s="2">
        <f t="shared" si="18"/>
        <v>1.7421602787456447</v>
      </c>
      <c r="W75" s="2">
        <f t="shared" si="19"/>
        <v>2.1777003484320558</v>
      </c>
      <c r="X75" s="2">
        <f t="shared" si="20"/>
        <v>2.6132404181184672</v>
      </c>
      <c r="Y75" s="5" t="str">
        <f t="shared" si="22"/>
        <v>1</v>
      </c>
      <c r="Z75" s="5" t="str">
        <f t="shared" si="22"/>
        <v>2</v>
      </c>
      <c r="AA75" s="5" t="str">
        <f t="shared" si="22"/>
        <v>2</v>
      </c>
      <c r="AB75" s="5" t="str">
        <f t="shared" si="22"/>
        <v>1</v>
      </c>
      <c r="AC75" s="5" t="str">
        <f t="shared" si="22"/>
        <v>1</v>
      </c>
      <c r="AD75" s="5" t="str">
        <f t="shared" si="22"/>
        <v>1</v>
      </c>
      <c r="AE75" s="5" t="str">
        <f t="shared" si="22"/>
        <v>1</v>
      </c>
    </row>
    <row r="76" spans="1:31" ht="14.4" x14ac:dyDescent="0.3">
      <c r="A76" s="14">
        <v>73</v>
      </c>
      <c r="B76" s="24" t="s">
        <v>135</v>
      </c>
      <c r="C76" s="10">
        <v>43</v>
      </c>
      <c r="D76" s="10">
        <v>41</v>
      </c>
      <c r="E76" s="16">
        <v>365</v>
      </c>
      <c r="F76" s="26">
        <v>1E-4</v>
      </c>
      <c r="G76" s="10">
        <v>1500</v>
      </c>
      <c r="H76" s="13">
        <v>1.4E-3</v>
      </c>
      <c r="I76" s="17">
        <v>10950</v>
      </c>
      <c r="J76" s="22">
        <v>43</v>
      </c>
      <c r="K76" s="18">
        <f t="shared" si="23"/>
        <v>5.2439024390243906E-3</v>
      </c>
      <c r="L76" s="2">
        <f t="shared" si="21"/>
        <v>6.0975609756097561E-4</v>
      </c>
      <c r="M76" s="2">
        <f t="shared" si="24"/>
        <v>1.2195121951219512E-3</v>
      </c>
      <c r="N76" s="2">
        <f t="shared" si="25"/>
        <v>1.8292682926829269E-3</v>
      </c>
      <c r="O76" s="2">
        <f t="shared" si="26"/>
        <v>2.4390243902439024E-3</v>
      </c>
      <c r="P76" s="2">
        <f t="shared" si="27"/>
        <v>3.0487804878048782E-3</v>
      </c>
      <c r="Q76" s="2">
        <f t="shared" si="28"/>
        <v>3.6585365853658539E-3</v>
      </c>
      <c r="R76" s="2">
        <f t="shared" si="29"/>
        <v>3.745644599303136</v>
      </c>
      <c r="S76" s="2">
        <f t="shared" si="16"/>
        <v>0.43554006968641118</v>
      </c>
      <c r="T76" s="2">
        <f t="shared" si="30"/>
        <v>0.87108013937282236</v>
      </c>
      <c r="U76" s="2">
        <f t="shared" si="17"/>
        <v>1.3066202090592336</v>
      </c>
      <c r="V76" s="2">
        <f t="shared" si="18"/>
        <v>1.7421602787456447</v>
      </c>
      <c r="W76" s="2">
        <f t="shared" si="19"/>
        <v>2.1777003484320558</v>
      </c>
      <c r="X76" s="2">
        <f t="shared" si="20"/>
        <v>2.6132404181184672</v>
      </c>
      <c r="Y76" s="5" t="str">
        <f t="shared" si="22"/>
        <v>1</v>
      </c>
      <c r="Z76" s="5" t="str">
        <f t="shared" si="22"/>
        <v>2</v>
      </c>
      <c r="AA76" s="5" t="str">
        <f t="shared" si="22"/>
        <v>2</v>
      </c>
      <c r="AB76" s="5" t="str">
        <f t="shared" si="22"/>
        <v>1</v>
      </c>
      <c r="AC76" s="5" t="str">
        <f t="shared" si="22"/>
        <v>1</v>
      </c>
      <c r="AD76" s="5" t="str">
        <f t="shared" si="22"/>
        <v>1</v>
      </c>
      <c r="AE76" s="5" t="str">
        <f t="shared" si="22"/>
        <v>1</v>
      </c>
    </row>
    <row r="77" spans="1:31" ht="14.4" x14ac:dyDescent="0.3">
      <c r="A77" s="14">
        <v>74</v>
      </c>
      <c r="B77" s="24" t="s">
        <v>156</v>
      </c>
      <c r="C77" s="10">
        <v>43</v>
      </c>
      <c r="D77" s="10">
        <v>41</v>
      </c>
      <c r="E77" s="16">
        <v>365</v>
      </c>
      <c r="F77" s="26">
        <v>1E-4</v>
      </c>
      <c r="G77" s="10">
        <v>1500</v>
      </c>
      <c r="H77" s="13">
        <v>1.4E-3</v>
      </c>
      <c r="I77" s="17">
        <v>10950</v>
      </c>
      <c r="J77" s="22">
        <v>43</v>
      </c>
      <c r="K77" s="18">
        <f t="shared" si="23"/>
        <v>5.2439024390243906E-3</v>
      </c>
      <c r="L77" s="2">
        <f t="shared" si="21"/>
        <v>6.0975609756097561E-4</v>
      </c>
      <c r="M77" s="2">
        <f t="shared" si="24"/>
        <v>1.2195121951219512E-3</v>
      </c>
      <c r="N77" s="2">
        <f t="shared" si="25"/>
        <v>1.8292682926829269E-3</v>
      </c>
      <c r="O77" s="2">
        <f t="shared" si="26"/>
        <v>2.4390243902439024E-3</v>
      </c>
      <c r="P77" s="2">
        <f t="shared" si="27"/>
        <v>3.0487804878048782E-3</v>
      </c>
      <c r="Q77" s="2">
        <f t="shared" si="28"/>
        <v>3.6585365853658539E-3</v>
      </c>
      <c r="R77" s="2">
        <f t="shared" si="29"/>
        <v>3.745644599303136</v>
      </c>
      <c r="S77" s="2">
        <f t="shared" si="16"/>
        <v>0.43554006968641118</v>
      </c>
      <c r="T77" s="2">
        <f t="shared" si="30"/>
        <v>0.87108013937282236</v>
      </c>
      <c r="U77" s="2">
        <f t="shared" si="17"/>
        <v>1.3066202090592336</v>
      </c>
      <c r="V77" s="2">
        <f t="shared" si="18"/>
        <v>1.7421602787456447</v>
      </c>
      <c r="W77" s="2">
        <f t="shared" si="19"/>
        <v>2.1777003484320558</v>
      </c>
      <c r="X77" s="2">
        <f t="shared" si="20"/>
        <v>2.6132404181184672</v>
      </c>
      <c r="Y77" s="5" t="str">
        <f t="shared" si="22"/>
        <v>1</v>
      </c>
      <c r="Z77" s="5" t="str">
        <f t="shared" si="22"/>
        <v>2</v>
      </c>
      <c r="AA77" s="5" t="str">
        <f t="shared" si="22"/>
        <v>2</v>
      </c>
      <c r="AB77" s="5" t="str">
        <f t="shared" si="22"/>
        <v>1</v>
      </c>
      <c r="AC77" s="5" t="str">
        <f t="shared" si="22"/>
        <v>1</v>
      </c>
      <c r="AD77" s="5" t="str">
        <f t="shared" si="22"/>
        <v>1</v>
      </c>
      <c r="AE77" s="5" t="str">
        <f t="shared" si="22"/>
        <v>1</v>
      </c>
    </row>
    <row r="78" spans="1:31" ht="14.4" x14ac:dyDescent="0.3">
      <c r="A78" s="14">
        <v>75</v>
      </c>
      <c r="B78" s="24" t="s">
        <v>108</v>
      </c>
      <c r="C78" s="10">
        <v>44</v>
      </c>
      <c r="D78" s="10">
        <v>81</v>
      </c>
      <c r="E78" s="16">
        <v>365</v>
      </c>
      <c r="F78" s="26">
        <v>1E-4</v>
      </c>
      <c r="G78" s="10">
        <v>1500</v>
      </c>
      <c r="H78" s="13">
        <v>1.4E-3</v>
      </c>
      <c r="I78" s="17">
        <v>10950</v>
      </c>
      <c r="J78" s="22">
        <v>21</v>
      </c>
      <c r="K78" s="18">
        <f t="shared" si="23"/>
        <v>1.2962962962962963E-3</v>
      </c>
      <c r="L78" s="2">
        <f t="shared" si="21"/>
        <v>3.0864197530864197E-4</v>
      </c>
      <c r="M78" s="2">
        <f t="shared" si="24"/>
        <v>6.1728395061728394E-4</v>
      </c>
      <c r="N78" s="2">
        <f t="shared" si="25"/>
        <v>9.2592592592592596E-4</v>
      </c>
      <c r="O78" s="2">
        <f t="shared" si="26"/>
        <v>1.2345679012345679E-3</v>
      </c>
      <c r="P78" s="2">
        <f t="shared" si="27"/>
        <v>1.5432098765432098E-3</v>
      </c>
      <c r="Q78" s="2">
        <f t="shared" si="28"/>
        <v>1.8518518518518519E-3</v>
      </c>
      <c r="R78" s="2">
        <f t="shared" si="29"/>
        <v>0.92592592592592593</v>
      </c>
      <c r="S78" s="2">
        <f t="shared" si="16"/>
        <v>0.22045855379188711</v>
      </c>
      <c r="T78" s="2">
        <f t="shared" si="30"/>
        <v>0.44091710758377423</v>
      </c>
      <c r="U78" s="2">
        <f t="shared" si="17"/>
        <v>0.66137566137566139</v>
      </c>
      <c r="V78" s="2">
        <f t="shared" si="18"/>
        <v>0.88183421516754845</v>
      </c>
      <c r="W78" s="2">
        <f t="shared" si="19"/>
        <v>1.1022927689594355</v>
      </c>
      <c r="X78" s="2">
        <f t="shared" si="20"/>
        <v>1.3227513227513228</v>
      </c>
      <c r="Y78" s="5" t="str">
        <f t="shared" si="22"/>
        <v>2</v>
      </c>
      <c r="Z78" s="5" t="str">
        <f t="shared" si="22"/>
        <v>2</v>
      </c>
      <c r="AA78" s="5" t="str">
        <f t="shared" si="22"/>
        <v>2</v>
      </c>
      <c r="AB78" s="5" t="str">
        <f t="shared" si="22"/>
        <v>2</v>
      </c>
      <c r="AC78" s="5" t="str">
        <f t="shared" si="22"/>
        <v>2</v>
      </c>
      <c r="AD78" s="5" t="str">
        <f t="shared" si="22"/>
        <v>1</v>
      </c>
      <c r="AE78" s="5" t="str">
        <f t="shared" si="22"/>
        <v>1</v>
      </c>
    </row>
    <row r="79" spans="1:31" ht="14.4" x14ac:dyDescent="0.3">
      <c r="A79" s="14">
        <v>76</v>
      </c>
      <c r="B79" s="24" t="s">
        <v>181</v>
      </c>
      <c r="C79" s="10">
        <v>44</v>
      </c>
      <c r="D79" s="10">
        <v>58</v>
      </c>
      <c r="E79" s="16">
        <v>365</v>
      </c>
      <c r="F79" s="26">
        <v>1E-4</v>
      </c>
      <c r="G79" s="10">
        <v>3000</v>
      </c>
      <c r="H79" s="13">
        <v>1.4E-3</v>
      </c>
      <c r="I79" s="17">
        <v>10950</v>
      </c>
      <c r="J79" s="22">
        <v>1</v>
      </c>
      <c r="K79" s="18">
        <f t="shared" si="23"/>
        <v>1.7241379310344826E-4</v>
      </c>
      <c r="L79" s="2">
        <f t="shared" si="21"/>
        <v>8.6206896551724137E-4</v>
      </c>
      <c r="M79" s="2">
        <f t="shared" si="24"/>
        <v>1.7241379310344827E-3</v>
      </c>
      <c r="N79" s="2">
        <f t="shared" si="25"/>
        <v>2.5862068965517241E-3</v>
      </c>
      <c r="O79" s="2">
        <f t="shared" si="26"/>
        <v>3.4482758620689655E-3</v>
      </c>
      <c r="P79" s="2">
        <f t="shared" si="27"/>
        <v>4.3103448275862068E-3</v>
      </c>
      <c r="Q79" s="2">
        <f t="shared" si="28"/>
        <v>5.1724137931034482E-3</v>
      </c>
      <c r="R79" s="2">
        <f t="shared" si="29"/>
        <v>0.1231527093596059</v>
      </c>
      <c r="S79" s="2">
        <f t="shared" si="16"/>
        <v>0.61576354679802958</v>
      </c>
      <c r="T79" s="2">
        <f t="shared" si="30"/>
        <v>1.2315270935960592</v>
      </c>
      <c r="U79" s="2">
        <f t="shared" si="17"/>
        <v>1.8472906403940887</v>
      </c>
      <c r="V79" s="2">
        <f t="shared" si="18"/>
        <v>2.4630541871921183</v>
      </c>
      <c r="W79" s="2">
        <f t="shared" si="19"/>
        <v>3.0788177339901477</v>
      </c>
      <c r="X79" s="2">
        <f t="shared" si="20"/>
        <v>3.6945812807881775</v>
      </c>
      <c r="Y79" s="5" t="str">
        <f t="shared" si="22"/>
        <v>2</v>
      </c>
      <c r="Z79" s="5" t="str">
        <f t="shared" si="22"/>
        <v>2</v>
      </c>
      <c r="AA79" s="5" t="str">
        <f t="shared" si="22"/>
        <v>1</v>
      </c>
      <c r="AB79" s="5" t="str">
        <f t="shared" si="22"/>
        <v>1</v>
      </c>
      <c r="AC79" s="5" t="str">
        <f t="shared" si="22"/>
        <v>1</v>
      </c>
      <c r="AD79" s="5" t="str">
        <f t="shared" si="22"/>
        <v>1</v>
      </c>
      <c r="AE79" s="5" t="str">
        <f t="shared" si="22"/>
        <v>1</v>
      </c>
    </row>
    <row r="80" spans="1:31" ht="14.4" x14ac:dyDescent="0.3">
      <c r="A80" s="14">
        <v>77</v>
      </c>
      <c r="B80" s="24" t="s">
        <v>127</v>
      </c>
      <c r="C80" s="10">
        <v>44</v>
      </c>
      <c r="D80" s="10">
        <v>58</v>
      </c>
      <c r="E80" s="16">
        <v>365</v>
      </c>
      <c r="F80" s="26">
        <v>1E-4</v>
      </c>
      <c r="G80" s="10">
        <v>3000</v>
      </c>
      <c r="H80" s="13">
        <v>1.4E-3</v>
      </c>
      <c r="I80" s="17">
        <v>10950</v>
      </c>
      <c r="J80" s="22">
        <v>1</v>
      </c>
      <c r="K80" s="18">
        <f t="shared" si="23"/>
        <v>1.7241379310344826E-4</v>
      </c>
      <c r="L80" s="2">
        <f t="shared" si="21"/>
        <v>8.6206896551724137E-4</v>
      </c>
      <c r="M80" s="2">
        <f t="shared" si="24"/>
        <v>1.7241379310344827E-3</v>
      </c>
      <c r="N80" s="2">
        <f t="shared" si="25"/>
        <v>2.5862068965517241E-3</v>
      </c>
      <c r="O80" s="2">
        <f t="shared" si="26"/>
        <v>3.4482758620689655E-3</v>
      </c>
      <c r="P80" s="2">
        <f t="shared" si="27"/>
        <v>4.3103448275862068E-3</v>
      </c>
      <c r="Q80" s="2">
        <f t="shared" si="28"/>
        <v>5.1724137931034482E-3</v>
      </c>
      <c r="R80" s="2">
        <f t="shared" si="29"/>
        <v>0.1231527093596059</v>
      </c>
      <c r="S80" s="2">
        <f t="shared" si="16"/>
        <v>0.61576354679802958</v>
      </c>
      <c r="T80" s="2">
        <f t="shared" si="30"/>
        <v>1.2315270935960592</v>
      </c>
      <c r="U80" s="2">
        <f t="shared" si="17"/>
        <v>1.8472906403940887</v>
      </c>
      <c r="V80" s="2">
        <f t="shared" si="18"/>
        <v>2.4630541871921183</v>
      </c>
      <c r="W80" s="2">
        <f t="shared" si="19"/>
        <v>3.0788177339901477</v>
      </c>
      <c r="X80" s="2">
        <f t="shared" si="20"/>
        <v>3.6945812807881775</v>
      </c>
      <c r="Y80" s="5" t="str">
        <f t="shared" si="22"/>
        <v>2</v>
      </c>
      <c r="Z80" s="5" t="str">
        <f t="shared" si="22"/>
        <v>2</v>
      </c>
      <c r="AA80" s="5" t="str">
        <f t="shared" si="22"/>
        <v>1</v>
      </c>
      <c r="AB80" s="5" t="str">
        <f t="shared" si="22"/>
        <v>1</v>
      </c>
      <c r="AC80" s="5" t="str">
        <f t="shared" si="22"/>
        <v>1</v>
      </c>
      <c r="AD80" s="5" t="str">
        <f t="shared" si="22"/>
        <v>1</v>
      </c>
      <c r="AE80" s="5" t="str">
        <f t="shared" si="22"/>
        <v>1</v>
      </c>
    </row>
    <row r="81" spans="1:31" ht="14.4" x14ac:dyDescent="0.3">
      <c r="A81" s="14">
        <v>78</v>
      </c>
      <c r="B81" s="24" t="s">
        <v>132</v>
      </c>
      <c r="C81" s="10">
        <v>44</v>
      </c>
      <c r="D81" s="10">
        <v>81</v>
      </c>
      <c r="E81" s="16">
        <v>365</v>
      </c>
      <c r="F81" s="26">
        <v>1E-4</v>
      </c>
      <c r="G81" s="10">
        <v>1500</v>
      </c>
      <c r="H81" s="13">
        <v>1.4E-3</v>
      </c>
      <c r="I81" s="17">
        <v>10950</v>
      </c>
      <c r="J81" s="22">
        <v>21</v>
      </c>
      <c r="K81" s="18">
        <f t="shared" si="23"/>
        <v>1.2962962962962963E-3</v>
      </c>
      <c r="L81" s="2">
        <f t="shared" si="21"/>
        <v>3.0864197530864197E-4</v>
      </c>
      <c r="M81" s="2">
        <f t="shared" si="24"/>
        <v>6.1728395061728394E-4</v>
      </c>
      <c r="N81" s="2">
        <f t="shared" si="25"/>
        <v>9.2592592592592596E-4</v>
      </c>
      <c r="O81" s="2">
        <f t="shared" si="26"/>
        <v>1.2345679012345679E-3</v>
      </c>
      <c r="P81" s="2">
        <f t="shared" si="27"/>
        <v>1.5432098765432098E-3</v>
      </c>
      <c r="Q81" s="2">
        <f t="shared" si="28"/>
        <v>1.8518518518518519E-3</v>
      </c>
      <c r="R81" s="2">
        <f t="shared" si="29"/>
        <v>0.92592592592592593</v>
      </c>
      <c r="S81" s="2">
        <f t="shared" si="16"/>
        <v>0.22045855379188711</v>
      </c>
      <c r="T81" s="2">
        <f t="shared" si="30"/>
        <v>0.44091710758377423</v>
      </c>
      <c r="U81" s="2">
        <f t="shared" si="17"/>
        <v>0.66137566137566139</v>
      </c>
      <c r="V81" s="2">
        <f t="shared" si="18"/>
        <v>0.88183421516754845</v>
      </c>
      <c r="W81" s="2">
        <f t="shared" si="19"/>
        <v>1.1022927689594355</v>
      </c>
      <c r="X81" s="2">
        <f t="shared" si="20"/>
        <v>1.3227513227513228</v>
      </c>
      <c r="Y81" s="5" t="str">
        <f t="shared" si="22"/>
        <v>2</v>
      </c>
      <c r="Z81" s="5" t="str">
        <f t="shared" si="22"/>
        <v>2</v>
      </c>
      <c r="AA81" s="5" t="str">
        <f t="shared" si="22"/>
        <v>2</v>
      </c>
      <c r="AB81" s="5" t="str">
        <f t="shared" si="22"/>
        <v>2</v>
      </c>
      <c r="AC81" s="5" t="str">
        <f t="shared" si="22"/>
        <v>2</v>
      </c>
      <c r="AD81" s="5" t="str">
        <f t="shared" si="22"/>
        <v>1</v>
      </c>
      <c r="AE81" s="5" t="str">
        <f t="shared" si="22"/>
        <v>1</v>
      </c>
    </row>
    <row r="82" spans="1:31" ht="14.4" x14ac:dyDescent="0.3">
      <c r="A82" s="14">
        <v>79</v>
      </c>
      <c r="B82" s="24" t="s">
        <v>182</v>
      </c>
      <c r="C82" s="10">
        <v>45</v>
      </c>
      <c r="D82" s="10">
        <v>42</v>
      </c>
      <c r="E82" s="16">
        <v>365</v>
      </c>
      <c r="F82" s="26">
        <v>1E-4</v>
      </c>
      <c r="G82" s="10">
        <v>1800</v>
      </c>
      <c r="H82" s="13">
        <v>1.4E-3</v>
      </c>
      <c r="I82" s="17">
        <v>10950</v>
      </c>
      <c r="J82" s="22">
        <v>45</v>
      </c>
      <c r="K82" s="18">
        <f t="shared" si="23"/>
        <v>6.4285714285714285E-3</v>
      </c>
      <c r="L82" s="2">
        <f t="shared" si="21"/>
        <v>7.1428571428571429E-4</v>
      </c>
      <c r="M82" s="2">
        <f t="shared" si="24"/>
        <v>1.4285714285714286E-3</v>
      </c>
      <c r="N82" s="2">
        <f t="shared" si="25"/>
        <v>2.142857142857143E-3</v>
      </c>
      <c r="O82" s="2">
        <f t="shared" si="26"/>
        <v>2.8571428571428571E-3</v>
      </c>
      <c r="P82" s="2">
        <f t="shared" si="27"/>
        <v>3.5714285714285713E-3</v>
      </c>
      <c r="Q82" s="2">
        <f t="shared" si="28"/>
        <v>4.2857142857142859E-3</v>
      </c>
      <c r="R82" s="2">
        <f t="shared" si="29"/>
        <v>4.5918367346938771</v>
      </c>
      <c r="S82" s="2">
        <f t="shared" si="16"/>
        <v>0.51020408163265307</v>
      </c>
      <c r="T82" s="2">
        <f t="shared" si="30"/>
        <v>1.0204081632653061</v>
      </c>
      <c r="U82" s="2">
        <f t="shared" si="17"/>
        <v>1.5306122448979593</v>
      </c>
      <c r="V82" s="2">
        <f t="shared" si="18"/>
        <v>2.0408163265306123</v>
      </c>
      <c r="W82" s="2">
        <f t="shared" si="19"/>
        <v>2.5510204081632653</v>
      </c>
      <c r="X82" s="2">
        <f t="shared" si="20"/>
        <v>3.0612244897959187</v>
      </c>
      <c r="Y82" s="5" t="str">
        <f t="shared" si="22"/>
        <v>1</v>
      </c>
      <c r="Z82" s="5" t="str">
        <f t="shared" si="22"/>
        <v>2</v>
      </c>
      <c r="AA82" s="5" t="str">
        <f t="shared" si="22"/>
        <v>1</v>
      </c>
      <c r="AB82" s="5" t="str">
        <f t="shared" si="22"/>
        <v>1</v>
      </c>
      <c r="AC82" s="5" t="str">
        <f t="shared" si="22"/>
        <v>1</v>
      </c>
      <c r="AD82" s="5" t="str">
        <f t="shared" si="22"/>
        <v>1</v>
      </c>
      <c r="AE82" s="5" t="str">
        <f t="shared" si="22"/>
        <v>1</v>
      </c>
    </row>
    <row r="83" spans="1:31" ht="14.4" x14ac:dyDescent="0.3">
      <c r="A83" s="14">
        <v>80</v>
      </c>
      <c r="B83" s="24" t="s">
        <v>183</v>
      </c>
      <c r="C83" s="10">
        <v>45</v>
      </c>
      <c r="D83" s="10">
        <v>50</v>
      </c>
      <c r="E83" s="16">
        <v>365</v>
      </c>
      <c r="F83" s="26">
        <v>1E-4</v>
      </c>
      <c r="G83" s="10">
        <v>900</v>
      </c>
      <c r="H83" s="13">
        <v>1.4E-3</v>
      </c>
      <c r="I83" s="17">
        <v>10950</v>
      </c>
      <c r="J83" s="22">
        <v>1</v>
      </c>
      <c r="K83" s="18">
        <f t="shared" si="23"/>
        <v>6.0000000000000002E-5</v>
      </c>
      <c r="L83" s="2">
        <f t="shared" si="21"/>
        <v>2.9999999999999997E-4</v>
      </c>
      <c r="M83" s="2">
        <f t="shared" si="24"/>
        <v>5.9999999999999995E-4</v>
      </c>
      <c r="N83" s="2">
        <f t="shared" si="25"/>
        <v>8.9999999999999998E-4</v>
      </c>
      <c r="O83" s="2">
        <f t="shared" si="26"/>
        <v>1.1999999999999999E-3</v>
      </c>
      <c r="P83" s="2">
        <f t="shared" si="27"/>
        <v>1.5E-3</v>
      </c>
      <c r="Q83" s="2">
        <f t="shared" si="28"/>
        <v>1.8E-3</v>
      </c>
      <c r="R83" s="2">
        <f t="shared" si="29"/>
        <v>4.2857142857142858E-2</v>
      </c>
      <c r="S83" s="2">
        <f t="shared" si="16"/>
        <v>0.21428571428571427</v>
      </c>
      <c r="T83" s="2">
        <f t="shared" si="30"/>
        <v>0.42857142857142855</v>
      </c>
      <c r="U83" s="2">
        <f t="shared" si="17"/>
        <v>0.64285714285714279</v>
      </c>
      <c r="V83" s="2">
        <f t="shared" si="18"/>
        <v>0.8571428571428571</v>
      </c>
      <c r="W83" s="2">
        <f t="shared" si="19"/>
        <v>1.0714285714285714</v>
      </c>
      <c r="X83" s="2">
        <f t="shared" si="20"/>
        <v>1.2857142857142856</v>
      </c>
      <c r="Y83" s="5" t="str">
        <f t="shared" si="22"/>
        <v>2</v>
      </c>
      <c r="Z83" s="5" t="str">
        <f t="shared" si="22"/>
        <v>2</v>
      </c>
      <c r="AA83" s="5" t="str">
        <f t="shared" si="22"/>
        <v>2</v>
      </c>
      <c r="AB83" s="5" t="str">
        <f t="shared" si="22"/>
        <v>2</v>
      </c>
      <c r="AC83" s="5" t="str">
        <f t="shared" si="22"/>
        <v>2</v>
      </c>
      <c r="AD83" s="5" t="str">
        <f t="shared" si="22"/>
        <v>1</v>
      </c>
      <c r="AE83" s="5" t="str">
        <f t="shared" si="22"/>
        <v>1</v>
      </c>
    </row>
    <row r="84" spans="1:31" ht="14.4" x14ac:dyDescent="0.3">
      <c r="A84" s="14">
        <v>81</v>
      </c>
      <c r="B84" s="24" t="s">
        <v>123</v>
      </c>
      <c r="C84" s="10">
        <v>45</v>
      </c>
      <c r="D84" s="10">
        <v>42</v>
      </c>
      <c r="E84" s="16">
        <v>365</v>
      </c>
      <c r="F84" s="26">
        <v>1E-4</v>
      </c>
      <c r="G84" s="10">
        <v>1800</v>
      </c>
      <c r="H84" s="13">
        <v>1.4E-3</v>
      </c>
      <c r="I84" s="17">
        <v>10950</v>
      </c>
      <c r="J84" s="22">
        <v>45</v>
      </c>
      <c r="K84" s="18">
        <f t="shared" si="23"/>
        <v>6.4285714285714285E-3</v>
      </c>
      <c r="L84" s="2">
        <f t="shared" si="21"/>
        <v>7.1428571428571429E-4</v>
      </c>
      <c r="M84" s="2">
        <f t="shared" si="24"/>
        <v>1.4285714285714286E-3</v>
      </c>
      <c r="N84" s="2">
        <f t="shared" si="25"/>
        <v>2.142857142857143E-3</v>
      </c>
      <c r="O84" s="2">
        <f t="shared" si="26"/>
        <v>2.8571428571428571E-3</v>
      </c>
      <c r="P84" s="2">
        <f t="shared" si="27"/>
        <v>3.5714285714285713E-3</v>
      </c>
      <c r="Q84" s="2">
        <f t="shared" si="28"/>
        <v>4.2857142857142859E-3</v>
      </c>
      <c r="R84" s="2">
        <f t="shared" si="29"/>
        <v>4.5918367346938771</v>
      </c>
      <c r="S84" s="2">
        <f t="shared" si="16"/>
        <v>0.51020408163265307</v>
      </c>
      <c r="T84" s="2">
        <f t="shared" si="30"/>
        <v>1.0204081632653061</v>
      </c>
      <c r="U84" s="2">
        <f t="shared" si="17"/>
        <v>1.5306122448979593</v>
      </c>
      <c r="V84" s="2">
        <f t="shared" si="18"/>
        <v>2.0408163265306123</v>
      </c>
      <c r="W84" s="2">
        <f t="shared" si="19"/>
        <v>2.5510204081632653</v>
      </c>
      <c r="X84" s="2">
        <f t="shared" si="20"/>
        <v>3.0612244897959187</v>
      </c>
      <c r="Y84" s="5" t="str">
        <f t="shared" si="22"/>
        <v>1</v>
      </c>
      <c r="Z84" s="5" t="str">
        <f t="shared" si="22"/>
        <v>2</v>
      </c>
      <c r="AA84" s="5" t="str">
        <f t="shared" si="22"/>
        <v>1</v>
      </c>
      <c r="AB84" s="5" t="str">
        <f t="shared" si="22"/>
        <v>1</v>
      </c>
      <c r="AC84" s="5" t="str">
        <f t="shared" si="22"/>
        <v>1</v>
      </c>
      <c r="AD84" s="5" t="str">
        <f t="shared" si="22"/>
        <v>1</v>
      </c>
      <c r="AE84" s="5" t="str">
        <f t="shared" si="22"/>
        <v>1</v>
      </c>
    </row>
    <row r="85" spans="1:31" ht="14.4" x14ac:dyDescent="0.3">
      <c r="A85" s="14">
        <v>82</v>
      </c>
      <c r="B85" s="24" t="s">
        <v>140</v>
      </c>
      <c r="C85" s="10">
        <v>45</v>
      </c>
      <c r="D85" s="10">
        <v>50</v>
      </c>
      <c r="E85" s="16">
        <v>365</v>
      </c>
      <c r="F85" s="26">
        <v>1E-4</v>
      </c>
      <c r="G85" s="10">
        <v>900</v>
      </c>
      <c r="H85" s="13">
        <v>1.4E-3</v>
      </c>
      <c r="I85" s="17">
        <v>10950</v>
      </c>
      <c r="J85" s="22">
        <v>1</v>
      </c>
      <c r="K85" s="18">
        <f t="shared" si="23"/>
        <v>6.0000000000000002E-5</v>
      </c>
      <c r="L85" s="2">
        <f t="shared" si="21"/>
        <v>2.9999999999999997E-4</v>
      </c>
      <c r="M85" s="2">
        <f t="shared" si="24"/>
        <v>5.9999999999999995E-4</v>
      </c>
      <c r="N85" s="2">
        <f t="shared" si="25"/>
        <v>8.9999999999999998E-4</v>
      </c>
      <c r="O85" s="2">
        <f t="shared" si="26"/>
        <v>1.1999999999999999E-3</v>
      </c>
      <c r="P85" s="2">
        <f t="shared" si="27"/>
        <v>1.5E-3</v>
      </c>
      <c r="Q85" s="2">
        <f t="shared" si="28"/>
        <v>1.8E-3</v>
      </c>
      <c r="R85" s="2">
        <f t="shared" si="29"/>
        <v>4.2857142857142858E-2</v>
      </c>
      <c r="S85" s="2">
        <f t="shared" si="16"/>
        <v>0.21428571428571427</v>
      </c>
      <c r="T85" s="2">
        <f t="shared" si="30"/>
        <v>0.42857142857142855</v>
      </c>
      <c r="U85" s="2">
        <f t="shared" si="17"/>
        <v>0.64285714285714279</v>
      </c>
      <c r="V85" s="2">
        <f t="shared" si="18"/>
        <v>0.8571428571428571</v>
      </c>
      <c r="W85" s="2">
        <f t="shared" si="19"/>
        <v>1.0714285714285714</v>
      </c>
      <c r="X85" s="2">
        <f t="shared" si="20"/>
        <v>1.2857142857142856</v>
      </c>
      <c r="Y85" s="5" t="str">
        <f t="shared" si="22"/>
        <v>2</v>
      </c>
      <c r="Z85" s="5" t="str">
        <f t="shared" si="22"/>
        <v>2</v>
      </c>
      <c r="AA85" s="5" t="str">
        <f t="shared" si="22"/>
        <v>2</v>
      </c>
      <c r="AB85" s="5" t="str">
        <f t="shared" si="22"/>
        <v>2</v>
      </c>
      <c r="AC85" s="5" t="str">
        <f t="shared" si="22"/>
        <v>2</v>
      </c>
      <c r="AD85" s="5" t="str">
        <f t="shared" si="22"/>
        <v>1</v>
      </c>
      <c r="AE85" s="5" t="str">
        <f t="shared" si="22"/>
        <v>1</v>
      </c>
    </row>
    <row r="86" spans="1:31" ht="14.4" x14ac:dyDescent="0.3">
      <c r="A86" s="14">
        <v>83</v>
      </c>
      <c r="B86" s="24" t="s">
        <v>150</v>
      </c>
      <c r="C86" s="10">
        <v>45</v>
      </c>
      <c r="D86" s="10">
        <v>50</v>
      </c>
      <c r="E86" s="16">
        <v>365</v>
      </c>
      <c r="F86" s="26">
        <v>1E-4</v>
      </c>
      <c r="G86" s="10">
        <v>900</v>
      </c>
      <c r="H86" s="13">
        <v>1.4E-3</v>
      </c>
      <c r="I86" s="17">
        <v>10950</v>
      </c>
      <c r="J86" s="22">
        <v>1</v>
      </c>
      <c r="K86" s="18">
        <f t="shared" si="23"/>
        <v>6.0000000000000002E-5</v>
      </c>
      <c r="L86" s="2">
        <f t="shared" si="21"/>
        <v>2.9999999999999997E-4</v>
      </c>
      <c r="M86" s="2">
        <f t="shared" si="24"/>
        <v>5.9999999999999995E-4</v>
      </c>
      <c r="N86" s="2">
        <f t="shared" si="25"/>
        <v>8.9999999999999998E-4</v>
      </c>
      <c r="O86" s="2">
        <f t="shared" si="26"/>
        <v>1.1999999999999999E-3</v>
      </c>
      <c r="P86" s="2">
        <f t="shared" si="27"/>
        <v>1.5E-3</v>
      </c>
      <c r="Q86" s="2">
        <f t="shared" si="28"/>
        <v>1.8E-3</v>
      </c>
      <c r="R86" s="2">
        <f t="shared" si="29"/>
        <v>4.2857142857142858E-2</v>
      </c>
      <c r="S86" s="2">
        <f t="shared" si="16"/>
        <v>0.21428571428571427</v>
      </c>
      <c r="T86" s="2">
        <f t="shared" si="30"/>
        <v>0.42857142857142855</v>
      </c>
      <c r="U86" s="2">
        <f t="shared" si="17"/>
        <v>0.64285714285714279</v>
      </c>
      <c r="V86" s="2">
        <f t="shared" si="18"/>
        <v>0.8571428571428571</v>
      </c>
      <c r="W86" s="2">
        <f t="shared" si="19"/>
        <v>1.0714285714285714</v>
      </c>
      <c r="X86" s="2">
        <f t="shared" si="20"/>
        <v>1.2857142857142856</v>
      </c>
      <c r="Y86" s="5" t="str">
        <f t="shared" si="22"/>
        <v>2</v>
      </c>
      <c r="Z86" s="5" t="str">
        <f t="shared" si="22"/>
        <v>2</v>
      </c>
      <c r="AA86" s="5" t="str">
        <f t="shared" si="22"/>
        <v>2</v>
      </c>
      <c r="AB86" s="5" t="str">
        <f t="shared" si="22"/>
        <v>2</v>
      </c>
      <c r="AC86" s="5" t="str">
        <f t="shared" si="22"/>
        <v>2</v>
      </c>
      <c r="AD86" s="5" t="str">
        <f t="shared" si="22"/>
        <v>1</v>
      </c>
      <c r="AE86" s="5" t="str">
        <f t="shared" si="22"/>
        <v>1</v>
      </c>
    </row>
    <row r="87" spans="1:31" ht="14.4" x14ac:dyDescent="0.3">
      <c r="A87" s="14">
        <v>84</v>
      </c>
      <c r="B87" s="24" t="s">
        <v>184</v>
      </c>
      <c r="C87" s="10">
        <v>46</v>
      </c>
      <c r="D87" s="10">
        <v>54</v>
      </c>
      <c r="E87" s="16">
        <v>365</v>
      </c>
      <c r="F87" s="26">
        <v>1E-4</v>
      </c>
      <c r="G87" s="10">
        <v>900</v>
      </c>
      <c r="H87" s="13">
        <v>1.4E-3</v>
      </c>
      <c r="I87" s="17">
        <v>10950</v>
      </c>
      <c r="J87" s="22">
        <v>10</v>
      </c>
      <c r="K87" s="18">
        <f t="shared" si="23"/>
        <v>5.5555555555555556E-4</v>
      </c>
      <c r="L87" s="2">
        <f t="shared" si="21"/>
        <v>2.7777777777777778E-4</v>
      </c>
      <c r="M87" s="2">
        <f t="shared" si="24"/>
        <v>5.5555555555555556E-4</v>
      </c>
      <c r="N87" s="2">
        <f t="shared" si="25"/>
        <v>8.3333333333333339E-4</v>
      </c>
      <c r="O87" s="2">
        <f t="shared" si="26"/>
        <v>1.1111111111111111E-3</v>
      </c>
      <c r="P87" s="2">
        <f t="shared" si="27"/>
        <v>1.3888888888888889E-3</v>
      </c>
      <c r="Q87" s="2">
        <f t="shared" si="28"/>
        <v>1.6666666666666668E-3</v>
      </c>
      <c r="R87" s="2">
        <f t="shared" si="29"/>
        <v>0.3968253968253968</v>
      </c>
      <c r="S87" s="2">
        <f t="shared" si="16"/>
        <v>0.1984126984126984</v>
      </c>
      <c r="T87" s="2">
        <f t="shared" si="30"/>
        <v>0.3968253968253968</v>
      </c>
      <c r="U87" s="2">
        <f t="shared" si="17"/>
        <v>0.59523809523809523</v>
      </c>
      <c r="V87" s="2">
        <f t="shared" si="18"/>
        <v>0.79365079365079361</v>
      </c>
      <c r="W87" s="2">
        <f t="shared" si="19"/>
        <v>0.99206349206349209</v>
      </c>
      <c r="X87" s="2">
        <f t="shared" si="20"/>
        <v>1.1904761904761905</v>
      </c>
      <c r="Y87" s="5" t="str">
        <f t="shared" si="22"/>
        <v>2</v>
      </c>
      <c r="Z87" s="5" t="str">
        <f t="shared" si="22"/>
        <v>2</v>
      </c>
      <c r="AA87" s="5" t="str">
        <f t="shared" si="22"/>
        <v>2</v>
      </c>
      <c r="AB87" s="5" t="str">
        <f t="shared" si="22"/>
        <v>2</v>
      </c>
      <c r="AC87" s="5" t="str">
        <f t="shared" si="22"/>
        <v>2</v>
      </c>
      <c r="AD87" s="5" t="str">
        <f t="shared" si="22"/>
        <v>2</v>
      </c>
      <c r="AE87" s="5" t="str">
        <f t="shared" si="22"/>
        <v>1</v>
      </c>
    </row>
    <row r="88" spans="1:31" ht="14.4" x14ac:dyDescent="0.3">
      <c r="A88" s="14">
        <v>85</v>
      </c>
      <c r="B88" s="24" t="s">
        <v>141</v>
      </c>
      <c r="C88" s="10">
        <v>46</v>
      </c>
      <c r="D88" s="10">
        <v>54</v>
      </c>
      <c r="E88" s="16">
        <v>365</v>
      </c>
      <c r="F88" s="26">
        <v>1E-4</v>
      </c>
      <c r="G88" s="10">
        <v>900</v>
      </c>
      <c r="H88" s="13">
        <v>1.4E-3</v>
      </c>
      <c r="I88" s="17">
        <v>10950</v>
      </c>
      <c r="J88" s="22">
        <v>10</v>
      </c>
      <c r="K88" s="18">
        <f t="shared" si="23"/>
        <v>5.5555555555555556E-4</v>
      </c>
      <c r="L88" s="2">
        <f t="shared" si="21"/>
        <v>2.7777777777777778E-4</v>
      </c>
      <c r="M88" s="2">
        <f t="shared" si="24"/>
        <v>5.5555555555555556E-4</v>
      </c>
      <c r="N88" s="2">
        <f t="shared" si="25"/>
        <v>8.3333333333333339E-4</v>
      </c>
      <c r="O88" s="2">
        <f t="shared" si="26"/>
        <v>1.1111111111111111E-3</v>
      </c>
      <c r="P88" s="2">
        <f t="shared" si="27"/>
        <v>1.3888888888888889E-3</v>
      </c>
      <c r="Q88" s="2">
        <f t="shared" si="28"/>
        <v>1.6666666666666668E-3</v>
      </c>
      <c r="R88" s="2">
        <f t="shared" si="29"/>
        <v>0.3968253968253968</v>
      </c>
      <c r="S88" s="2">
        <f t="shared" si="16"/>
        <v>0.1984126984126984</v>
      </c>
      <c r="T88" s="2">
        <f t="shared" si="30"/>
        <v>0.3968253968253968</v>
      </c>
      <c r="U88" s="2">
        <f t="shared" si="17"/>
        <v>0.59523809523809523</v>
      </c>
      <c r="V88" s="2">
        <f t="shared" si="18"/>
        <v>0.79365079365079361</v>
      </c>
      <c r="W88" s="2">
        <f t="shared" si="19"/>
        <v>0.99206349206349209</v>
      </c>
      <c r="X88" s="2">
        <f t="shared" si="20"/>
        <v>1.1904761904761905</v>
      </c>
      <c r="Y88" s="5" t="str">
        <f t="shared" si="22"/>
        <v>2</v>
      </c>
      <c r="Z88" s="5" t="str">
        <f t="shared" si="22"/>
        <v>2</v>
      </c>
      <c r="AA88" s="5" t="str">
        <f t="shared" si="22"/>
        <v>2</v>
      </c>
      <c r="AB88" s="5" t="str">
        <f t="shared" si="22"/>
        <v>2</v>
      </c>
      <c r="AC88" s="5" t="str">
        <f t="shared" si="22"/>
        <v>2</v>
      </c>
      <c r="AD88" s="5" t="str">
        <f t="shared" si="22"/>
        <v>2</v>
      </c>
      <c r="AE88" s="5" t="str">
        <f t="shared" si="22"/>
        <v>1</v>
      </c>
    </row>
    <row r="89" spans="1:31" ht="14.4" x14ac:dyDescent="0.3">
      <c r="A89" s="14">
        <v>86</v>
      </c>
      <c r="B89" s="24" t="s">
        <v>151</v>
      </c>
      <c r="C89" s="10">
        <v>46</v>
      </c>
      <c r="D89" s="10">
        <v>54</v>
      </c>
      <c r="E89" s="16">
        <v>365</v>
      </c>
      <c r="F89" s="26">
        <v>1E-4</v>
      </c>
      <c r="G89" s="10">
        <v>900</v>
      </c>
      <c r="H89" s="13">
        <v>1.4E-3</v>
      </c>
      <c r="I89" s="17">
        <v>10950</v>
      </c>
      <c r="J89" s="22">
        <v>10</v>
      </c>
      <c r="K89" s="18">
        <f t="shared" si="23"/>
        <v>5.5555555555555556E-4</v>
      </c>
      <c r="L89" s="2">
        <f t="shared" si="21"/>
        <v>2.7777777777777778E-4</v>
      </c>
      <c r="M89" s="2">
        <f t="shared" si="24"/>
        <v>5.5555555555555556E-4</v>
      </c>
      <c r="N89" s="2">
        <f t="shared" si="25"/>
        <v>8.3333333333333339E-4</v>
      </c>
      <c r="O89" s="2">
        <f t="shared" si="26"/>
        <v>1.1111111111111111E-3</v>
      </c>
      <c r="P89" s="2">
        <f t="shared" si="27"/>
        <v>1.3888888888888889E-3</v>
      </c>
      <c r="Q89" s="2">
        <f t="shared" si="28"/>
        <v>1.6666666666666668E-3</v>
      </c>
      <c r="R89" s="2">
        <f t="shared" si="29"/>
        <v>0.3968253968253968</v>
      </c>
      <c r="S89" s="2">
        <f t="shared" si="16"/>
        <v>0.1984126984126984</v>
      </c>
      <c r="T89" s="2">
        <f t="shared" si="30"/>
        <v>0.3968253968253968</v>
      </c>
      <c r="U89" s="2">
        <f t="shared" si="17"/>
        <v>0.59523809523809523</v>
      </c>
      <c r="V89" s="2">
        <f t="shared" si="18"/>
        <v>0.79365079365079361</v>
      </c>
      <c r="W89" s="2">
        <f t="shared" si="19"/>
        <v>0.99206349206349209</v>
      </c>
      <c r="X89" s="2">
        <f t="shared" si="20"/>
        <v>1.1904761904761905</v>
      </c>
      <c r="Y89" s="5" t="str">
        <f t="shared" si="22"/>
        <v>2</v>
      </c>
      <c r="Z89" s="5" t="str">
        <f t="shared" si="22"/>
        <v>2</v>
      </c>
      <c r="AA89" s="5" t="str">
        <f t="shared" si="22"/>
        <v>2</v>
      </c>
      <c r="AB89" s="5" t="str">
        <f t="shared" si="22"/>
        <v>2</v>
      </c>
      <c r="AC89" s="5" t="str">
        <f t="shared" si="22"/>
        <v>2</v>
      </c>
      <c r="AD89" s="5" t="str">
        <f t="shared" si="22"/>
        <v>2</v>
      </c>
      <c r="AE89" s="5" t="str">
        <f t="shared" si="22"/>
        <v>1</v>
      </c>
    </row>
    <row r="90" spans="1:31" ht="14.4" x14ac:dyDescent="0.3">
      <c r="A90" s="14">
        <v>87</v>
      </c>
      <c r="B90" s="24" t="s">
        <v>185</v>
      </c>
      <c r="C90" s="10">
        <v>47</v>
      </c>
      <c r="D90" s="10">
        <v>60</v>
      </c>
      <c r="E90" s="16">
        <v>365</v>
      </c>
      <c r="F90" s="26">
        <v>1E-4</v>
      </c>
      <c r="G90" s="10">
        <v>900</v>
      </c>
      <c r="H90" s="13">
        <v>1.4E-3</v>
      </c>
      <c r="I90" s="17">
        <v>10950</v>
      </c>
      <c r="J90" s="22">
        <v>10</v>
      </c>
      <c r="K90" s="18">
        <f t="shared" si="23"/>
        <v>5.0000000000000001E-4</v>
      </c>
      <c r="L90" s="2">
        <f t="shared" si="21"/>
        <v>2.5000000000000001E-4</v>
      </c>
      <c r="M90" s="2">
        <f t="shared" si="24"/>
        <v>5.0000000000000001E-4</v>
      </c>
      <c r="N90" s="2">
        <f t="shared" si="25"/>
        <v>7.5000000000000002E-4</v>
      </c>
      <c r="O90" s="2">
        <f t="shared" si="26"/>
        <v>1E-3</v>
      </c>
      <c r="P90" s="2">
        <f t="shared" si="27"/>
        <v>1.25E-3</v>
      </c>
      <c r="Q90" s="2">
        <f t="shared" si="28"/>
        <v>1.5E-3</v>
      </c>
      <c r="R90" s="2">
        <f t="shared" si="29"/>
        <v>0.35714285714285715</v>
      </c>
      <c r="S90" s="2">
        <f t="shared" si="16"/>
        <v>0.17857142857142858</v>
      </c>
      <c r="T90" s="2">
        <f t="shared" si="30"/>
        <v>0.35714285714285715</v>
      </c>
      <c r="U90" s="2">
        <f t="shared" si="17"/>
        <v>0.5357142857142857</v>
      </c>
      <c r="V90" s="2">
        <f t="shared" si="18"/>
        <v>0.7142857142857143</v>
      </c>
      <c r="W90" s="2">
        <f t="shared" si="19"/>
        <v>0.8928571428571429</v>
      </c>
      <c r="X90" s="2">
        <f t="shared" si="20"/>
        <v>1.0714285714285714</v>
      </c>
      <c r="Y90" s="5" t="str">
        <f t="shared" si="22"/>
        <v>2</v>
      </c>
      <c r="Z90" s="5" t="str">
        <f t="shared" si="22"/>
        <v>2</v>
      </c>
      <c r="AA90" s="5" t="str">
        <f t="shared" si="22"/>
        <v>2</v>
      </c>
      <c r="AB90" s="5" t="str">
        <f t="shared" ref="AB90:AE103" si="31">IF(U90&gt;1,"1","2")</f>
        <v>2</v>
      </c>
      <c r="AC90" s="5" t="str">
        <f t="shared" si="31"/>
        <v>2</v>
      </c>
      <c r="AD90" s="5" t="str">
        <f t="shared" si="31"/>
        <v>2</v>
      </c>
      <c r="AE90" s="5" t="str">
        <f t="shared" si="31"/>
        <v>1</v>
      </c>
    </row>
    <row r="91" spans="1:31" ht="14.4" x14ac:dyDescent="0.3">
      <c r="A91" s="14">
        <v>88</v>
      </c>
      <c r="B91" s="24" t="s">
        <v>186</v>
      </c>
      <c r="C91" s="10">
        <v>49</v>
      </c>
      <c r="D91" s="10">
        <v>58</v>
      </c>
      <c r="E91" s="16">
        <v>365</v>
      </c>
      <c r="F91" s="26">
        <v>1E-4</v>
      </c>
      <c r="G91" s="10">
        <v>900</v>
      </c>
      <c r="H91" s="13">
        <v>1.4E-3</v>
      </c>
      <c r="I91" s="17">
        <v>10950</v>
      </c>
      <c r="J91" s="22">
        <v>40</v>
      </c>
      <c r="K91" s="18">
        <f t="shared" si="23"/>
        <v>2.0689655172413794E-3</v>
      </c>
      <c r="L91" s="2">
        <f t="shared" si="21"/>
        <v>2.5862068965517242E-4</v>
      </c>
      <c r="M91" s="2">
        <f t="shared" si="24"/>
        <v>5.1724137931034484E-4</v>
      </c>
      <c r="N91" s="2">
        <f t="shared" si="25"/>
        <v>7.7586206896551721E-4</v>
      </c>
      <c r="O91" s="2">
        <f t="shared" si="26"/>
        <v>1.0344827586206897E-3</v>
      </c>
      <c r="P91" s="2">
        <f t="shared" si="27"/>
        <v>1.2931034482758621E-3</v>
      </c>
      <c r="Q91" s="2">
        <f t="shared" si="28"/>
        <v>1.5517241379310344E-3</v>
      </c>
      <c r="R91" s="2">
        <f t="shared" si="29"/>
        <v>1.4778325123152709</v>
      </c>
      <c r="S91" s="2">
        <f t="shared" si="16"/>
        <v>0.18472906403940886</v>
      </c>
      <c r="T91" s="2">
        <f t="shared" si="30"/>
        <v>0.36945812807881773</v>
      </c>
      <c r="U91" s="2">
        <f t="shared" si="17"/>
        <v>0.55418719211822653</v>
      </c>
      <c r="V91" s="2">
        <f t="shared" si="18"/>
        <v>0.73891625615763545</v>
      </c>
      <c r="W91" s="2">
        <f t="shared" si="19"/>
        <v>0.92364532019704437</v>
      </c>
      <c r="X91" s="2">
        <f t="shared" si="20"/>
        <v>1.1083743842364531</v>
      </c>
      <c r="Y91" s="5" t="str">
        <f t="shared" ref="Y91:AA103" si="32">IF(R91&gt;1,"1","2")</f>
        <v>1</v>
      </c>
      <c r="Z91" s="5" t="str">
        <f t="shared" si="32"/>
        <v>2</v>
      </c>
      <c r="AA91" s="5" t="str">
        <f t="shared" si="32"/>
        <v>2</v>
      </c>
      <c r="AB91" s="5" t="str">
        <f t="shared" si="31"/>
        <v>2</v>
      </c>
      <c r="AC91" s="5" t="str">
        <f t="shared" si="31"/>
        <v>2</v>
      </c>
      <c r="AD91" s="5" t="str">
        <f t="shared" si="31"/>
        <v>2</v>
      </c>
      <c r="AE91" s="5" t="str">
        <f t="shared" si="31"/>
        <v>1</v>
      </c>
    </row>
    <row r="92" spans="1:31" ht="14.4" x14ac:dyDescent="0.3">
      <c r="A92" s="14">
        <v>89</v>
      </c>
      <c r="B92" s="24" t="s">
        <v>187</v>
      </c>
      <c r="C92" s="10">
        <v>52</v>
      </c>
      <c r="D92" s="10">
        <v>61</v>
      </c>
      <c r="E92" s="16">
        <v>365</v>
      </c>
      <c r="F92" s="26">
        <v>1E-4</v>
      </c>
      <c r="G92" s="10">
        <v>900</v>
      </c>
      <c r="H92" s="13">
        <v>1.4E-3</v>
      </c>
      <c r="I92" s="17">
        <v>10950</v>
      </c>
      <c r="J92" s="22">
        <v>25</v>
      </c>
      <c r="K92" s="18">
        <f t="shared" si="23"/>
        <v>1.2295081967213116E-3</v>
      </c>
      <c r="L92" s="2">
        <f t="shared" si="21"/>
        <v>2.4590163934426229E-4</v>
      </c>
      <c r="M92" s="2">
        <f t="shared" si="24"/>
        <v>4.9180327868852459E-4</v>
      </c>
      <c r="N92" s="2">
        <f t="shared" si="25"/>
        <v>7.3770491803278688E-4</v>
      </c>
      <c r="O92" s="2">
        <f t="shared" si="26"/>
        <v>9.8360655737704918E-4</v>
      </c>
      <c r="P92" s="2">
        <f t="shared" si="27"/>
        <v>1.2295081967213116E-3</v>
      </c>
      <c r="Q92" s="2">
        <f t="shared" si="28"/>
        <v>1.4754098360655738E-3</v>
      </c>
      <c r="R92" s="2">
        <f t="shared" si="29"/>
        <v>0.87822014051522257</v>
      </c>
      <c r="S92" s="2">
        <f t="shared" si="16"/>
        <v>0.1756440281030445</v>
      </c>
      <c r="T92" s="2">
        <f t="shared" si="30"/>
        <v>0.35128805620608899</v>
      </c>
      <c r="U92" s="2">
        <f t="shared" si="17"/>
        <v>0.52693208430913352</v>
      </c>
      <c r="V92" s="2">
        <f t="shared" si="18"/>
        <v>0.70257611241217799</v>
      </c>
      <c r="W92" s="2">
        <f t="shared" si="19"/>
        <v>0.87822014051522257</v>
      </c>
      <c r="X92" s="2">
        <f t="shared" si="20"/>
        <v>1.053864168618267</v>
      </c>
      <c r="Y92" s="5" t="str">
        <f t="shared" si="32"/>
        <v>2</v>
      </c>
      <c r="Z92" s="5" t="str">
        <f t="shared" si="32"/>
        <v>2</v>
      </c>
      <c r="AA92" s="5" t="str">
        <f t="shared" si="32"/>
        <v>2</v>
      </c>
      <c r="AB92" s="5" t="str">
        <f t="shared" si="31"/>
        <v>2</v>
      </c>
      <c r="AC92" s="5" t="str">
        <f t="shared" si="31"/>
        <v>2</v>
      </c>
      <c r="AD92" s="5" t="str">
        <f t="shared" si="31"/>
        <v>2</v>
      </c>
      <c r="AE92" s="5" t="str">
        <f t="shared" si="31"/>
        <v>1</v>
      </c>
    </row>
    <row r="93" spans="1:31" ht="14.4" x14ac:dyDescent="0.3">
      <c r="A93" s="14">
        <v>90</v>
      </c>
      <c r="B93" s="24" t="s">
        <v>122</v>
      </c>
      <c r="C93" s="10">
        <v>54</v>
      </c>
      <c r="D93" s="10">
        <v>57</v>
      </c>
      <c r="E93" s="16">
        <v>365</v>
      </c>
      <c r="F93" s="26">
        <v>1E-4</v>
      </c>
      <c r="G93" s="10">
        <v>1200</v>
      </c>
      <c r="H93" s="13">
        <v>1.4E-3</v>
      </c>
      <c r="I93" s="17">
        <v>10950</v>
      </c>
      <c r="J93" s="22">
        <v>54</v>
      </c>
      <c r="K93" s="18">
        <f t="shared" si="23"/>
        <v>3.7894736842105266E-3</v>
      </c>
      <c r="L93" s="2">
        <f t="shared" si="21"/>
        <v>3.5087719298245617E-4</v>
      </c>
      <c r="M93" s="2">
        <f t="shared" si="24"/>
        <v>7.0175438596491234E-4</v>
      </c>
      <c r="N93" s="2">
        <f t="shared" si="25"/>
        <v>1.0526315789473686E-3</v>
      </c>
      <c r="O93" s="2">
        <f t="shared" si="26"/>
        <v>1.4035087719298247E-3</v>
      </c>
      <c r="P93" s="2">
        <f t="shared" si="27"/>
        <v>1.7543859649122807E-3</v>
      </c>
      <c r="Q93" s="2">
        <f t="shared" si="28"/>
        <v>2.1052631578947372E-3</v>
      </c>
      <c r="R93" s="2">
        <f t="shared" si="29"/>
        <v>2.7067669172932334</v>
      </c>
      <c r="S93" s="2">
        <f t="shared" si="16"/>
        <v>0.25062656641604014</v>
      </c>
      <c r="T93" s="2">
        <f t="shared" si="30"/>
        <v>0.50125313283208028</v>
      </c>
      <c r="U93" s="2">
        <f t="shared" si="17"/>
        <v>0.75187969924812048</v>
      </c>
      <c r="V93" s="2">
        <f t="shared" si="18"/>
        <v>1.0025062656641606</v>
      </c>
      <c r="W93" s="2">
        <f t="shared" si="19"/>
        <v>1.2531328320802004</v>
      </c>
      <c r="X93" s="2">
        <f t="shared" si="20"/>
        <v>1.503759398496241</v>
      </c>
      <c r="Y93" s="5" t="str">
        <f t="shared" si="32"/>
        <v>1</v>
      </c>
      <c r="Z93" s="5" t="str">
        <f t="shared" si="32"/>
        <v>2</v>
      </c>
      <c r="AA93" s="5" t="str">
        <f t="shared" si="32"/>
        <v>2</v>
      </c>
      <c r="AB93" s="5" t="str">
        <f t="shared" si="31"/>
        <v>2</v>
      </c>
      <c r="AC93" s="5" t="str">
        <f t="shared" si="31"/>
        <v>1</v>
      </c>
      <c r="AD93" s="5" t="str">
        <f t="shared" si="31"/>
        <v>1</v>
      </c>
      <c r="AE93" s="5" t="str">
        <f t="shared" si="31"/>
        <v>1</v>
      </c>
    </row>
    <row r="94" spans="1:31" ht="14.4" x14ac:dyDescent="0.3">
      <c r="A94" s="14">
        <v>91</v>
      </c>
      <c r="B94" s="24" t="s">
        <v>122</v>
      </c>
      <c r="C94" s="10">
        <v>54</v>
      </c>
      <c r="D94" s="10">
        <v>57</v>
      </c>
      <c r="E94" s="16">
        <v>365</v>
      </c>
      <c r="F94" s="26">
        <v>1E-4</v>
      </c>
      <c r="G94" s="10">
        <v>1200</v>
      </c>
      <c r="H94" s="13">
        <v>1.4E-3</v>
      </c>
      <c r="I94" s="17">
        <v>10950</v>
      </c>
      <c r="J94" s="22">
        <v>54</v>
      </c>
      <c r="K94" s="18">
        <f t="shared" si="23"/>
        <v>3.7894736842105266E-3</v>
      </c>
      <c r="L94" s="2">
        <f t="shared" si="21"/>
        <v>3.5087719298245617E-4</v>
      </c>
      <c r="M94" s="2">
        <f t="shared" si="24"/>
        <v>7.0175438596491234E-4</v>
      </c>
      <c r="N94" s="2">
        <f t="shared" si="25"/>
        <v>1.0526315789473686E-3</v>
      </c>
      <c r="O94" s="2">
        <f t="shared" si="26"/>
        <v>1.4035087719298247E-3</v>
      </c>
      <c r="P94" s="2">
        <f t="shared" si="27"/>
        <v>1.7543859649122807E-3</v>
      </c>
      <c r="Q94" s="2">
        <f t="shared" si="28"/>
        <v>2.1052631578947372E-3</v>
      </c>
      <c r="R94" s="2">
        <f t="shared" si="29"/>
        <v>2.7067669172932334</v>
      </c>
      <c r="S94" s="2">
        <f t="shared" si="16"/>
        <v>0.25062656641604014</v>
      </c>
      <c r="T94" s="2">
        <f t="shared" si="30"/>
        <v>0.50125313283208028</v>
      </c>
      <c r="U94" s="2">
        <f t="shared" si="17"/>
        <v>0.75187969924812048</v>
      </c>
      <c r="V94" s="2">
        <f t="shared" si="18"/>
        <v>1.0025062656641606</v>
      </c>
      <c r="W94" s="2">
        <f t="shared" si="19"/>
        <v>1.2531328320802004</v>
      </c>
      <c r="X94" s="2">
        <f t="shared" si="20"/>
        <v>1.503759398496241</v>
      </c>
      <c r="Y94" s="5" t="str">
        <f t="shared" si="32"/>
        <v>1</v>
      </c>
      <c r="Z94" s="5" t="str">
        <f t="shared" si="32"/>
        <v>2</v>
      </c>
      <c r="AA94" s="5" t="str">
        <f t="shared" si="32"/>
        <v>2</v>
      </c>
      <c r="AB94" s="5" t="str">
        <f t="shared" si="31"/>
        <v>2</v>
      </c>
      <c r="AC94" s="5" t="str">
        <f t="shared" si="31"/>
        <v>1</v>
      </c>
      <c r="AD94" s="5" t="str">
        <f t="shared" si="31"/>
        <v>1</v>
      </c>
      <c r="AE94" s="5" t="str">
        <f t="shared" si="31"/>
        <v>1</v>
      </c>
    </row>
    <row r="95" spans="1:31" ht="14.4" x14ac:dyDescent="0.3">
      <c r="A95" s="14">
        <v>92</v>
      </c>
      <c r="B95" s="24" t="s">
        <v>188</v>
      </c>
      <c r="C95" s="10">
        <v>55</v>
      </c>
      <c r="D95" s="10">
        <v>70</v>
      </c>
      <c r="E95" s="16">
        <v>365</v>
      </c>
      <c r="F95" s="26">
        <v>1E-4</v>
      </c>
      <c r="G95" s="10">
        <v>900</v>
      </c>
      <c r="H95" s="13">
        <v>1.4E-3</v>
      </c>
      <c r="I95" s="17">
        <v>10950</v>
      </c>
      <c r="J95" s="22">
        <v>10</v>
      </c>
      <c r="K95" s="18">
        <f t="shared" si="23"/>
        <v>4.2857142857142855E-4</v>
      </c>
      <c r="L95" s="2">
        <f t="shared" si="21"/>
        <v>2.1428571428571427E-4</v>
      </c>
      <c r="M95" s="2">
        <f t="shared" si="24"/>
        <v>4.2857142857142855E-4</v>
      </c>
      <c r="N95" s="2">
        <f t="shared" si="25"/>
        <v>6.4285714285714282E-4</v>
      </c>
      <c r="O95" s="2">
        <f t="shared" si="26"/>
        <v>8.571428571428571E-4</v>
      </c>
      <c r="P95" s="2">
        <f t="shared" si="27"/>
        <v>1.0714285714285715E-3</v>
      </c>
      <c r="Q95" s="2">
        <f t="shared" si="28"/>
        <v>1.2857142857142856E-3</v>
      </c>
      <c r="R95" s="2">
        <f t="shared" si="29"/>
        <v>0.30612244897959184</v>
      </c>
      <c r="S95" s="2">
        <f t="shared" si="16"/>
        <v>0.15306122448979592</v>
      </c>
      <c r="T95" s="2">
        <f t="shared" si="30"/>
        <v>0.30612244897959184</v>
      </c>
      <c r="U95" s="2">
        <f t="shared" si="17"/>
        <v>0.45918367346938771</v>
      </c>
      <c r="V95" s="2">
        <f t="shared" si="18"/>
        <v>0.61224489795918369</v>
      </c>
      <c r="W95" s="2">
        <f t="shared" si="19"/>
        <v>0.76530612244897966</v>
      </c>
      <c r="X95" s="2">
        <f t="shared" si="20"/>
        <v>0.91836734693877542</v>
      </c>
      <c r="Y95" s="5" t="str">
        <f t="shared" si="32"/>
        <v>2</v>
      </c>
      <c r="Z95" s="5" t="str">
        <f t="shared" si="32"/>
        <v>2</v>
      </c>
      <c r="AA95" s="5" t="str">
        <f t="shared" si="32"/>
        <v>2</v>
      </c>
      <c r="AB95" s="5" t="str">
        <f t="shared" si="31"/>
        <v>2</v>
      </c>
      <c r="AC95" s="5" t="str">
        <f t="shared" si="31"/>
        <v>2</v>
      </c>
      <c r="AD95" s="5" t="str">
        <f t="shared" si="31"/>
        <v>2</v>
      </c>
      <c r="AE95" s="5" t="str">
        <f t="shared" si="31"/>
        <v>2</v>
      </c>
    </row>
    <row r="96" spans="1:31" ht="14.4" x14ac:dyDescent="0.3">
      <c r="A96" s="14">
        <v>93</v>
      </c>
      <c r="B96" s="24" t="s">
        <v>143</v>
      </c>
      <c r="C96" s="10">
        <v>55</v>
      </c>
      <c r="D96" s="10">
        <v>70</v>
      </c>
      <c r="E96" s="16">
        <v>365</v>
      </c>
      <c r="F96" s="26">
        <v>1E-4</v>
      </c>
      <c r="G96" s="10">
        <v>900</v>
      </c>
      <c r="H96" s="13">
        <v>1.4E-3</v>
      </c>
      <c r="I96" s="17">
        <v>10950</v>
      </c>
      <c r="J96" s="22">
        <v>10</v>
      </c>
      <c r="K96" s="18">
        <f t="shared" si="23"/>
        <v>4.2857142857142855E-4</v>
      </c>
      <c r="L96" s="2">
        <f t="shared" si="21"/>
        <v>2.1428571428571427E-4</v>
      </c>
      <c r="M96" s="2">
        <f t="shared" si="24"/>
        <v>4.2857142857142855E-4</v>
      </c>
      <c r="N96" s="2">
        <f t="shared" si="25"/>
        <v>6.4285714285714282E-4</v>
      </c>
      <c r="O96" s="2">
        <f t="shared" si="26"/>
        <v>8.571428571428571E-4</v>
      </c>
      <c r="P96" s="2">
        <f t="shared" si="27"/>
        <v>1.0714285714285715E-3</v>
      </c>
      <c r="Q96" s="2">
        <f t="shared" si="28"/>
        <v>1.2857142857142856E-3</v>
      </c>
      <c r="R96" s="2">
        <f t="shared" si="29"/>
        <v>0.30612244897959184</v>
      </c>
      <c r="S96" s="2">
        <f t="shared" si="16"/>
        <v>0.15306122448979592</v>
      </c>
      <c r="T96" s="2">
        <f t="shared" si="30"/>
        <v>0.30612244897959184</v>
      </c>
      <c r="U96" s="2">
        <f t="shared" si="17"/>
        <v>0.45918367346938771</v>
      </c>
      <c r="V96" s="2">
        <f t="shared" si="18"/>
        <v>0.61224489795918369</v>
      </c>
      <c r="W96" s="2">
        <f t="shared" si="19"/>
        <v>0.76530612244897966</v>
      </c>
      <c r="X96" s="2">
        <f t="shared" si="20"/>
        <v>0.91836734693877542</v>
      </c>
      <c r="Y96" s="5" t="str">
        <f t="shared" si="32"/>
        <v>2</v>
      </c>
      <c r="Z96" s="5" t="str">
        <f t="shared" si="32"/>
        <v>2</v>
      </c>
      <c r="AA96" s="5" t="str">
        <f t="shared" si="32"/>
        <v>2</v>
      </c>
      <c r="AB96" s="5" t="str">
        <f t="shared" si="31"/>
        <v>2</v>
      </c>
      <c r="AC96" s="5" t="str">
        <f t="shared" si="31"/>
        <v>2</v>
      </c>
      <c r="AD96" s="5" t="str">
        <f t="shared" si="31"/>
        <v>2</v>
      </c>
      <c r="AE96" s="5" t="str">
        <f t="shared" si="31"/>
        <v>2</v>
      </c>
    </row>
    <row r="97" spans="1:31" ht="14.4" x14ac:dyDescent="0.3">
      <c r="A97" s="14">
        <v>94</v>
      </c>
      <c r="B97" s="24" t="s">
        <v>152</v>
      </c>
      <c r="C97" s="10">
        <v>55</v>
      </c>
      <c r="D97" s="10">
        <v>70</v>
      </c>
      <c r="E97" s="16">
        <v>365</v>
      </c>
      <c r="F97" s="26">
        <v>1E-4</v>
      </c>
      <c r="G97" s="10">
        <v>900</v>
      </c>
      <c r="H97" s="13">
        <v>1.4E-3</v>
      </c>
      <c r="I97" s="17">
        <v>10950</v>
      </c>
      <c r="J97" s="22">
        <v>10</v>
      </c>
      <c r="K97" s="18">
        <f t="shared" si="23"/>
        <v>4.2857142857142855E-4</v>
      </c>
      <c r="L97" s="2">
        <f t="shared" si="21"/>
        <v>2.1428571428571427E-4</v>
      </c>
      <c r="M97" s="2">
        <f t="shared" si="24"/>
        <v>4.2857142857142855E-4</v>
      </c>
      <c r="N97" s="2">
        <f t="shared" si="25"/>
        <v>6.4285714285714282E-4</v>
      </c>
      <c r="O97" s="2">
        <f t="shared" si="26"/>
        <v>8.571428571428571E-4</v>
      </c>
      <c r="P97" s="2">
        <f t="shared" si="27"/>
        <v>1.0714285714285715E-3</v>
      </c>
      <c r="Q97" s="2">
        <f t="shared" si="28"/>
        <v>1.2857142857142856E-3</v>
      </c>
      <c r="R97" s="2">
        <f t="shared" si="29"/>
        <v>0.30612244897959184</v>
      </c>
      <c r="S97" s="2">
        <f t="shared" si="16"/>
        <v>0.15306122448979592</v>
      </c>
      <c r="T97" s="2">
        <f t="shared" si="30"/>
        <v>0.30612244897959184</v>
      </c>
      <c r="U97" s="2">
        <f t="shared" si="17"/>
        <v>0.45918367346938771</v>
      </c>
      <c r="V97" s="2">
        <f t="shared" si="18"/>
        <v>0.61224489795918369</v>
      </c>
      <c r="W97" s="2">
        <f t="shared" si="19"/>
        <v>0.76530612244897966</v>
      </c>
      <c r="X97" s="2">
        <f t="shared" si="20"/>
        <v>0.91836734693877542</v>
      </c>
      <c r="Y97" s="5" t="str">
        <f t="shared" si="32"/>
        <v>2</v>
      </c>
      <c r="Z97" s="5" t="str">
        <f t="shared" si="32"/>
        <v>2</v>
      </c>
      <c r="AA97" s="5" t="str">
        <f t="shared" si="32"/>
        <v>2</v>
      </c>
      <c r="AB97" s="5" t="str">
        <f t="shared" si="31"/>
        <v>2</v>
      </c>
      <c r="AC97" s="5" t="str">
        <f t="shared" si="31"/>
        <v>2</v>
      </c>
      <c r="AD97" s="5" t="str">
        <f t="shared" si="31"/>
        <v>2</v>
      </c>
      <c r="AE97" s="5" t="str">
        <f t="shared" si="31"/>
        <v>2</v>
      </c>
    </row>
    <row r="98" spans="1:31" ht="14.4" x14ac:dyDescent="0.3">
      <c r="A98" s="14">
        <v>95</v>
      </c>
      <c r="B98" s="24" t="s">
        <v>189</v>
      </c>
      <c r="C98" s="10">
        <v>60</v>
      </c>
      <c r="D98" s="10">
        <v>64</v>
      </c>
      <c r="E98" s="16">
        <v>365</v>
      </c>
      <c r="F98" s="26">
        <v>1E-4</v>
      </c>
      <c r="G98" s="10">
        <v>1500</v>
      </c>
      <c r="H98" s="13">
        <v>1.4E-3</v>
      </c>
      <c r="I98" s="17">
        <v>10950</v>
      </c>
      <c r="J98" s="22">
        <v>30</v>
      </c>
      <c r="K98" s="18">
        <f t="shared" si="23"/>
        <v>2.3437499999999999E-3</v>
      </c>
      <c r="L98" s="2">
        <f t="shared" si="21"/>
        <v>3.9062500000000002E-4</v>
      </c>
      <c r="M98" s="2">
        <f t="shared" si="24"/>
        <v>7.8125000000000004E-4</v>
      </c>
      <c r="N98" s="2">
        <f t="shared" si="25"/>
        <v>1.171875E-3</v>
      </c>
      <c r="O98" s="2">
        <f t="shared" si="26"/>
        <v>1.5625000000000001E-3</v>
      </c>
      <c r="P98" s="2">
        <f t="shared" si="27"/>
        <v>1.953125E-3</v>
      </c>
      <c r="Q98" s="2">
        <f t="shared" si="28"/>
        <v>2.3437499999999999E-3</v>
      </c>
      <c r="R98" s="2">
        <f t="shared" si="29"/>
        <v>1.6741071428571428</v>
      </c>
      <c r="S98" s="2">
        <f t="shared" si="16"/>
        <v>0.27901785714285715</v>
      </c>
      <c r="T98" s="2">
        <f t="shared" si="30"/>
        <v>0.5580357142857143</v>
      </c>
      <c r="U98" s="2">
        <f t="shared" si="17"/>
        <v>0.8370535714285714</v>
      </c>
      <c r="V98" s="2">
        <f t="shared" si="18"/>
        <v>1.1160714285714286</v>
      </c>
      <c r="W98" s="2">
        <f t="shared" si="19"/>
        <v>1.3950892857142858</v>
      </c>
      <c r="X98" s="2">
        <f t="shared" si="20"/>
        <v>1.6741071428571428</v>
      </c>
      <c r="Y98" s="5" t="str">
        <f t="shared" si="32"/>
        <v>1</v>
      </c>
      <c r="Z98" s="5" t="str">
        <f t="shared" si="32"/>
        <v>2</v>
      </c>
      <c r="AA98" s="5" t="str">
        <f t="shared" si="32"/>
        <v>2</v>
      </c>
      <c r="AB98" s="5" t="str">
        <f t="shared" si="31"/>
        <v>2</v>
      </c>
      <c r="AC98" s="5" t="str">
        <f t="shared" si="31"/>
        <v>1</v>
      </c>
      <c r="AD98" s="5" t="str">
        <f t="shared" si="31"/>
        <v>1</v>
      </c>
      <c r="AE98" s="5" t="str">
        <f t="shared" si="31"/>
        <v>1</v>
      </c>
    </row>
    <row r="99" spans="1:31" ht="14.4" x14ac:dyDescent="0.3">
      <c r="A99" s="14">
        <v>96</v>
      </c>
      <c r="B99" s="24" t="s">
        <v>190</v>
      </c>
      <c r="C99" s="10">
        <v>60</v>
      </c>
      <c r="D99" s="10">
        <v>64</v>
      </c>
      <c r="E99" s="16">
        <v>365</v>
      </c>
      <c r="F99" s="26">
        <v>1E-4</v>
      </c>
      <c r="G99" s="10">
        <v>1500</v>
      </c>
      <c r="H99" s="13">
        <v>1.4E-3</v>
      </c>
      <c r="I99" s="17">
        <v>10950</v>
      </c>
      <c r="J99" s="22">
        <v>30</v>
      </c>
      <c r="K99" s="18">
        <f t="shared" si="23"/>
        <v>2.3437499999999999E-3</v>
      </c>
      <c r="L99" s="2">
        <f t="shared" si="21"/>
        <v>3.9062500000000002E-4</v>
      </c>
      <c r="M99" s="2">
        <f t="shared" si="24"/>
        <v>7.8125000000000004E-4</v>
      </c>
      <c r="N99" s="2">
        <f t="shared" si="25"/>
        <v>1.171875E-3</v>
      </c>
      <c r="O99" s="2">
        <f t="shared" si="26"/>
        <v>1.5625000000000001E-3</v>
      </c>
      <c r="P99" s="2">
        <f t="shared" si="27"/>
        <v>1.953125E-3</v>
      </c>
      <c r="Q99" s="2">
        <f t="shared" si="28"/>
        <v>2.3437499999999999E-3</v>
      </c>
      <c r="R99" s="2">
        <f t="shared" si="29"/>
        <v>1.6741071428571428</v>
      </c>
      <c r="S99" s="2">
        <f t="shared" si="16"/>
        <v>0.27901785714285715</v>
      </c>
      <c r="T99" s="2">
        <f t="shared" si="30"/>
        <v>0.5580357142857143</v>
      </c>
      <c r="U99" s="2">
        <f t="shared" si="17"/>
        <v>0.8370535714285714</v>
      </c>
      <c r="V99" s="2">
        <f t="shared" si="18"/>
        <v>1.1160714285714286</v>
      </c>
      <c r="W99" s="2">
        <f t="shared" si="19"/>
        <v>1.3950892857142858</v>
      </c>
      <c r="X99" s="2">
        <f t="shared" si="20"/>
        <v>1.6741071428571428</v>
      </c>
      <c r="Y99" s="5" t="str">
        <f t="shared" si="32"/>
        <v>1</v>
      </c>
      <c r="Z99" s="5" t="str">
        <f t="shared" si="32"/>
        <v>2</v>
      </c>
      <c r="AA99" s="5" t="str">
        <f t="shared" si="32"/>
        <v>2</v>
      </c>
      <c r="AB99" s="5" t="str">
        <f t="shared" si="31"/>
        <v>2</v>
      </c>
      <c r="AC99" s="5" t="str">
        <f t="shared" si="31"/>
        <v>1</v>
      </c>
      <c r="AD99" s="5" t="str">
        <f t="shared" si="31"/>
        <v>1</v>
      </c>
      <c r="AE99" s="5" t="str">
        <f t="shared" si="31"/>
        <v>1</v>
      </c>
    </row>
    <row r="100" spans="1:31" ht="14.4" x14ac:dyDescent="0.3">
      <c r="A100" s="14">
        <v>97</v>
      </c>
      <c r="B100" s="24" t="s">
        <v>117</v>
      </c>
      <c r="C100" s="10">
        <v>60</v>
      </c>
      <c r="D100" s="10">
        <v>64</v>
      </c>
      <c r="E100" s="16">
        <v>365</v>
      </c>
      <c r="F100" s="26">
        <v>1E-4</v>
      </c>
      <c r="G100" s="10">
        <v>1500</v>
      </c>
      <c r="H100" s="13">
        <v>1.4E-3</v>
      </c>
      <c r="I100" s="17">
        <v>10950</v>
      </c>
      <c r="J100" s="22">
        <v>30</v>
      </c>
      <c r="K100" s="18">
        <f t="shared" si="23"/>
        <v>2.3437499999999999E-3</v>
      </c>
      <c r="L100" s="2">
        <f t="shared" si="21"/>
        <v>3.9062500000000002E-4</v>
      </c>
      <c r="M100" s="2">
        <f t="shared" si="24"/>
        <v>7.8125000000000004E-4</v>
      </c>
      <c r="N100" s="2">
        <f t="shared" si="25"/>
        <v>1.171875E-3</v>
      </c>
      <c r="O100" s="2">
        <f t="shared" si="26"/>
        <v>1.5625000000000001E-3</v>
      </c>
      <c r="P100" s="2">
        <f t="shared" si="27"/>
        <v>1.953125E-3</v>
      </c>
      <c r="Q100" s="2">
        <f t="shared" si="28"/>
        <v>2.3437499999999999E-3</v>
      </c>
      <c r="R100" s="2">
        <f t="shared" si="29"/>
        <v>1.6741071428571428</v>
      </c>
      <c r="S100" s="2">
        <f t="shared" si="16"/>
        <v>0.27901785714285715</v>
      </c>
      <c r="T100" s="2">
        <f t="shared" si="30"/>
        <v>0.5580357142857143</v>
      </c>
      <c r="U100" s="2">
        <f t="shared" si="17"/>
        <v>0.8370535714285714</v>
      </c>
      <c r="V100" s="2">
        <f t="shared" si="18"/>
        <v>1.1160714285714286</v>
      </c>
      <c r="W100" s="2">
        <f t="shared" si="19"/>
        <v>1.3950892857142858</v>
      </c>
      <c r="X100" s="2">
        <f t="shared" si="20"/>
        <v>1.6741071428571428</v>
      </c>
      <c r="Y100" s="5" t="str">
        <f t="shared" si="32"/>
        <v>1</v>
      </c>
      <c r="Z100" s="5" t="str">
        <f t="shared" si="32"/>
        <v>2</v>
      </c>
      <c r="AA100" s="5" t="str">
        <f t="shared" si="32"/>
        <v>2</v>
      </c>
      <c r="AB100" s="5" t="str">
        <f t="shared" si="31"/>
        <v>2</v>
      </c>
      <c r="AC100" s="5" t="str">
        <f t="shared" si="31"/>
        <v>1</v>
      </c>
      <c r="AD100" s="5" t="str">
        <f t="shared" si="31"/>
        <v>1</v>
      </c>
      <c r="AE100" s="5" t="str">
        <f t="shared" si="31"/>
        <v>1</v>
      </c>
    </row>
    <row r="101" spans="1:31" ht="14.4" x14ac:dyDescent="0.3">
      <c r="A101" s="14">
        <v>98</v>
      </c>
      <c r="B101" s="24" t="s">
        <v>120</v>
      </c>
      <c r="C101" s="10">
        <v>60</v>
      </c>
      <c r="D101" s="10">
        <v>64</v>
      </c>
      <c r="E101" s="16">
        <v>365</v>
      </c>
      <c r="F101" s="26">
        <v>1E-4</v>
      </c>
      <c r="G101" s="10">
        <v>1500</v>
      </c>
      <c r="H101" s="13">
        <v>1.4E-3</v>
      </c>
      <c r="I101" s="17">
        <v>10950</v>
      </c>
      <c r="J101" s="22">
        <v>30</v>
      </c>
      <c r="K101" s="18">
        <f t="shared" si="23"/>
        <v>2.3437499999999999E-3</v>
      </c>
      <c r="L101" s="2">
        <f t="shared" si="21"/>
        <v>3.9062500000000002E-4</v>
      </c>
      <c r="M101" s="2">
        <f t="shared" si="24"/>
        <v>7.8125000000000004E-4</v>
      </c>
      <c r="N101" s="2">
        <f t="shared" si="25"/>
        <v>1.171875E-3</v>
      </c>
      <c r="O101" s="2">
        <f t="shared" si="26"/>
        <v>1.5625000000000001E-3</v>
      </c>
      <c r="P101" s="2">
        <f t="shared" si="27"/>
        <v>1.953125E-3</v>
      </c>
      <c r="Q101" s="2">
        <f t="shared" si="28"/>
        <v>2.3437499999999999E-3</v>
      </c>
      <c r="R101" s="2">
        <f t="shared" si="29"/>
        <v>1.6741071428571428</v>
      </c>
      <c r="S101" s="2">
        <f t="shared" si="16"/>
        <v>0.27901785714285715</v>
      </c>
      <c r="T101" s="2">
        <f t="shared" si="30"/>
        <v>0.5580357142857143</v>
      </c>
      <c r="U101" s="2">
        <f t="shared" si="17"/>
        <v>0.8370535714285714</v>
      </c>
      <c r="V101" s="2">
        <f t="shared" si="18"/>
        <v>1.1160714285714286</v>
      </c>
      <c r="W101" s="2">
        <f t="shared" si="19"/>
        <v>1.3950892857142858</v>
      </c>
      <c r="X101" s="2">
        <f t="shared" si="20"/>
        <v>1.6741071428571428</v>
      </c>
      <c r="Y101" s="5" t="str">
        <f t="shared" si="32"/>
        <v>1</v>
      </c>
      <c r="Z101" s="5" t="str">
        <f t="shared" si="32"/>
        <v>2</v>
      </c>
      <c r="AA101" s="5" t="str">
        <f t="shared" si="32"/>
        <v>2</v>
      </c>
      <c r="AB101" s="5" t="str">
        <f t="shared" si="31"/>
        <v>2</v>
      </c>
      <c r="AC101" s="5" t="str">
        <f t="shared" si="31"/>
        <v>1</v>
      </c>
      <c r="AD101" s="5" t="str">
        <f t="shared" si="31"/>
        <v>1</v>
      </c>
      <c r="AE101" s="5" t="str">
        <f t="shared" si="31"/>
        <v>1</v>
      </c>
    </row>
    <row r="102" spans="1:31" ht="14.4" x14ac:dyDescent="0.3">
      <c r="A102" s="14">
        <v>99</v>
      </c>
      <c r="B102" s="24" t="s">
        <v>137</v>
      </c>
      <c r="C102" s="10">
        <v>60</v>
      </c>
      <c r="D102" s="10">
        <v>64</v>
      </c>
      <c r="E102" s="16">
        <v>365</v>
      </c>
      <c r="F102" s="26">
        <v>1E-4</v>
      </c>
      <c r="G102" s="10">
        <v>1500</v>
      </c>
      <c r="H102" s="13">
        <v>1.4E-3</v>
      </c>
      <c r="I102" s="17">
        <v>10950</v>
      </c>
      <c r="J102" s="22">
        <v>30</v>
      </c>
      <c r="K102" s="18">
        <f t="shared" si="23"/>
        <v>2.3437499999999999E-3</v>
      </c>
      <c r="L102" s="2">
        <f t="shared" si="21"/>
        <v>3.9062500000000002E-4</v>
      </c>
      <c r="M102" s="2">
        <f t="shared" si="24"/>
        <v>7.8125000000000004E-4</v>
      </c>
      <c r="N102" s="2">
        <f t="shared" si="25"/>
        <v>1.171875E-3</v>
      </c>
      <c r="O102" s="2">
        <f t="shared" si="26"/>
        <v>1.5625000000000001E-3</v>
      </c>
      <c r="P102" s="2">
        <f t="shared" si="27"/>
        <v>1.953125E-3</v>
      </c>
      <c r="Q102" s="2">
        <f t="shared" si="28"/>
        <v>2.3437499999999999E-3</v>
      </c>
      <c r="R102" s="2">
        <f t="shared" si="29"/>
        <v>1.6741071428571428</v>
      </c>
      <c r="S102" s="2">
        <f t="shared" si="16"/>
        <v>0.27901785714285715</v>
      </c>
      <c r="T102" s="2">
        <f t="shared" si="30"/>
        <v>0.5580357142857143</v>
      </c>
      <c r="U102" s="2">
        <f t="shared" si="17"/>
        <v>0.8370535714285714</v>
      </c>
      <c r="V102" s="2">
        <f t="shared" si="18"/>
        <v>1.1160714285714286</v>
      </c>
      <c r="W102" s="2">
        <f t="shared" si="19"/>
        <v>1.3950892857142858</v>
      </c>
      <c r="X102" s="2">
        <f t="shared" si="20"/>
        <v>1.6741071428571428</v>
      </c>
      <c r="Y102" s="5" t="str">
        <f t="shared" si="32"/>
        <v>1</v>
      </c>
      <c r="Z102" s="5" t="str">
        <f t="shared" si="32"/>
        <v>2</v>
      </c>
      <c r="AA102" s="5" t="str">
        <f t="shared" si="32"/>
        <v>2</v>
      </c>
      <c r="AB102" s="5" t="str">
        <f t="shared" si="31"/>
        <v>2</v>
      </c>
      <c r="AC102" s="5" t="str">
        <f t="shared" si="31"/>
        <v>1</v>
      </c>
      <c r="AD102" s="5" t="str">
        <f t="shared" si="31"/>
        <v>1</v>
      </c>
      <c r="AE102" s="5" t="str">
        <f t="shared" si="31"/>
        <v>1</v>
      </c>
    </row>
    <row r="103" spans="1:31" ht="14.4" x14ac:dyDescent="0.3">
      <c r="A103" s="14">
        <v>100</v>
      </c>
      <c r="B103" s="24" t="s">
        <v>135</v>
      </c>
      <c r="C103" s="10">
        <v>67</v>
      </c>
      <c r="D103" s="10">
        <v>57</v>
      </c>
      <c r="E103" s="16">
        <v>365</v>
      </c>
      <c r="F103" s="26">
        <v>1E-4</v>
      </c>
      <c r="G103" s="10">
        <v>1500</v>
      </c>
      <c r="H103" s="13">
        <v>1.4E-3</v>
      </c>
      <c r="I103" s="17">
        <v>10950</v>
      </c>
      <c r="J103" s="22">
        <v>8</v>
      </c>
      <c r="K103" s="18">
        <f t="shared" si="23"/>
        <v>7.0175438596491223E-4</v>
      </c>
      <c r="L103" s="2">
        <f t="shared" si="21"/>
        <v>4.3859649122807018E-4</v>
      </c>
      <c r="M103" s="2">
        <f t="shared" si="24"/>
        <v>8.7719298245614037E-4</v>
      </c>
      <c r="N103" s="2">
        <f t="shared" si="25"/>
        <v>1.3157894736842105E-3</v>
      </c>
      <c r="O103" s="2">
        <f t="shared" si="26"/>
        <v>1.7543859649122807E-3</v>
      </c>
      <c r="P103" s="2">
        <f t="shared" si="27"/>
        <v>2.1929824561403508E-3</v>
      </c>
      <c r="Q103" s="2">
        <f t="shared" si="28"/>
        <v>2.631578947368421E-3</v>
      </c>
      <c r="R103" s="2">
        <f t="shared" si="29"/>
        <v>0.50125313283208017</v>
      </c>
      <c r="S103" s="2">
        <f t="shared" si="16"/>
        <v>0.31328320802005011</v>
      </c>
      <c r="T103" s="2">
        <f t="shared" si="30"/>
        <v>0.62656641604010022</v>
      </c>
      <c r="U103" s="2">
        <f t="shared" si="17"/>
        <v>0.93984962406015038</v>
      </c>
      <c r="V103" s="2">
        <f t="shared" si="18"/>
        <v>1.2531328320802004</v>
      </c>
      <c r="W103" s="2">
        <f t="shared" si="19"/>
        <v>1.5664160401002505</v>
      </c>
      <c r="X103" s="2">
        <f t="shared" si="20"/>
        <v>1.8796992481203008</v>
      </c>
      <c r="Y103" s="5" t="str">
        <f t="shared" si="32"/>
        <v>2</v>
      </c>
      <c r="Z103" s="5" t="str">
        <f t="shared" si="32"/>
        <v>2</v>
      </c>
      <c r="AA103" s="5" t="str">
        <f t="shared" si="32"/>
        <v>2</v>
      </c>
      <c r="AB103" s="5" t="str">
        <f t="shared" si="31"/>
        <v>2</v>
      </c>
      <c r="AC103" s="5" t="str">
        <f t="shared" si="31"/>
        <v>1</v>
      </c>
      <c r="AD103" s="5" t="str">
        <f t="shared" si="31"/>
        <v>1</v>
      </c>
      <c r="AE103" s="5" t="str">
        <f t="shared" si="31"/>
        <v>1</v>
      </c>
    </row>
    <row r="105" spans="1:31" x14ac:dyDescent="0.25">
      <c r="A105" s="3" t="s">
        <v>76</v>
      </c>
    </row>
    <row r="106" spans="1:31" x14ac:dyDescent="0.25">
      <c r="A106" s="3" t="s">
        <v>6</v>
      </c>
    </row>
    <row r="107" spans="1:31" x14ac:dyDescent="0.25">
      <c r="A107" s="3" t="s">
        <v>7</v>
      </c>
    </row>
  </sheetData>
  <mergeCells count="31">
    <mergeCell ref="L1:L2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X1:X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AE1:AE2"/>
    <mergeCell ref="Y1:Y2"/>
    <mergeCell ref="Z1:Z2"/>
    <mergeCell ref="AA1:AA2"/>
    <mergeCell ref="AB1:AB2"/>
    <mergeCell ref="AC1:AC2"/>
    <mergeCell ref="AD1:AD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AZF107"/>
  <sheetViews>
    <sheetView topLeftCell="L70" workbookViewId="0">
      <selection activeCell="B21" sqref="B21"/>
    </sheetView>
  </sheetViews>
  <sheetFormatPr defaultColWidth="9.109375" defaultRowHeight="13.8" x14ac:dyDescent="0.25"/>
  <cols>
    <col min="1" max="1" width="5.33203125" style="3" customWidth="1"/>
    <col min="2" max="2" width="15.6640625" style="3" customWidth="1"/>
    <col min="3" max="4" width="8.33203125" style="3" customWidth="1"/>
    <col min="5" max="5" width="5" style="6" customWidth="1"/>
    <col min="6" max="6" width="10.6640625" style="3" customWidth="1"/>
    <col min="7" max="10" width="9.109375" style="3"/>
    <col min="11" max="11" width="10" style="3" bestFit="1" customWidth="1"/>
    <col min="12" max="25" width="10.88671875" style="3" customWidth="1"/>
    <col min="26" max="26" width="9.5546875" style="3" bestFit="1" customWidth="1"/>
    <col min="27" max="16384" width="9.109375" style="3"/>
  </cols>
  <sheetData>
    <row r="1" spans="1:1358" ht="15" customHeight="1" x14ac:dyDescent="0.25">
      <c r="A1" s="42" t="s">
        <v>104</v>
      </c>
      <c r="B1" s="44" t="s">
        <v>4</v>
      </c>
      <c r="C1" s="45" t="s">
        <v>109</v>
      </c>
      <c r="D1" s="44" t="s">
        <v>0</v>
      </c>
      <c r="E1" s="44" t="s">
        <v>3</v>
      </c>
      <c r="F1" s="41" t="s">
        <v>52</v>
      </c>
      <c r="G1" s="41" t="s">
        <v>1</v>
      </c>
      <c r="H1" s="41" t="s">
        <v>53</v>
      </c>
      <c r="I1" s="44" t="s">
        <v>2</v>
      </c>
      <c r="J1" s="41" t="s">
        <v>96</v>
      </c>
      <c r="K1" s="41" t="s">
        <v>97</v>
      </c>
      <c r="L1" s="41" t="s">
        <v>59</v>
      </c>
      <c r="M1" s="41" t="s">
        <v>60</v>
      </c>
      <c r="N1" s="41" t="s">
        <v>61</v>
      </c>
      <c r="O1" s="41" t="s">
        <v>62</v>
      </c>
      <c r="P1" s="41" t="s">
        <v>63</v>
      </c>
      <c r="Q1" s="41" t="s">
        <v>64</v>
      </c>
      <c r="R1" s="41" t="s">
        <v>95</v>
      </c>
      <c r="S1" s="41" t="s">
        <v>65</v>
      </c>
      <c r="T1" s="41" t="s">
        <v>66</v>
      </c>
      <c r="U1" s="41" t="s">
        <v>67</v>
      </c>
      <c r="V1" s="41" t="s">
        <v>68</v>
      </c>
      <c r="W1" s="41" t="s">
        <v>69</v>
      </c>
      <c r="X1" s="41" t="s">
        <v>70</v>
      </c>
      <c r="Y1" s="41" t="s">
        <v>98</v>
      </c>
      <c r="Z1" s="41" t="s">
        <v>75</v>
      </c>
      <c r="AA1" s="41" t="s">
        <v>71</v>
      </c>
      <c r="AB1" s="41" t="s">
        <v>72</v>
      </c>
      <c r="AC1" s="41" t="s">
        <v>73</v>
      </c>
      <c r="AD1" s="41" t="s">
        <v>74</v>
      </c>
      <c r="AE1" s="41" t="s">
        <v>54</v>
      </c>
    </row>
    <row r="2" spans="1:1358" ht="30.75" customHeight="1" x14ac:dyDescent="0.25">
      <c r="A2" s="43"/>
      <c r="B2" s="44"/>
      <c r="C2" s="46"/>
      <c r="D2" s="44"/>
      <c r="E2" s="44"/>
      <c r="F2" s="41"/>
      <c r="G2" s="41"/>
      <c r="H2" s="41"/>
      <c r="I2" s="44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</row>
    <row r="3" spans="1:1358" s="9" customFormat="1" ht="13.2" x14ac:dyDescent="0.25">
      <c r="A3" s="7">
        <v>1</v>
      </c>
      <c r="B3" s="8">
        <v>2</v>
      </c>
      <c r="C3" s="7">
        <v>3</v>
      </c>
      <c r="D3" s="8">
        <v>4</v>
      </c>
      <c r="E3" s="7">
        <v>5</v>
      </c>
      <c r="F3" s="8">
        <v>6</v>
      </c>
      <c r="G3" s="7">
        <v>7</v>
      </c>
      <c r="H3" s="8">
        <v>8</v>
      </c>
      <c r="I3" s="7">
        <v>9</v>
      </c>
      <c r="J3" s="8">
        <v>10</v>
      </c>
      <c r="K3" s="7">
        <v>11</v>
      </c>
      <c r="L3" s="8">
        <v>12</v>
      </c>
      <c r="M3" s="7">
        <v>13</v>
      </c>
      <c r="N3" s="8">
        <v>14</v>
      </c>
      <c r="O3" s="7">
        <v>15</v>
      </c>
      <c r="P3" s="8">
        <v>16</v>
      </c>
      <c r="Q3" s="7">
        <v>17</v>
      </c>
      <c r="R3" s="8">
        <v>18</v>
      </c>
      <c r="S3" s="7">
        <v>19</v>
      </c>
      <c r="T3" s="8">
        <v>20</v>
      </c>
      <c r="U3" s="7">
        <v>21</v>
      </c>
      <c r="V3" s="8">
        <v>22</v>
      </c>
      <c r="W3" s="7">
        <v>23</v>
      </c>
      <c r="X3" s="8">
        <v>24</v>
      </c>
      <c r="Y3" s="7">
        <v>25</v>
      </c>
      <c r="Z3" s="8">
        <v>26</v>
      </c>
      <c r="AA3" s="7">
        <v>27</v>
      </c>
      <c r="AB3" s="8">
        <v>28</v>
      </c>
      <c r="AC3" s="7">
        <v>29</v>
      </c>
      <c r="AD3" s="8">
        <v>30</v>
      </c>
      <c r="AE3" s="7">
        <v>31</v>
      </c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1"/>
      <c r="ET3" s="11"/>
      <c r="EU3" s="11"/>
      <c r="EV3" s="11"/>
      <c r="EW3" s="11"/>
      <c r="EX3" s="11"/>
      <c r="EY3" s="11"/>
      <c r="EZ3" s="11"/>
      <c r="FA3" s="11"/>
      <c r="FB3" s="11"/>
      <c r="FC3" s="11"/>
      <c r="FD3" s="11"/>
      <c r="FE3" s="11"/>
      <c r="FF3" s="11"/>
      <c r="FG3" s="11"/>
      <c r="FH3" s="11"/>
      <c r="FI3" s="11"/>
      <c r="FJ3" s="11"/>
      <c r="FK3" s="11"/>
      <c r="FL3" s="11"/>
      <c r="FM3" s="11"/>
      <c r="FN3" s="11"/>
      <c r="FO3" s="11"/>
      <c r="FP3" s="11"/>
      <c r="FQ3" s="11"/>
      <c r="FR3" s="11"/>
      <c r="FS3" s="11"/>
      <c r="FT3" s="11"/>
      <c r="FU3" s="11"/>
      <c r="FV3" s="11"/>
      <c r="FW3" s="11"/>
      <c r="FX3" s="11"/>
      <c r="FY3" s="11"/>
      <c r="FZ3" s="11"/>
      <c r="GA3" s="11"/>
      <c r="GB3" s="11"/>
      <c r="GC3" s="11"/>
      <c r="GD3" s="11"/>
      <c r="GE3" s="11"/>
      <c r="GF3" s="11"/>
      <c r="GG3" s="11"/>
      <c r="GH3" s="11"/>
      <c r="GI3" s="11"/>
      <c r="GJ3" s="11"/>
      <c r="GK3" s="11"/>
      <c r="GL3" s="11"/>
      <c r="GM3" s="11"/>
      <c r="GN3" s="11"/>
      <c r="GO3" s="11"/>
      <c r="GP3" s="11"/>
      <c r="GQ3" s="11"/>
      <c r="GR3" s="11"/>
      <c r="GS3" s="11"/>
      <c r="GT3" s="11"/>
      <c r="GU3" s="11"/>
      <c r="GV3" s="11"/>
      <c r="GW3" s="11"/>
      <c r="GX3" s="11"/>
      <c r="GY3" s="11"/>
      <c r="GZ3" s="11"/>
      <c r="HA3" s="11"/>
      <c r="HB3" s="11"/>
      <c r="HC3" s="11"/>
      <c r="HD3" s="11"/>
      <c r="HE3" s="11"/>
      <c r="HF3" s="11"/>
      <c r="HG3" s="11"/>
      <c r="HH3" s="11"/>
      <c r="HI3" s="11"/>
      <c r="HJ3" s="11"/>
      <c r="HK3" s="11"/>
      <c r="HL3" s="11"/>
      <c r="HM3" s="11"/>
      <c r="HN3" s="11"/>
      <c r="HO3" s="11"/>
      <c r="HP3" s="11"/>
      <c r="HQ3" s="11"/>
      <c r="HR3" s="11"/>
      <c r="HS3" s="11"/>
      <c r="HT3" s="11"/>
      <c r="HU3" s="11"/>
      <c r="HV3" s="11"/>
      <c r="HW3" s="11"/>
      <c r="HX3" s="11"/>
      <c r="HY3" s="11"/>
      <c r="HZ3" s="11"/>
      <c r="IA3" s="11"/>
      <c r="IB3" s="11"/>
      <c r="IC3" s="11"/>
      <c r="ID3" s="11"/>
      <c r="IE3" s="11"/>
      <c r="IF3" s="11"/>
      <c r="IG3" s="11"/>
      <c r="IH3" s="11"/>
      <c r="II3" s="11"/>
      <c r="IJ3" s="11"/>
      <c r="IK3" s="11"/>
      <c r="IL3" s="11"/>
      <c r="IM3" s="11"/>
      <c r="IN3" s="11"/>
      <c r="IO3" s="11"/>
      <c r="IP3" s="11"/>
      <c r="IQ3" s="11"/>
      <c r="IR3" s="11"/>
      <c r="IS3" s="11"/>
      <c r="IT3" s="11"/>
      <c r="IU3" s="11"/>
      <c r="IV3" s="11"/>
      <c r="IW3" s="11"/>
      <c r="IX3" s="11"/>
      <c r="IY3" s="11"/>
      <c r="IZ3" s="11"/>
      <c r="JA3" s="11"/>
      <c r="JB3" s="11"/>
      <c r="JC3" s="11"/>
      <c r="JD3" s="11"/>
      <c r="JE3" s="11"/>
      <c r="JF3" s="11"/>
      <c r="JG3" s="11"/>
      <c r="JH3" s="11"/>
      <c r="JI3" s="11"/>
      <c r="JJ3" s="11"/>
      <c r="JK3" s="11"/>
      <c r="JL3" s="11"/>
      <c r="JM3" s="11"/>
      <c r="JN3" s="11"/>
      <c r="JO3" s="11"/>
      <c r="JP3" s="11"/>
      <c r="JQ3" s="11"/>
      <c r="JR3" s="11"/>
      <c r="JS3" s="11"/>
      <c r="JT3" s="11"/>
      <c r="JU3" s="11"/>
      <c r="JV3" s="11"/>
      <c r="JW3" s="11"/>
      <c r="JX3" s="11"/>
      <c r="JY3" s="11"/>
      <c r="JZ3" s="11"/>
      <c r="KA3" s="11"/>
      <c r="KB3" s="11"/>
      <c r="KC3" s="11"/>
      <c r="KD3" s="11"/>
      <c r="KE3" s="11"/>
      <c r="KF3" s="11"/>
      <c r="KG3" s="11"/>
      <c r="KH3" s="11"/>
      <c r="KI3" s="11"/>
      <c r="KJ3" s="11"/>
      <c r="KK3" s="11"/>
      <c r="KL3" s="11"/>
      <c r="KM3" s="11"/>
      <c r="KN3" s="11"/>
      <c r="KO3" s="11"/>
      <c r="KP3" s="11"/>
      <c r="KQ3" s="11"/>
      <c r="KR3" s="11"/>
      <c r="KS3" s="11"/>
      <c r="KT3" s="11"/>
      <c r="KU3" s="11"/>
      <c r="KV3" s="11"/>
      <c r="KW3" s="11"/>
      <c r="KX3" s="11"/>
      <c r="KY3" s="11"/>
      <c r="KZ3" s="11"/>
      <c r="LA3" s="11"/>
      <c r="LB3" s="11"/>
      <c r="LC3" s="11"/>
      <c r="LD3" s="11"/>
      <c r="LE3" s="11"/>
      <c r="LF3" s="11"/>
      <c r="LG3" s="11"/>
      <c r="LH3" s="11"/>
      <c r="LI3" s="11"/>
      <c r="LJ3" s="11"/>
      <c r="LK3" s="11"/>
      <c r="LL3" s="11"/>
      <c r="LM3" s="11"/>
      <c r="LN3" s="11"/>
      <c r="LO3" s="11"/>
      <c r="LP3" s="11"/>
      <c r="LQ3" s="11"/>
      <c r="LR3" s="11"/>
      <c r="LS3" s="11"/>
      <c r="LT3" s="11"/>
      <c r="LU3" s="11"/>
      <c r="LV3" s="11"/>
      <c r="LW3" s="11"/>
      <c r="LX3" s="11"/>
      <c r="LY3" s="11"/>
      <c r="LZ3" s="11"/>
      <c r="MA3" s="11"/>
      <c r="MB3" s="11"/>
      <c r="MC3" s="11"/>
      <c r="MD3" s="11"/>
      <c r="ME3" s="11"/>
      <c r="MF3" s="11"/>
      <c r="MG3" s="11"/>
      <c r="MH3" s="11"/>
      <c r="MI3" s="11"/>
      <c r="MJ3" s="11"/>
      <c r="MK3" s="11"/>
      <c r="ML3" s="11"/>
      <c r="MM3" s="11"/>
      <c r="MN3" s="11"/>
      <c r="MO3" s="11"/>
      <c r="MP3" s="11"/>
      <c r="MQ3" s="11"/>
      <c r="MR3" s="11"/>
      <c r="MS3" s="11"/>
      <c r="MT3" s="11"/>
      <c r="MU3" s="11"/>
      <c r="MV3" s="11"/>
      <c r="MW3" s="11"/>
      <c r="MX3" s="11"/>
      <c r="MY3" s="11"/>
      <c r="MZ3" s="11"/>
      <c r="NA3" s="11"/>
      <c r="NB3" s="11"/>
      <c r="NC3" s="11"/>
      <c r="ND3" s="11"/>
      <c r="NE3" s="11"/>
      <c r="NF3" s="11"/>
      <c r="NG3" s="11"/>
      <c r="NH3" s="11"/>
      <c r="NI3" s="11"/>
      <c r="NJ3" s="11"/>
      <c r="NK3" s="11"/>
      <c r="NL3" s="11"/>
      <c r="NM3" s="11"/>
      <c r="NN3" s="11"/>
      <c r="NO3" s="11"/>
      <c r="NP3" s="11"/>
      <c r="NQ3" s="11"/>
      <c r="NR3" s="11"/>
      <c r="NS3" s="11"/>
      <c r="NT3" s="11"/>
      <c r="NU3" s="11"/>
      <c r="NV3" s="11"/>
      <c r="NW3" s="11"/>
      <c r="NX3" s="11"/>
      <c r="NY3" s="11"/>
      <c r="NZ3" s="11"/>
      <c r="OA3" s="11"/>
      <c r="OB3" s="11"/>
      <c r="OC3" s="11"/>
      <c r="OD3" s="11"/>
      <c r="OE3" s="11"/>
      <c r="OF3" s="11"/>
      <c r="OG3" s="11"/>
      <c r="OH3" s="11"/>
      <c r="OI3" s="11"/>
      <c r="OJ3" s="11"/>
      <c r="OK3" s="11"/>
      <c r="OL3" s="11"/>
      <c r="OM3" s="11"/>
      <c r="ON3" s="11"/>
      <c r="OO3" s="11"/>
      <c r="OP3" s="11"/>
      <c r="OQ3" s="11"/>
      <c r="OR3" s="11"/>
      <c r="OS3" s="11"/>
      <c r="OT3" s="11"/>
      <c r="OU3" s="11"/>
      <c r="OV3" s="11"/>
      <c r="OW3" s="11"/>
      <c r="OX3" s="11"/>
      <c r="OY3" s="11"/>
      <c r="OZ3" s="11"/>
      <c r="PA3" s="11"/>
      <c r="PB3" s="11"/>
      <c r="PC3" s="11"/>
      <c r="PD3" s="11"/>
      <c r="PE3" s="11"/>
      <c r="PF3" s="11"/>
      <c r="PG3" s="11"/>
      <c r="PH3" s="11"/>
      <c r="PI3" s="11"/>
      <c r="PJ3" s="11"/>
      <c r="PK3" s="11"/>
      <c r="PL3" s="11"/>
      <c r="PM3" s="11"/>
      <c r="PN3" s="11"/>
      <c r="PO3" s="11"/>
      <c r="PP3" s="11"/>
      <c r="PQ3" s="11"/>
      <c r="PR3" s="11"/>
      <c r="PS3" s="11"/>
      <c r="PT3" s="11"/>
      <c r="PU3" s="11"/>
      <c r="PV3" s="11"/>
      <c r="PW3" s="11"/>
      <c r="PX3" s="11"/>
      <c r="PY3" s="11"/>
      <c r="PZ3" s="11"/>
      <c r="QA3" s="11"/>
      <c r="QB3" s="11"/>
      <c r="QC3" s="11"/>
      <c r="QD3" s="11"/>
      <c r="QE3" s="11"/>
      <c r="QF3" s="11"/>
      <c r="QG3" s="11"/>
      <c r="QH3" s="11"/>
      <c r="QI3" s="11"/>
      <c r="QJ3" s="11"/>
      <c r="QK3" s="11"/>
      <c r="QL3" s="11"/>
      <c r="QM3" s="11"/>
      <c r="QN3" s="11"/>
      <c r="QO3" s="11"/>
      <c r="QP3" s="11"/>
      <c r="QQ3" s="11"/>
      <c r="QR3" s="11"/>
      <c r="QS3" s="11"/>
      <c r="QT3" s="11"/>
      <c r="QU3" s="11"/>
      <c r="QV3" s="11"/>
      <c r="QW3" s="11"/>
      <c r="QX3" s="11"/>
      <c r="QY3" s="11"/>
      <c r="QZ3" s="11"/>
      <c r="RA3" s="11"/>
      <c r="RB3" s="11"/>
      <c r="RC3" s="11"/>
      <c r="RD3" s="11"/>
      <c r="RE3" s="11"/>
      <c r="RF3" s="11"/>
      <c r="RG3" s="11"/>
      <c r="RH3" s="11"/>
      <c r="RI3" s="11"/>
      <c r="RJ3" s="11"/>
      <c r="RK3" s="11"/>
      <c r="RL3" s="11"/>
      <c r="RM3" s="11"/>
      <c r="RN3" s="11"/>
      <c r="RO3" s="11"/>
      <c r="RP3" s="11"/>
      <c r="RQ3" s="11"/>
      <c r="RR3" s="11"/>
      <c r="RS3" s="11"/>
      <c r="RT3" s="11"/>
      <c r="RU3" s="11"/>
      <c r="RV3" s="11"/>
      <c r="RW3" s="11"/>
      <c r="RX3" s="11"/>
      <c r="RY3" s="11"/>
      <c r="RZ3" s="11"/>
      <c r="SA3" s="11"/>
      <c r="SB3" s="11"/>
      <c r="SC3" s="11"/>
      <c r="SD3" s="11"/>
      <c r="SE3" s="11"/>
      <c r="SF3" s="11"/>
      <c r="SG3" s="11"/>
      <c r="SH3" s="11"/>
      <c r="SI3" s="11"/>
      <c r="SJ3" s="11"/>
      <c r="SK3" s="11"/>
      <c r="SL3" s="11"/>
      <c r="SM3" s="11"/>
      <c r="SN3" s="11"/>
      <c r="SO3" s="11"/>
      <c r="SP3" s="11"/>
      <c r="SQ3" s="11"/>
      <c r="SR3" s="11"/>
      <c r="SS3" s="11"/>
      <c r="ST3" s="11"/>
      <c r="SU3" s="11"/>
      <c r="SV3" s="11"/>
      <c r="SW3" s="11"/>
      <c r="SX3" s="11"/>
      <c r="SY3" s="11"/>
      <c r="SZ3" s="11"/>
      <c r="TA3" s="11"/>
      <c r="TB3" s="11"/>
      <c r="TC3" s="11"/>
      <c r="TD3" s="11"/>
      <c r="TE3" s="11"/>
      <c r="TF3" s="11"/>
      <c r="TG3" s="11"/>
      <c r="TH3" s="11"/>
      <c r="TI3" s="11"/>
      <c r="TJ3" s="11"/>
      <c r="TK3" s="11"/>
      <c r="TL3" s="11"/>
      <c r="TM3" s="11"/>
      <c r="TN3" s="11"/>
      <c r="TO3" s="11"/>
      <c r="TP3" s="11"/>
      <c r="TQ3" s="11"/>
      <c r="TR3" s="11"/>
      <c r="TS3" s="11"/>
      <c r="TT3" s="11"/>
      <c r="TU3" s="11"/>
      <c r="TV3" s="11"/>
      <c r="TW3" s="11"/>
      <c r="TX3" s="11"/>
      <c r="TY3" s="11"/>
      <c r="TZ3" s="11"/>
      <c r="UA3" s="11"/>
      <c r="UB3" s="11"/>
      <c r="UC3" s="11"/>
      <c r="UD3" s="11"/>
      <c r="UE3" s="11"/>
      <c r="UF3" s="11"/>
      <c r="UG3" s="11"/>
      <c r="UH3" s="11"/>
      <c r="UI3" s="11"/>
      <c r="UJ3" s="11"/>
      <c r="UK3" s="11"/>
      <c r="UL3" s="11"/>
      <c r="UM3" s="11"/>
      <c r="UN3" s="11"/>
      <c r="UO3" s="11"/>
      <c r="UP3" s="11"/>
      <c r="UQ3" s="11"/>
      <c r="UR3" s="11"/>
      <c r="US3" s="11"/>
      <c r="UT3" s="11"/>
      <c r="UU3" s="11"/>
      <c r="UV3" s="11"/>
      <c r="UW3" s="11"/>
      <c r="UX3" s="11"/>
      <c r="UY3" s="11"/>
      <c r="UZ3" s="11"/>
      <c r="VA3" s="11"/>
      <c r="VB3" s="11"/>
      <c r="VC3" s="11"/>
      <c r="VD3" s="11"/>
      <c r="VE3" s="11"/>
      <c r="VF3" s="11"/>
      <c r="VG3" s="11"/>
      <c r="VH3" s="11"/>
      <c r="VI3" s="11"/>
      <c r="VJ3" s="11"/>
      <c r="VK3" s="11"/>
      <c r="VL3" s="11"/>
      <c r="VM3" s="11"/>
      <c r="VN3" s="11"/>
      <c r="VO3" s="11"/>
      <c r="VP3" s="11"/>
      <c r="VQ3" s="11"/>
      <c r="VR3" s="11"/>
      <c r="VS3" s="11"/>
      <c r="VT3" s="11"/>
      <c r="VU3" s="11"/>
      <c r="VV3" s="11"/>
      <c r="VW3" s="11"/>
      <c r="VX3" s="11"/>
      <c r="VY3" s="11"/>
      <c r="VZ3" s="11"/>
      <c r="WA3" s="11"/>
      <c r="WB3" s="11"/>
      <c r="WC3" s="11"/>
      <c r="WD3" s="11"/>
      <c r="WE3" s="11"/>
      <c r="WF3" s="11"/>
      <c r="WG3" s="11"/>
      <c r="WH3" s="11"/>
      <c r="WI3" s="11"/>
      <c r="WJ3" s="11"/>
      <c r="WK3" s="11"/>
      <c r="WL3" s="11"/>
      <c r="WM3" s="11"/>
      <c r="WN3" s="11"/>
      <c r="WO3" s="11"/>
      <c r="WP3" s="11"/>
      <c r="WQ3" s="11"/>
      <c r="WR3" s="11"/>
      <c r="WS3" s="11"/>
      <c r="WT3" s="11"/>
      <c r="WU3" s="11"/>
      <c r="WV3" s="11"/>
      <c r="WW3" s="11"/>
      <c r="WX3" s="11"/>
      <c r="WY3" s="11"/>
      <c r="WZ3" s="11"/>
      <c r="XA3" s="11"/>
      <c r="XB3" s="11"/>
      <c r="XC3" s="11"/>
      <c r="XD3" s="11"/>
      <c r="XE3" s="11"/>
      <c r="XF3" s="11"/>
      <c r="XG3" s="11"/>
      <c r="XH3" s="11"/>
      <c r="XI3" s="11"/>
      <c r="XJ3" s="11"/>
      <c r="XK3" s="11"/>
      <c r="XL3" s="11"/>
      <c r="XM3" s="11"/>
      <c r="XN3" s="11"/>
      <c r="XO3" s="11"/>
      <c r="XP3" s="11"/>
      <c r="XQ3" s="11"/>
      <c r="XR3" s="11"/>
      <c r="XS3" s="11"/>
      <c r="XT3" s="11"/>
      <c r="XU3" s="11"/>
      <c r="XV3" s="11"/>
      <c r="XW3" s="11"/>
      <c r="XX3" s="11"/>
      <c r="XY3" s="11"/>
      <c r="XZ3" s="11"/>
      <c r="YA3" s="11"/>
      <c r="YB3" s="11"/>
      <c r="YC3" s="11"/>
      <c r="YD3" s="11"/>
      <c r="YE3" s="11"/>
      <c r="YF3" s="11"/>
      <c r="YG3" s="11"/>
      <c r="YH3" s="11"/>
      <c r="YI3" s="11"/>
      <c r="YJ3" s="11"/>
      <c r="YK3" s="11"/>
      <c r="YL3" s="11"/>
      <c r="YM3" s="11"/>
      <c r="YN3" s="11"/>
      <c r="YO3" s="11"/>
      <c r="YP3" s="11"/>
      <c r="YQ3" s="11"/>
      <c r="YR3" s="11"/>
      <c r="YS3" s="11"/>
      <c r="YT3" s="11"/>
      <c r="YU3" s="11"/>
      <c r="YV3" s="11"/>
      <c r="YW3" s="11"/>
      <c r="YX3" s="11"/>
      <c r="YY3" s="11"/>
      <c r="YZ3" s="11"/>
      <c r="ZA3" s="11"/>
      <c r="ZB3" s="11"/>
      <c r="ZC3" s="11"/>
      <c r="ZD3" s="11"/>
      <c r="ZE3" s="11"/>
      <c r="ZF3" s="11"/>
      <c r="ZG3" s="11"/>
      <c r="ZH3" s="11"/>
      <c r="ZI3" s="11"/>
      <c r="ZJ3" s="11"/>
      <c r="ZK3" s="11"/>
      <c r="ZL3" s="11"/>
      <c r="ZM3" s="11"/>
      <c r="ZN3" s="11"/>
      <c r="ZO3" s="11"/>
      <c r="ZP3" s="11"/>
      <c r="ZQ3" s="11"/>
      <c r="ZR3" s="11"/>
      <c r="ZS3" s="11"/>
      <c r="ZT3" s="11"/>
      <c r="ZU3" s="11"/>
      <c r="ZV3" s="11"/>
      <c r="ZW3" s="11"/>
      <c r="ZX3" s="11"/>
      <c r="ZY3" s="11"/>
      <c r="ZZ3" s="11"/>
      <c r="AAA3" s="11"/>
      <c r="AAB3" s="11"/>
      <c r="AAC3" s="11"/>
      <c r="AAD3" s="11"/>
      <c r="AAE3" s="11"/>
      <c r="AAF3" s="11"/>
      <c r="AAG3" s="11"/>
      <c r="AAH3" s="11"/>
      <c r="AAI3" s="11"/>
      <c r="AAJ3" s="11"/>
      <c r="AAK3" s="11"/>
      <c r="AAL3" s="11"/>
      <c r="AAM3" s="11"/>
      <c r="AAN3" s="11"/>
      <c r="AAO3" s="11"/>
      <c r="AAP3" s="11"/>
      <c r="AAQ3" s="11"/>
      <c r="AAR3" s="11"/>
      <c r="AAS3" s="11"/>
      <c r="AAT3" s="11"/>
      <c r="AAU3" s="11"/>
      <c r="AAV3" s="11"/>
      <c r="AAW3" s="11"/>
      <c r="AAX3" s="11"/>
      <c r="AAY3" s="11"/>
      <c r="AAZ3" s="11"/>
      <c r="ABA3" s="11"/>
      <c r="ABB3" s="11"/>
      <c r="ABC3" s="11"/>
      <c r="ABD3" s="11"/>
      <c r="ABE3" s="11"/>
      <c r="ABF3" s="11"/>
      <c r="ABG3" s="11"/>
      <c r="ABH3" s="11"/>
      <c r="ABI3" s="11"/>
      <c r="ABJ3" s="11"/>
      <c r="ABK3" s="11"/>
      <c r="ABL3" s="11"/>
      <c r="ABM3" s="11"/>
      <c r="ABN3" s="11"/>
      <c r="ABO3" s="11"/>
      <c r="ABP3" s="11"/>
      <c r="ABQ3" s="11"/>
      <c r="ABR3" s="11"/>
      <c r="ABS3" s="11"/>
      <c r="ABT3" s="11"/>
      <c r="ABU3" s="11"/>
      <c r="ABV3" s="11"/>
      <c r="ABW3" s="11"/>
      <c r="ABX3" s="11"/>
      <c r="ABY3" s="11"/>
      <c r="ABZ3" s="11"/>
      <c r="ACA3" s="11"/>
      <c r="ACB3" s="11"/>
      <c r="ACC3" s="11"/>
      <c r="ACD3" s="11"/>
      <c r="ACE3" s="11"/>
      <c r="ACF3" s="11"/>
      <c r="ACG3" s="11"/>
      <c r="ACH3" s="11"/>
      <c r="ACI3" s="11"/>
      <c r="ACJ3" s="11"/>
      <c r="ACK3" s="11"/>
      <c r="ACL3" s="11"/>
      <c r="ACM3" s="11"/>
      <c r="ACN3" s="11"/>
      <c r="ACO3" s="11"/>
      <c r="ACP3" s="11"/>
      <c r="ACQ3" s="11"/>
      <c r="ACR3" s="11"/>
      <c r="ACS3" s="11"/>
      <c r="ACT3" s="11"/>
      <c r="ACU3" s="11"/>
      <c r="ACV3" s="11"/>
      <c r="ACW3" s="11"/>
      <c r="ACX3" s="11"/>
      <c r="ACY3" s="11"/>
      <c r="ACZ3" s="11"/>
      <c r="ADA3" s="11"/>
      <c r="ADB3" s="11"/>
      <c r="ADC3" s="11"/>
      <c r="ADD3" s="11"/>
      <c r="ADE3" s="11"/>
      <c r="ADF3" s="11"/>
      <c r="ADG3" s="11"/>
      <c r="ADH3" s="11"/>
      <c r="ADI3" s="11"/>
      <c r="ADJ3" s="11"/>
      <c r="ADK3" s="11"/>
      <c r="ADL3" s="11"/>
      <c r="ADM3" s="11"/>
      <c r="ADN3" s="11"/>
      <c r="ADO3" s="11"/>
      <c r="ADP3" s="11"/>
      <c r="ADQ3" s="11"/>
      <c r="ADR3" s="11"/>
      <c r="ADS3" s="11"/>
      <c r="ADT3" s="11"/>
      <c r="ADU3" s="11"/>
      <c r="ADV3" s="11"/>
      <c r="ADW3" s="11"/>
      <c r="ADX3" s="11"/>
      <c r="ADY3" s="11"/>
      <c r="ADZ3" s="11"/>
      <c r="AEA3" s="11"/>
      <c r="AEB3" s="11"/>
      <c r="AEC3" s="11"/>
      <c r="AED3" s="11"/>
      <c r="AEE3" s="11"/>
      <c r="AEF3" s="11"/>
      <c r="AEG3" s="11"/>
      <c r="AEH3" s="11"/>
      <c r="AEI3" s="11"/>
      <c r="AEJ3" s="11"/>
      <c r="AEK3" s="11"/>
      <c r="AEL3" s="11"/>
      <c r="AEM3" s="11"/>
      <c r="AEN3" s="11"/>
      <c r="AEO3" s="11"/>
      <c r="AEP3" s="11"/>
      <c r="AEQ3" s="11"/>
      <c r="AER3" s="11"/>
      <c r="AES3" s="11"/>
      <c r="AET3" s="11"/>
      <c r="AEU3" s="11"/>
      <c r="AEV3" s="11"/>
      <c r="AEW3" s="11"/>
      <c r="AEX3" s="11"/>
      <c r="AEY3" s="11"/>
      <c r="AEZ3" s="11"/>
      <c r="AFA3" s="11"/>
      <c r="AFB3" s="11"/>
      <c r="AFC3" s="11"/>
      <c r="AFD3" s="11"/>
      <c r="AFE3" s="11"/>
      <c r="AFF3" s="11"/>
      <c r="AFG3" s="11"/>
      <c r="AFH3" s="11"/>
      <c r="AFI3" s="11"/>
      <c r="AFJ3" s="11"/>
      <c r="AFK3" s="11"/>
      <c r="AFL3" s="11"/>
      <c r="AFM3" s="11"/>
      <c r="AFN3" s="11"/>
      <c r="AFO3" s="11"/>
      <c r="AFP3" s="11"/>
      <c r="AFQ3" s="11"/>
      <c r="AFR3" s="11"/>
      <c r="AFS3" s="11"/>
      <c r="AFT3" s="11"/>
      <c r="AFU3" s="11"/>
      <c r="AFV3" s="11"/>
      <c r="AFW3" s="11"/>
      <c r="AFX3" s="11"/>
      <c r="AFY3" s="11"/>
      <c r="AFZ3" s="11"/>
      <c r="AGA3" s="11"/>
      <c r="AGB3" s="11"/>
      <c r="AGC3" s="11"/>
      <c r="AGD3" s="11"/>
      <c r="AGE3" s="11"/>
      <c r="AGF3" s="11"/>
      <c r="AGG3" s="11"/>
      <c r="AGH3" s="11"/>
      <c r="AGI3" s="11"/>
      <c r="AGJ3" s="11"/>
      <c r="AGK3" s="11"/>
      <c r="AGL3" s="11"/>
      <c r="AGM3" s="11"/>
      <c r="AGN3" s="11"/>
      <c r="AGO3" s="11"/>
      <c r="AGP3" s="11"/>
      <c r="AGQ3" s="11"/>
      <c r="AGR3" s="11"/>
      <c r="AGS3" s="11"/>
      <c r="AGT3" s="11"/>
      <c r="AGU3" s="11"/>
      <c r="AGV3" s="11"/>
      <c r="AGW3" s="11"/>
      <c r="AGX3" s="11"/>
      <c r="AGY3" s="11"/>
      <c r="AGZ3" s="11"/>
      <c r="AHA3" s="11"/>
      <c r="AHB3" s="11"/>
      <c r="AHC3" s="11"/>
      <c r="AHD3" s="11"/>
      <c r="AHE3" s="11"/>
      <c r="AHF3" s="11"/>
      <c r="AHG3" s="11"/>
      <c r="AHH3" s="11"/>
      <c r="AHI3" s="11"/>
      <c r="AHJ3" s="11"/>
      <c r="AHK3" s="11"/>
      <c r="AHL3" s="11"/>
      <c r="AHM3" s="11"/>
      <c r="AHN3" s="11"/>
      <c r="AHO3" s="11"/>
      <c r="AHP3" s="11"/>
      <c r="AHQ3" s="11"/>
      <c r="AHR3" s="11"/>
      <c r="AHS3" s="11"/>
      <c r="AHT3" s="11"/>
      <c r="AHU3" s="11"/>
      <c r="AHV3" s="11"/>
      <c r="AHW3" s="11"/>
      <c r="AHX3" s="11"/>
      <c r="AHY3" s="11"/>
      <c r="AHZ3" s="11"/>
      <c r="AIA3" s="11"/>
      <c r="AIB3" s="11"/>
      <c r="AIC3" s="11"/>
      <c r="AID3" s="11"/>
      <c r="AIE3" s="11"/>
      <c r="AIF3" s="11"/>
      <c r="AIG3" s="11"/>
      <c r="AIH3" s="11"/>
      <c r="AII3" s="11"/>
      <c r="AIJ3" s="11"/>
      <c r="AIK3" s="11"/>
      <c r="AIL3" s="11"/>
      <c r="AIM3" s="11"/>
      <c r="AIN3" s="11"/>
      <c r="AIO3" s="11"/>
      <c r="AIP3" s="11"/>
      <c r="AIQ3" s="11"/>
      <c r="AIR3" s="11"/>
      <c r="AIS3" s="11"/>
      <c r="AIT3" s="11"/>
      <c r="AIU3" s="11"/>
      <c r="AIV3" s="11"/>
      <c r="AIW3" s="11"/>
      <c r="AIX3" s="11"/>
      <c r="AIY3" s="11"/>
      <c r="AIZ3" s="11"/>
      <c r="AJA3" s="11"/>
      <c r="AJB3" s="11"/>
      <c r="AJC3" s="11"/>
      <c r="AJD3" s="11"/>
      <c r="AJE3" s="11"/>
      <c r="AJF3" s="11"/>
      <c r="AJG3" s="11"/>
      <c r="AJH3" s="11"/>
      <c r="AJI3" s="11"/>
      <c r="AJJ3" s="11"/>
      <c r="AJK3" s="11"/>
      <c r="AJL3" s="11"/>
      <c r="AJM3" s="11"/>
      <c r="AJN3" s="11"/>
      <c r="AJO3" s="11"/>
      <c r="AJP3" s="11"/>
      <c r="AJQ3" s="11"/>
      <c r="AJR3" s="11"/>
      <c r="AJS3" s="11"/>
      <c r="AJT3" s="11"/>
      <c r="AJU3" s="11"/>
      <c r="AJV3" s="11"/>
      <c r="AJW3" s="11"/>
      <c r="AJX3" s="11"/>
      <c r="AJY3" s="11"/>
      <c r="AJZ3" s="11"/>
      <c r="AKA3" s="11"/>
      <c r="AKB3" s="11"/>
      <c r="AKC3" s="11"/>
      <c r="AKD3" s="11"/>
      <c r="AKE3" s="11"/>
      <c r="AKF3" s="11"/>
      <c r="AKG3" s="11"/>
      <c r="AKH3" s="11"/>
      <c r="AKI3" s="11"/>
      <c r="AKJ3" s="11"/>
      <c r="AKK3" s="11"/>
      <c r="AKL3" s="11"/>
      <c r="AKM3" s="11"/>
      <c r="AKN3" s="11"/>
      <c r="AKO3" s="11"/>
      <c r="AKP3" s="11"/>
      <c r="AKQ3" s="11"/>
      <c r="AKR3" s="11"/>
      <c r="AKS3" s="11"/>
      <c r="AKT3" s="11"/>
      <c r="AKU3" s="11"/>
      <c r="AKV3" s="11"/>
      <c r="AKW3" s="11"/>
      <c r="AKX3" s="11"/>
      <c r="AKY3" s="11"/>
      <c r="AKZ3" s="11"/>
      <c r="ALA3" s="11"/>
      <c r="ALB3" s="11"/>
      <c r="ALC3" s="11"/>
      <c r="ALD3" s="11"/>
      <c r="ALE3" s="11"/>
      <c r="ALF3" s="11"/>
      <c r="ALG3" s="11"/>
      <c r="ALH3" s="11"/>
      <c r="ALI3" s="11"/>
      <c r="ALJ3" s="11"/>
      <c r="ALK3" s="11"/>
      <c r="ALL3" s="11"/>
      <c r="ALM3" s="11"/>
      <c r="ALN3" s="11"/>
      <c r="ALO3" s="11"/>
      <c r="ALP3" s="11"/>
      <c r="ALQ3" s="11"/>
      <c r="ALR3" s="11"/>
      <c r="ALS3" s="11"/>
      <c r="ALT3" s="11"/>
      <c r="ALU3" s="11"/>
      <c r="ALV3" s="11"/>
      <c r="ALW3" s="11"/>
      <c r="ALX3" s="11"/>
      <c r="ALY3" s="11"/>
      <c r="ALZ3" s="11"/>
      <c r="AMA3" s="11"/>
      <c r="AMB3" s="11"/>
      <c r="AMC3" s="11"/>
      <c r="AMD3" s="11"/>
      <c r="AME3" s="11"/>
      <c r="AMF3" s="11"/>
      <c r="AMG3" s="11"/>
      <c r="AMH3" s="11"/>
      <c r="AMI3" s="11"/>
      <c r="AMJ3" s="11"/>
      <c r="AMK3" s="11"/>
      <c r="AML3" s="11"/>
      <c r="AMM3" s="11"/>
      <c r="AMN3" s="11"/>
      <c r="AMO3" s="11"/>
      <c r="AMP3" s="11"/>
      <c r="AMQ3" s="11"/>
      <c r="AMR3" s="11"/>
      <c r="AMS3" s="11"/>
      <c r="AMT3" s="11"/>
      <c r="AMU3" s="11"/>
      <c r="AMV3" s="11"/>
      <c r="AMW3" s="11"/>
      <c r="AMX3" s="11"/>
      <c r="AMY3" s="11"/>
      <c r="AMZ3" s="11"/>
      <c r="ANA3" s="11"/>
      <c r="ANB3" s="11"/>
      <c r="ANC3" s="11"/>
      <c r="AND3" s="11"/>
      <c r="ANE3" s="11"/>
      <c r="ANF3" s="11"/>
      <c r="ANG3" s="11"/>
      <c r="ANH3" s="11"/>
      <c r="ANI3" s="11"/>
      <c r="ANJ3" s="11"/>
      <c r="ANK3" s="11"/>
      <c r="ANL3" s="11"/>
      <c r="ANM3" s="11"/>
      <c r="ANN3" s="11"/>
      <c r="ANO3" s="11"/>
      <c r="ANP3" s="11"/>
      <c r="ANQ3" s="11"/>
      <c r="ANR3" s="11"/>
      <c r="ANS3" s="11"/>
      <c r="ANT3" s="11"/>
      <c r="ANU3" s="11"/>
      <c r="ANV3" s="11"/>
      <c r="ANW3" s="11"/>
      <c r="ANX3" s="11"/>
      <c r="ANY3" s="11"/>
      <c r="ANZ3" s="11"/>
      <c r="AOA3" s="11"/>
      <c r="AOB3" s="11"/>
      <c r="AOC3" s="11"/>
      <c r="AOD3" s="11"/>
      <c r="AOE3" s="11"/>
      <c r="AOF3" s="11"/>
      <c r="AOG3" s="11"/>
      <c r="AOH3" s="11"/>
      <c r="AOI3" s="11"/>
      <c r="AOJ3" s="11"/>
      <c r="AOK3" s="11"/>
      <c r="AOL3" s="11"/>
      <c r="AOM3" s="11"/>
      <c r="AON3" s="11"/>
      <c r="AOO3" s="11"/>
      <c r="AOP3" s="11"/>
      <c r="AOQ3" s="11"/>
      <c r="AOR3" s="11"/>
      <c r="AOS3" s="11"/>
      <c r="AOT3" s="11"/>
      <c r="AOU3" s="11"/>
      <c r="AOV3" s="11"/>
      <c r="AOW3" s="11"/>
      <c r="AOX3" s="11"/>
      <c r="AOY3" s="11"/>
      <c r="AOZ3" s="11"/>
      <c r="APA3" s="11"/>
      <c r="APB3" s="11"/>
      <c r="APC3" s="11"/>
      <c r="APD3" s="11"/>
      <c r="APE3" s="11"/>
      <c r="APF3" s="11"/>
      <c r="APG3" s="11"/>
      <c r="APH3" s="11"/>
      <c r="API3" s="11"/>
      <c r="APJ3" s="11"/>
      <c r="APK3" s="11"/>
      <c r="APL3" s="11"/>
      <c r="APM3" s="11"/>
      <c r="APN3" s="11"/>
      <c r="APO3" s="11"/>
      <c r="APP3" s="11"/>
      <c r="APQ3" s="11"/>
      <c r="APR3" s="11"/>
      <c r="APS3" s="11"/>
      <c r="APT3" s="11"/>
      <c r="APU3" s="11"/>
      <c r="APV3" s="11"/>
      <c r="APW3" s="11"/>
      <c r="APX3" s="11"/>
      <c r="APY3" s="11"/>
      <c r="APZ3" s="11"/>
      <c r="AQA3" s="11"/>
      <c r="AQB3" s="11"/>
      <c r="AQC3" s="11"/>
      <c r="AQD3" s="11"/>
      <c r="AQE3" s="11"/>
      <c r="AQF3" s="11"/>
      <c r="AQG3" s="11"/>
      <c r="AQH3" s="11"/>
      <c r="AQI3" s="11"/>
      <c r="AQJ3" s="11"/>
      <c r="AQK3" s="11"/>
      <c r="AQL3" s="11"/>
      <c r="AQM3" s="11"/>
      <c r="AQN3" s="11"/>
      <c r="AQO3" s="11"/>
      <c r="AQP3" s="11"/>
      <c r="AQQ3" s="11"/>
      <c r="AQR3" s="11"/>
      <c r="AQS3" s="11"/>
      <c r="AQT3" s="11"/>
      <c r="AQU3" s="11"/>
      <c r="AQV3" s="11"/>
      <c r="AQW3" s="11"/>
      <c r="AQX3" s="11"/>
      <c r="AQY3" s="11"/>
      <c r="AQZ3" s="11"/>
      <c r="ARA3" s="11"/>
      <c r="ARB3" s="11"/>
      <c r="ARC3" s="11"/>
      <c r="ARD3" s="11"/>
      <c r="ARE3" s="11"/>
      <c r="ARF3" s="11"/>
      <c r="ARG3" s="11"/>
      <c r="ARH3" s="11"/>
      <c r="ARI3" s="11"/>
      <c r="ARJ3" s="11"/>
      <c r="ARK3" s="11"/>
      <c r="ARL3" s="11"/>
      <c r="ARM3" s="11"/>
      <c r="ARN3" s="11"/>
      <c r="ARO3" s="11"/>
      <c r="ARP3" s="11"/>
      <c r="ARQ3" s="11"/>
      <c r="ARR3" s="11"/>
      <c r="ARS3" s="11"/>
      <c r="ART3" s="11"/>
      <c r="ARU3" s="11"/>
      <c r="ARV3" s="11"/>
      <c r="ARW3" s="11"/>
      <c r="ARX3" s="11"/>
      <c r="ARY3" s="11"/>
      <c r="ARZ3" s="11"/>
      <c r="ASA3" s="11"/>
      <c r="ASB3" s="11"/>
      <c r="ASC3" s="11"/>
      <c r="ASD3" s="11"/>
      <c r="ASE3" s="11"/>
      <c r="ASF3" s="11"/>
      <c r="ASG3" s="11"/>
      <c r="ASH3" s="11"/>
      <c r="ASI3" s="11"/>
      <c r="ASJ3" s="11"/>
      <c r="ASK3" s="11"/>
      <c r="ASL3" s="11"/>
      <c r="ASM3" s="11"/>
      <c r="ASN3" s="11"/>
      <c r="ASO3" s="11"/>
      <c r="ASP3" s="11"/>
      <c r="ASQ3" s="11"/>
      <c r="ASR3" s="11"/>
      <c r="ASS3" s="11"/>
      <c r="AST3" s="11"/>
      <c r="ASU3" s="11"/>
      <c r="ASV3" s="11"/>
      <c r="ASW3" s="11"/>
      <c r="ASX3" s="11"/>
      <c r="ASY3" s="11"/>
      <c r="ASZ3" s="11"/>
      <c r="ATA3" s="11"/>
      <c r="ATB3" s="11"/>
      <c r="ATC3" s="11"/>
      <c r="ATD3" s="11"/>
      <c r="ATE3" s="11"/>
      <c r="ATF3" s="11"/>
      <c r="ATG3" s="11"/>
      <c r="ATH3" s="11"/>
      <c r="ATI3" s="11"/>
      <c r="ATJ3" s="11"/>
      <c r="ATK3" s="11"/>
      <c r="ATL3" s="11"/>
      <c r="ATM3" s="11"/>
      <c r="ATN3" s="11"/>
      <c r="ATO3" s="11"/>
      <c r="ATP3" s="11"/>
      <c r="ATQ3" s="11"/>
      <c r="ATR3" s="11"/>
      <c r="ATS3" s="11"/>
      <c r="ATT3" s="11"/>
      <c r="ATU3" s="11"/>
      <c r="ATV3" s="11"/>
      <c r="ATW3" s="11"/>
      <c r="ATX3" s="11"/>
      <c r="ATY3" s="11"/>
      <c r="ATZ3" s="11"/>
      <c r="AUA3" s="11"/>
      <c r="AUB3" s="11"/>
      <c r="AUC3" s="11"/>
      <c r="AUD3" s="11"/>
      <c r="AUE3" s="11"/>
      <c r="AUF3" s="11"/>
      <c r="AUG3" s="11"/>
      <c r="AUH3" s="11"/>
      <c r="AUI3" s="11"/>
      <c r="AUJ3" s="11"/>
      <c r="AUK3" s="11"/>
      <c r="AUL3" s="11"/>
      <c r="AUM3" s="11"/>
      <c r="AUN3" s="11"/>
      <c r="AUO3" s="11"/>
      <c r="AUP3" s="11"/>
      <c r="AUQ3" s="11"/>
      <c r="AUR3" s="11"/>
      <c r="AUS3" s="11"/>
      <c r="AUT3" s="11"/>
      <c r="AUU3" s="11"/>
      <c r="AUV3" s="11"/>
      <c r="AUW3" s="11"/>
      <c r="AUX3" s="11"/>
      <c r="AUY3" s="11"/>
      <c r="AUZ3" s="11"/>
      <c r="AVA3" s="11"/>
      <c r="AVB3" s="11"/>
      <c r="AVC3" s="11"/>
      <c r="AVD3" s="11"/>
      <c r="AVE3" s="11"/>
      <c r="AVF3" s="11"/>
      <c r="AVG3" s="11"/>
      <c r="AVH3" s="11"/>
      <c r="AVI3" s="11"/>
      <c r="AVJ3" s="11"/>
      <c r="AVK3" s="11"/>
      <c r="AVL3" s="11"/>
      <c r="AVM3" s="11"/>
      <c r="AVN3" s="11"/>
      <c r="AVO3" s="11"/>
      <c r="AVP3" s="11"/>
      <c r="AVQ3" s="11"/>
      <c r="AVR3" s="11"/>
      <c r="AVS3" s="11"/>
      <c r="AVT3" s="11"/>
      <c r="AVU3" s="11"/>
      <c r="AVV3" s="11"/>
      <c r="AVW3" s="11"/>
      <c r="AVX3" s="11"/>
      <c r="AVY3" s="11"/>
      <c r="AVZ3" s="11"/>
      <c r="AWA3" s="11"/>
      <c r="AWB3" s="11"/>
      <c r="AWC3" s="11"/>
      <c r="AWD3" s="11"/>
      <c r="AWE3" s="11"/>
      <c r="AWF3" s="11"/>
      <c r="AWG3" s="11"/>
      <c r="AWH3" s="11"/>
      <c r="AWI3" s="11"/>
      <c r="AWJ3" s="11"/>
      <c r="AWK3" s="11"/>
      <c r="AWL3" s="11"/>
      <c r="AWM3" s="11"/>
      <c r="AWN3" s="11"/>
      <c r="AWO3" s="11"/>
      <c r="AWP3" s="11"/>
      <c r="AWQ3" s="11"/>
      <c r="AWR3" s="11"/>
      <c r="AWS3" s="11"/>
      <c r="AWT3" s="11"/>
      <c r="AWU3" s="11"/>
      <c r="AWV3" s="11"/>
      <c r="AWW3" s="11"/>
      <c r="AWX3" s="11"/>
      <c r="AWY3" s="11"/>
      <c r="AWZ3" s="11"/>
      <c r="AXA3" s="11"/>
      <c r="AXB3" s="11"/>
      <c r="AXC3" s="11"/>
      <c r="AXD3" s="11"/>
      <c r="AXE3" s="11"/>
      <c r="AXF3" s="11"/>
      <c r="AXG3" s="11"/>
      <c r="AXH3" s="11"/>
      <c r="AXI3" s="11"/>
      <c r="AXJ3" s="11"/>
      <c r="AXK3" s="11"/>
      <c r="AXL3" s="11"/>
      <c r="AXM3" s="11"/>
      <c r="AXN3" s="11"/>
      <c r="AXO3" s="11"/>
      <c r="AXP3" s="11"/>
      <c r="AXQ3" s="11"/>
      <c r="AXR3" s="11"/>
      <c r="AXS3" s="11"/>
      <c r="AXT3" s="11"/>
      <c r="AXU3" s="11"/>
      <c r="AXV3" s="11"/>
      <c r="AXW3" s="11"/>
      <c r="AXX3" s="11"/>
      <c r="AXY3" s="11"/>
      <c r="AXZ3" s="11"/>
      <c r="AYA3" s="11"/>
      <c r="AYB3" s="11"/>
      <c r="AYC3" s="11"/>
      <c r="AYD3" s="11"/>
      <c r="AYE3" s="11"/>
      <c r="AYF3" s="11"/>
      <c r="AYG3" s="11"/>
      <c r="AYH3" s="11"/>
      <c r="AYI3" s="11"/>
      <c r="AYJ3" s="11"/>
      <c r="AYK3" s="11"/>
      <c r="AYL3" s="11"/>
      <c r="AYM3" s="11"/>
      <c r="AYN3" s="11"/>
      <c r="AYO3" s="11"/>
      <c r="AYP3" s="11"/>
      <c r="AYQ3" s="11"/>
      <c r="AYR3" s="11"/>
      <c r="AYS3" s="11"/>
      <c r="AYT3" s="11"/>
      <c r="AYU3" s="11"/>
      <c r="AYV3" s="11"/>
      <c r="AYW3" s="11"/>
      <c r="AYX3" s="11"/>
      <c r="AYY3" s="11"/>
      <c r="AYZ3" s="11"/>
      <c r="AZA3" s="11"/>
      <c r="AZB3" s="11"/>
      <c r="AZC3" s="11"/>
      <c r="AZD3" s="11"/>
      <c r="AZE3" s="11"/>
      <c r="AZF3" s="11"/>
    </row>
    <row r="4" spans="1:1358" ht="14.4" x14ac:dyDescent="0.3">
      <c r="A4" s="14">
        <v>1</v>
      </c>
      <c r="B4" s="24" t="s">
        <v>191</v>
      </c>
      <c r="C4" s="10">
        <v>20</v>
      </c>
      <c r="D4" s="10">
        <v>53</v>
      </c>
      <c r="E4" s="15">
        <v>365</v>
      </c>
      <c r="F4" s="19">
        <v>1.7100000000000001E-2</v>
      </c>
      <c r="G4" s="10">
        <v>900</v>
      </c>
      <c r="H4" s="13">
        <v>0.02</v>
      </c>
      <c r="I4" s="17">
        <v>10950</v>
      </c>
      <c r="J4" s="22">
        <v>20</v>
      </c>
      <c r="K4" s="18">
        <f t="shared" ref="K4:K67" si="0">(F4*G4*E4*J4)/(D4*I4)</f>
        <v>0.19358490566037737</v>
      </c>
      <c r="L4" s="2">
        <f t="shared" ref="L4:L45" si="1">(F4*G4*E4*5)/(D4*I4)</f>
        <v>4.8396226415094341E-2</v>
      </c>
      <c r="M4" s="2">
        <f t="shared" ref="M4:M67" si="2">(F4*G4*E4*10)/(D4*I4)</f>
        <v>9.6792452830188683E-2</v>
      </c>
      <c r="N4" s="2">
        <f t="shared" ref="N4:N67" si="3">(F4*G4*E4*15)/(D4*I4)</f>
        <v>0.14518867924528303</v>
      </c>
      <c r="O4" s="2">
        <f t="shared" ref="O4:O67" si="4">(F4*G4*E4*20)/(D4*I4)</f>
        <v>0.19358490566037737</v>
      </c>
      <c r="P4" s="2">
        <f t="shared" ref="P4:P67" si="5">(F4*G4*E4*25)/(D4*I4)</f>
        <v>0.2419811320754717</v>
      </c>
      <c r="Q4" s="2">
        <f t="shared" ref="Q4:Q67" si="6">(F4*G4*E4*30)/(D4*I4)</f>
        <v>0.29037735849056606</v>
      </c>
      <c r="R4" s="2">
        <f t="shared" ref="R4:R67" si="7">K4/H4</f>
        <v>9.6792452830188687</v>
      </c>
      <c r="S4" s="2">
        <f t="shared" ref="S4:S42" si="8">L4/H4</f>
        <v>2.4198113207547172</v>
      </c>
      <c r="T4" s="2">
        <f t="shared" ref="T4:T67" si="9">M4/H4</f>
        <v>4.8396226415094343</v>
      </c>
      <c r="U4" s="2">
        <f t="shared" ref="U4:U43" si="10">N4/H4</f>
        <v>7.2594339622641515</v>
      </c>
      <c r="V4" s="2">
        <f t="shared" ref="V4:V43" si="11">O4/H4</f>
        <v>9.6792452830188687</v>
      </c>
      <c r="W4" s="2">
        <f t="shared" ref="W4:W43" si="12">P4/H4</f>
        <v>12.099056603773585</v>
      </c>
      <c r="X4" s="2">
        <f t="shared" ref="X4:X43" si="13">Q4/H4</f>
        <v>14.518867924528303</v>
      </c>
      <c r="Y4" s="5" t="str">
        <f t="shared" ref="Y4:AE28" si="14">IF(R4&gt;1,"1","2")</f>
        <v>1</v>
      </c>
      <c r="Z4" s="5" t="str">
        <f t="shared" si="14"/>
        <v>1</v>
      </c>
      <c r="AA4" s="5" t="str">
        <f t="shared" si="14"/>
        <v>1</v>
      </c>
      <c r="AB4" s="5" t="str">
        <f t="shared" si="14"/>
        <v>1</v>
      </c>
      <c r="AC4" s="5" t="str">
        <f t="shared" si="14"/>
        <v>1</v>
      </c>
      <c r="AD4" s="5" t="str">
        <f t="shared" si="14"/>
        <v>1</v>
      </c>
      <c r="AE4" s="5" t="str">
        <f t="shared" si="14"/>
        <v>1</v>
      </c>
    </row>
    <row r="5" spans="1:1358" ht="14.4" x14ac:dyDescent="0.3">
      <c r="A5" s="14">
        <v>2</v>
      </c>
      <c r="B5" s="24" t="s">
        <v>192</v>
      </c>
      <c r="C5" s="10">
        <v>25</v>
      </c>
      <c r="D5" s="10">
        <v>68</v>
      </c>
      <c r="E5" s="15">
        <v>365</v>
      </c>
      <c r="F5" s="19">
        <v>1.24E-2</v>
      </c>
      <c r="G5" s="10">
        <v>1500</v>
      </c>
      <c r="H5" s="13">
        <v>0.02</v>
      </c>
      <c r="I5" s="17">
        <v>10950</v>
      </c>
      <c r="J5" s="22">
        <v>22</v>
      </c>
      <c r="K5" s="18">
        <f t="shared" si="0"/>
        <v>0.2005882352941176</v>
      </c>
      <c r="L5" s="2">
        <f t="shared" si="1"/>
        <v>4.5588235294117638E-2</v>
      </c>
      <c r="M5" s="2">
        <f t="shared" si="2"/>
        <v>9.1176470588235276E-2</v>
      </c>
      <c r="N5" s="2">
        <f t="shared" si="3"/>
        <v>0.13676470588235293</v>
      </c>
      <c r="O5" s="2">
        <f t="shared" si="4"/>
        <v>0.18235294117647055</v>
      </c>
      <c r="P5" s="2">
        <f t="shared" si="5"/>
        <v>0.2279411764705882</v>
      </c>
      <c r="Q5" s="2">
        <f t="shared" si="6"/>
        <v>0.27352941176470585</v>
      </c>
      <c r="R5" s="2">
        <f t="shared" si="7"/>
        <v>10.029411764705879</v>
      </c>
      <c r="S5" s="2">
        <f t="shared" si="8"/>
        <v>2.2794117647058818</v>
      </c>
      <c r="T5" s="2">
        <f t="shared" si="9"/>
        <v>4.5588235294117636</v>
      </c>
      <c r="U5" s="2">
        <f t="shared" si="10"/>
        <v>6.8382352941176459</v>
      </c>
      <c r="V5" s="2">
        <f t="shared" si="11"/>
        <v>9.1176470588235272</v>
      </c>
      <c r="W5" s="2">
        <f t="shared" si="12"/>
        <v>11.397058823529409</v>
      </c>
      <c r="X5" s="2">
        <f t="shared" si="13"/>
        <v>13.676470588235292</v>
      </c>
      <c r="Y5" s="5" t="str">
        <f t="shared" si="14"/>
        <v>1</v>
      </c>
      <c r="Z5" s="5" t="str">
        <f t="shared" si="14"/>
        <v>1</v>
      </c>
      <c r="AA5" s="5" t="str">
        <f t="shared" si="14"/>
        <v>1</v>
      </c>
      <c r="AB5" s="5" t="str">
        <f t="shared" si="14"/>
        <v>1</v>
      </c>
      <c r="AC5" s="5" t="str">
        <f t="shared" si="14"/>
        <v>1</v>
      </c>
      <c r="AD5" s="5" t="str">
        <f t="shared" si="14"/>
        <v>1</v>
      </c>
      <c r="AE5" s="5" t="str">
        <f t="shared" si="14"/>
        <v>1</v>
      </c>
    </row>
    <row r="6" spans="1:1358" ht="14.4" x14ac:dyDescent="0.3">
      <c r="A6" s="14">
        <v>3</v>
      </c>
      <c r="B6" s="24" t="s">
        <v>124</v>
      </c>
      <c r="C6" s="10">
        <v>25</v>
      </c>
      <c r="D6" s="10">
        <v>68</v>
      </c>
      <c r="E6" s="15">
        <v>365</v>
      </c>
      <c r="F6" s="19">
        <v>4.1999999999999997E-3</v>
      </c>
      <c r="G6" s="10">
        <v>1500</v>
      </c>
      <c r="H6" s="13">
        <v>0.02</v>
      </c>
      <c r="I6" s="17">
        <v>10950</v>
      </c>
      <c r="J6" s="22">
        <v>22</v>
      </c>
      <c r="K6" s="18">
        <f t="shared" si="0"/>
        <v>6.7941176470588241E-2</v>
      </c>
      <c r="L6" s="2">
        <f t="shared" si="1"/>
        <v>1.5441176470588236E-2</v>
      </c>
      <c r="M6" s="2">
        <f t="shared" si="2"/>
        <v>3.0882352941176472E-2</v>
      </c>
      <c r="N6" s="2">
        <f t="shared" si="3"/>
        <v>4.6323529411764708E-2</v>
      </c>
      <c r="O6" s="2">
        <f t="shared" si="4"/>
        <v>6.1764705882352944E-2</v>
      </c>
      <c r="P6" s="2">
        <f t="shared" si="5"/>
        <v>7.720588235294118E-2</v>
      </c>
      <c r="Q6" s="2">
        <f t="shared" si="6"/>
        <v>9.2647058823529416E-2</v>
      </c>
      <c r="R6" s="2">
        <f t="shared" si="7"/>
        <v>3.3970588235294121</v>
      </c>
      <c r="S6" s="2">
        <f t="shared" si="8"/>
        <v>0.7720588235294118</v>
      </c>
      <c r="T6" s="2">
        <f t="shared" si="9"/>
        <v>1.5441176470588236</v>
      </c>
      <c r="U6" s="2">
        <f t="shared" si="10"/>
        <v>2.3161764705882355</v>
      </c>
      <c r="V6" s="2">
        <f t="shared" si="11"/>
        <v>3.0882352941176472</v>
      </c>
      <c r="W6" s="2">
        <f t="shared" si="12"/>
        <v>3.8602941176470589</v>
      </c>
      <c r="X6" s="2">
        <f t="shared" si="13"/>
        <v>4.632352941176471</v>
      </c>
      <c r="Y6" s="5" t="str">
        <f t="shared" si="14"/>
        <v>1</v>
      </c>
      <c r="Z6" s="5" t="str">
        <f t="shared" si="14"/>
        <v>2</v>
      </c>
      <c r="AA6" s="5" t="str">
        <f t="shared" si="14"/>
        <v>1</v>
      </c>
      <c r="AB6" s="5" t="str">
        <f t="shared" si="14"/>
        <v>1</v>
      </c>
      <c r="AC6" s="5" t="str">
        <f t="shared" si="14"/>
        <v>1</v>
      </c>
      <c r="AD6" s="5" t="str">
        <f t="shared" si="14"/>
        <v>1</v>
      </c>
      <c r="AE6" s="5" t="str">
        <f t="shared" si="14"/>
        <v>1</v>
      </c>
    </row>
    <row r="7" spans="1:1358" ht="14.4" x14ac:dyDescent="0.3">
      <c r="A7" s="14">
        <v>4</v>
      </c>
      <c r="B7" s="24" t="s">
        <v>193</v>
      </c>
      <c r="C7" s="10">
        <v>26</v>
      </c>
      <c r="D7" s="10">
        <v>50</v>
      </c>
      <c r="E7" s="15">
        <v>365</v>
      </c>
      <c r="F7" s="19">
        <v>9.9000000000000008E-3</v>
      </c>
      <c r="G7" s="10">
        <v>900</v>
      </c>
      <c r="H7" s="13">
        <v>0.02</v>
      </c>
      <c r="I7" s="17">
        <v>10950</v>
      </c>
      <c r="J7" s="22">
        <v>26</v>
      </c>
      <c r="K7" s="18">
        <f t="shared" si="0"/>
        <v>0.15444000000000002</v>
      </c>
      <c r="L7" s="2">
        <f t="shared" si="1"/>
        <v>2.9700000000000001E-2</v>
      </c>
      <c r="M7" s="2">
        <f t="shared" si="2"/>
        <v>5.9400000000000001E-2</v>
      </c>
      <c r="N7" s="2">
        <f t="shared" si="3"/>
        <v>8.9099999999999999E-2</v>
      </c>
      <c r="O7" s="2">
        <f t="shared" si="4"/>
        <v>0.1188</v>
      </c>
      <c r="P7" s="2">
        <f t="shared" si="5"/>
        <v>0.14849999999999999</v>
      </c>
      <c r="Q7" s="2">
        <f t="shared" si="6"/>
        <v>0.1782</v>
      </c>
      <c r="R7" s="2">
        <f t="shared" si="7"/>
        <v>7.7220000000000013</v>
      </c>
      <c r="S7" s="2">
        <f t="shared" si="8"/>
        <v>1.4850000000000001</v>
      </c>
      <c r="T7" s="2">
        <f t="shared" si="9"/>
        <v>2.97</v>
      </c>
      <c r="U7" s="2">
        <f t="shared" si="10"/>
        <v>4.4550000000000001</v>
      </c>
      <c r="V7" s="2">
        <f t="shared" si="11"/>
        <v>5.94</v>
      </c>
      <c r="W7" s="2">
        <f t="shared" si="12"/>
        <v>7.4249999999999998</v>
      </c>
      <c r="X7" s="2">
        <f t="shared" si="13"/>
        <v>8.91</v>
      </c>
      <c r="Y7" s="5" t="str">
        <f t="shared" si="14"/>
        <v>1</v>
      </c>
      <c r="Z7" s="5" t="str">
        <f t="shared" si="14"/>
        <v>1</v>
      </c>
      <c r="AA7" s="5" t="str">
        <f t="shared" si="14"/>
        <v>1</v>
      </c>
      <c r="AB7" s="5" t="str">
        <f t="shared" si="14"/>
        <v>1</v>
      </c>
      <c r="AC7" s="5" t="str">
        <f t="shared" si="14"/>
        <v>1</v>
      </c>
      <c r="AD7" s="5" t="str">
        <f t="shared" si="14"/>
        <v>1</v>
      </c>
      <c r="AE7" s="5" t="str">
        <f t="shared" si="14"/>
        <v>1</v>
      </c>
    </row>
    <row r="8" spans="1:1358" ht="14.4" x14ac:dyDescent="0.3">
      <c r="A8" s="14">
        <v>5</v>
      </c>
      <c r="B8" s="24" t="s">
        <v>194</v>
      </c>
      <c r="C8" s="10">
        <v>27</v>
      </c>
      <c r="D8" s="10">
        <v>43</v>
      </c>
      <c r="E8" s="15">
        <v>365</v>
      </c>
      <c r="F8" s="19">
        <v>9.9000000000000008E-3</v>
      </c>
      <c r="G8" s="10">
        <v>1200</v>
      </c>
      <c r="H8" s="13">
        <v>0.02</v>
      </c>
      <c r="I8" s="17">
        <v>10950</v>
      </c>
      <c r="J8" s="22">
        <v>27</v>
      </c>
      <c r="K8" s="18">
        <f t="shared" si="0"/>
        <v>0.24865116279069771</v>
      </c>
      <c r="L8" s="2">
        <f t="shared" si="1"/>
        <v>4.6046511627906982E-2</v>
      </c>
      <c r="M8" s="2">
        <f t="shared" si="2"/>
        <v>9.2093023255813963E-2</v>
      </c>
      <c r="N8" s="2">
        <f t="shared" si="3"/>
        <v>0.13813953488372097</v>
      </c>
      <c r="O8" s="2">
        <f t="shared" si="4"/>
        <v>0.18418604651162793</v>
      </c>
      <c r="P8" s="2">
        <f t="shared" si="5"/>
        <v>0.23023255813953492</v>
      </c>
      <c r="Q8" s="2">
        <f t="shared" si="6"/>
        <v>0.27627906976744193</v>
      </c>
      <c r="R8" s="2">
        <f t="shared" si="7"/>
        <v>12.432558139534885</v>
      </c>
      <c r="S8" s="2">
        <f t="shared" si="8"/>
        <v>2.3023255813953489</v>
      </c>
      <c r="T8" s="2">
        <f t="shared" si="9"/>
        <v>4.6046511627906979</v>
      </c>
      <c r="U8" s="2">
        <f t="shared" si="10"/>
        <v>6.9069767441860481</v>
      </c>
      <c r="V8" s="2">
        <f t="shared" si="11"/>
        <v>9.2093023255813957</v>
      </c>
      <c r="W8" s="2">
        <f t="shared" si="12"/>
        <v>11.511627906976745</v>
      </c>
      <c r="X8" s="2">
        <f t="shared" si="13"/>
        <v>13.813953488372096</v>
      </c>
      <c r="Y8" s="5" t="str">
        <f t="shared" si="14"/>
        <v>1</v>
      </c>
      <c r="Z8" s="5" t="str">
        <f t="shared" si="14"/>
        <v>1</v>
      </c>
      <c r="AA8" s="5" t="str">
        <f t="shared" si="14"/>
        <v>1</v>
      </c>
      <c r="AB8" s="5" t="str">
        <f t="shared" si="14"/>
        <v>1</v>
      </c>
      <c r="AC8" s="5" t="str">
        <f t="shared" si="14"/>
        <v>1</v>
      </c>
      <c r="AD8" s="5" t="str">
        <f t="shared" si="14"/>
        <v>1</v>
      </c>
      <c r="AE8" s="5" t="str">
        <f t="shared" si="14"/>
        <v>1</v>
      </c>
    </row>
    <row r="9" spans="1:1358" ht="14.4" x14ac:dyDescent="0.3">
      <c r="A9" s="14">
        <v>6</v>
      </c>
      <c r="B9" s="24" t="s">
        <v>114</v>
      </c>
      <c r="C9" s="10">
        <v>27</v>
      </c>
      <c r="D9" s="10">
        <v>43</v>
      </c>
      <c r="E9" s="15">
        <v>365</v>
      </c>
      <c r="F9" s="19">
        <v>6.1000000000000004E-3</v>
      </c>
      <c r="G9" s="10">
        <v>1200</v>
      </c>
      <c r="H9" s="13">
        <v>0.02</v>
      </c>
      <c r="I9" s="17">
        <v>10950</v>
      </c>
      <c r="J9" s="22">
        <v>27</v>
      </c>
      <c r="K9" s="18">
        <f t="shared" si="0"/>
        <v>0.15320930232558141</v>
      </c>
      <c r="L9" s="2">
        <f t="shared" si="1"/>
        <v>2.8372093023255815E-2</v>
      </c>
      <c r="M9" s="2">
        <f t="shared" si="2"/>
        <v>5.674418604651163E-2</v>
      </c>
      <c r="N9" s="2">
        <f t="shared" si="3"/>
        <v>8.5116279069767445E-2</v>
      </c>
      <c r="O9" s="2">
        <f t="shared" si="4"/>
        <v>0.11348837209302326</v>
      </c>
      <c r="P9" s="2">
        <f t="shared" si="5"/>
        <v>0.14186046511627906</v>
      </c>
      <c r="Q9" s="2">
        <f t="shared" si="6"/>
        <v>0.17023255813953489</v>
      </c>
      <c r="R9" s="2">
        <f t="shared" si="7"/>
        <v>7.6604651162790702</v>
      </c>
      <c r="S9" s="2">
        <f t="shared" si="8"/>
        <v>1.4186046511627908</v>
      </c>
      <c r="T9" s="2">
        <f t="shared" si="9"/>
        <v>2.8372093023255816</v>
      </c>
      <c r="U9" s="2">
        <f t="shared" si="10"/>
        <v>4.2558139534883725</v>
      </c>
      <c r="V9" s="2">
        <f t="shared" si="11"/>
        <v>5.6744186046511631</v>
      </c>
      <c r="W9" s="2">
        <f t="shared" si="12"/>
        <v>7.0930232558139528</v>
      </c>
      <c r="X9" s="2">
        <f t="shared" si="13"/>
        <v>8.5116279069767451</v>
      </c>
      <c r="Y9" s="5" t="str">
        <f t="shared" si="14"/>
        <v>1</v>
      </c>
      <c r="Z9" s="5" t="str">
        <f t="shared" si="14"/>
        <v>1</v>
      </c>
      <c r="AA9" s="5" t="str">
        <f t="shared" si="14"/>
        <v>1</v>
      </c>
      <c r="AB9" s="5" t="str">
        <f t="shared" si="14"/>
        <v>1</v>
      </c>
      <c r="AC9" s="5" t="str">
        <f t="shared" si="14"/>
        <v>1</v>
      </c>
      <c r="AD9" s="5" t="str">
        <f t="shared" si="14"/>
        <v>1</v>
      </c>
      <c r="AE9" s="5" t="str">
        <f t="shared" si="14"/>
        <v>1</v>
      </c>
    </row>
    <row r="10" spans="1:1358" ht="14.4" x14ac:dyDescent="0.3">
      <c r="A10" s="14">
        <v>7</v>
      </c>
      <c r="B10" s="24" t="s">
        <v>195</v>
      </c>
      <c r="C10" s="10">
        <v>27</v>
      </c>
      <c r="D10" s="10">
        <v>65</v>
      </c>
      <c r="E10" s="15">
        <v>365</v>
      </c>
      <c r="F10" s="19">
        <v>3.2300000000000002E-2</v>
      </c>
      <c r="G10" s="10">
        <v>1200</v>
      </c>
      <c r="H10" s="13">
        <v>0.02</v>
      </c>
      <c r="I10" s="17">
        <v>10950</v>
      </c>
      <c r="J10" s="22">
        <v>27</v>
      </c>
      <c r="K10" s="18">
        <f t="shared" si="0"/>
        <v>0.53667692307692316</v>
      </c>
      <c r="L10" s="2">
        <f t="shared" si="1"/>
        <v>9.9384615384615391E-2</v>
      </c>
      <c r="M10" s="2">
        <f t="shared" si="2"/>
        <v>0.19876923076923078</v>
      </c>
      <c r="N10" s="2">
        <f t="shared" si="3"/>
        <v>0.29815384615384621</v>
      </c>
      <c r="O10" s="2">
        <f t="shared" si="4"/>
        <v>0.39753846153846156</v>
      </c>
      <c r="P10" s="2">
        <f t="shared" si="5"/>
        <v>0.49692307692307702</v>
      </c>
      <c r="Q10" s="2">
        <f t="shared" si="6"/>
        <v>0.59630769230769243</v>
      </c>
      <c r="R10" s="2">
        <f t="shared" si="7"/>
        <v>26.833846153846157</v>
      </c>
      <c r="S10" s="2">
        <f t="shared" si="8"/>
        <v>4.9692307692307693</v>
      </c>
      <c r="T10" s="2">
        <f t="shared" si="9"/>
        <v>9.9384615384615387</v>
      </c>
      <c r="U10" s="2">
        <f t="shared" si="10"/>
        <v>14.90769230769231</v>
      </c>
      <c r="V10" s="2">
        <f t="shared" si="11"/>
        <v>19.876923076923077</v>
      </c>
      <c r="W10" s="2">
        <f t="shared" si="12"/>
        <v>24.84615384615385</v>
      </c>
      <c r="X10" s="2">
        <f t="shared" si="13"/>
        <v>29.81538461538462</v>
      </c>
      <c r="Y10" s="5" t="str">
        <f t="shared" si="14"/>
        <v>1</v>
      </c>
      <c r="Z10" s="5" t="str">
        <f t="shared" si="14"/>
        <v>1</v>
      </c>
      <c r="AA10" s="5" t="str">
        <f t="shared" si="14"/>
        <v>1</v>
      </c>
      <c r="AB10" s="5" t="str">
        <f t="shared" si="14"/>
        <v>1</v>
      </c>
      <c r="AC10" s="5" t="str">
        <f t="shared" si="14"/>
        <v>1</v>
      </c>
      <c r="AD10" s="5" t="str">
        <f t="shared" si="14"/>
        <v>1</v>
      </c>
      <c r="AE10" s="5" t="str">
        <f t="shared" si="14"/>
        <v>1</v>
      </c>
    </row>
    <row r="11" spans="1:1358" ht="14.4" x14ac:dyDescent="0.3">
      <c r="A11" s="14">
        <v>8</v>
      </c>
      <c r="B11" s="24" t="s">
        <v>196</v>
      </c>
      <c r="C11" s="10">
        <v>27</v>
      </c>
      <c r="D11" s="10">
        <v>59</v>
      </c>
      <c r="E11" s="15">
        <v>365</v>
      </c>
      <c r="F11" s="19">
        <v>3.2300000000000002E-2</v>
      </c>
      <c r="G11" s="10">
        <v>900</v>
      </c>
      <c r="H11" s="13">
        <v>0.02</v>
      </c>
      <c r="I11" s="17">
        <v>10950</v>
      </c>
      <c r="J11" s="22">
        <v>10</v>
      </c>
      <c r="K11" s="18">
        <f t="shared" si="0"/>
        <v>0.16423728813559324</v>
      </c>
      <c r="L11" s="2">
        <f t="shared" si="1"/>
        <v>8.211864406779662E-2</v>
      </c>
      <c r="M11" s="2">
        <f t="shared" si="2"/>
        <v>0.16423728813559324</v>
      </c>
      <c r="N11" s="2">
        <f t="shared" si="3"/>
        <v>0.24635593220338989</v>
      </c>
      <c r="O11" s="2">
        <f t="shared" si="4"/>
        <v>0.32847457627118648</v>
      </c>
      <c r="P11" s="2">
        <f t="shared" si="5"/>
        <v>0.41059322033898304</v>
      </c>
      <c r="Q11" s="2">
        <f t="shared" si="6"/>
        <v>0.49271186440677978</v>
      </c>
      <c r="R11" s="2">
        <f t="shared" si="7"/>
        <v>8.2118644067796627</v>
      </c>
      <c r="S11" s="2">
        <f t="shared" si="8"/>
        <v>4.1059322033898313</v>
      </c>
      <c r="T11" s="2">
        <f t="shared" si="9"/>
        <v>8.2118644067796627</v>
      </c>
      <c r="U11" s="2">
        <f t="shared" si="10"/>
        <v>12.317796610169495</v>
      </c>
      <c r="V11" s="2">
        <f t="shared" si="11"/>
        <v>16.423728813559325</v>
      </c>
      <c r="W11" s="2">
        <f t="shared" si="12"/>
        <v>20.529661016949152</v>
      </c>
      <c r="X11" s="2">
        <f t="shared" si="13"/>
        <v>24.63559322033899</v>
      </c>
      <c r="Y11" s="5" t="str">
        <f t="shared" si="14"/>
        <v>1</v>
      </c>
      <c r="Z11" s="5" t="str">
        <f t="shared" si="14"/>
        <v>1</v>
      </c>
      <c r="AA11" s="5" t="str">
        <f t="shared" si="14"/>
        <v>1</v>
      </c>
      <c r="AB11" s="5" t="str">
        <f t="shared" si="14"/>
        <v>1</v>
      </c>
      <c r="AC11" s="5" t="str">
        <f t="shared" si="14"/>
        <v>1</v>
      </c>
      <c r="AD11" s="5" t="str">
        <f t="shared" si="14"/>
        <v>1</v>
      </c>
      <c r="AE11" s="5" t="str">
        <f t="shared" si="14"/>
        <v>1</v>
      </c>
    </row>
    <row r="12" spans="1:1358" ht="14.4" x14ac:dyDescent="0.3">
      <c r="A12" s="14">
        <v>9</v>
      </c>
      <c r="B12" s="24" t="s">
        <v>114</v>
      </c>
      <c r="C12" s="10">
        <v>27</v>
      </c>
      <c r="D12" s="10">
        <v>43</v>
      </c>
      <c r="E12" s="15">
        <v>365</v>
      </c>
      <c r="F12" s="19">
        <v>3.3099999999999997E-2</v>
      </c>
      <c r="G12" s="10">
        <v>1200</v>
      </c>
      <c r="H12" s="13">
        <v>0.02</v>
      </c>
      <c r="I12" s="17">
        <v>10950</v>
      </c>
      <c r="J12" s="22">
        <v>27</v>
      </c>
      <c r="K12" s="18">
        <f t="shared" si="0"/>
        <v>0.8313488372093023</v>
      </c>
      <c r="L12" s="2">
        <f t="shared" si="1"/>
        <v>0.15395348837209302</v>
      </c>
      <c r="M12" s="2">
        <f t="shared" si="2"/>
        <v>0.30790697674418605</v>
      </c>
      <c r="N12" s="2">
        <f t="shared" si="3"/>
        <v>0.4618604651162791</v>
      </c>
      <c r="O12" s="2">
        <f t="shared" si="4"/>
        <v>0.61581395348837209</v>
      </c>
      <c r="P12" s="2">
        <f t="shared" si="5"/>
        <v>0.76976744186046508</v>
      </c>
      <c r="Q12" s="2">
        <f t="shared" si="6"/>
        <v>0.92372093023255819</v>
      </c>
      <c r="R12" s="2">
        <f t="shared" si="7"/>
        <v>41.567441860465117</v>
      </c>
      <c r="S12" s="2">
        <f t="shared" si="8"/>
        <v>7.6976744186046506</v>
      </c>
      <c r="T12" s="2">
        <f t="shared" si="9"/>
        <v>15.395348837209301</v>
      </c>
      <c r="U12" s="2">
        <f t="shared" si="10"/>
        <v>23.093023255813954</v>
      </c>
      <c r="V12" s="2">
        <f t="shared" si="11"/>
        <v>30.790697674418603</v>
      </c>
      <c r="W12" s="2">
        <f t="shared" si="12"/>
        <v>38.488372093023251</v>
      </c>
      <c r="X12" s="2">
        <f t="shared" si="13"/>
        <v>46.186046511627907</v>
      </c>
      <c r="Y12" s="5" t="str">
        <f t="shared" si="14"/>
        <v>1</v>
      </c>
      <c r="Z12" s="5" t="str">
        <f t="shared" si="14"/>
        <v>1</v>
      </c>
      <c r="AA12" s="5" t="str">
        <f t="shared" si="14"/>
        <v>1</v>
      </c>
      <c r="AB12" s="5" t="str">
        <f t="shared" si="14"/>
        <v>1</v>
      </c>
      <c r="AC12" s="5" t="str">
        <f t="shared" si="14"/>
        <v>1</v>
      </c>
      <c r="AD12" s="5" t="str">
        <f t="shared" si="14"/>
        <v>1</v>
      </c>
      <c r="AE12" s="5" t="str">
        <f t="shared" si="14"/>
        <v>1</v>
      </c>
    </row>
    <row r="13" spans="1:1358" ht="14.4" x14ac:dyDescent="0.3">
      <c r="A13" s="14">
        <v>10</v>
      </c>
      <c r="B13" s="24" t="s">
        <v>116</v>
      </c>
      <c r="C13" s="10">
        <v>27</v>
      </c>
      <c r="D13" s="10">
        <v>43</v>
      </c>
      <c r="E13" s="15">
        <v>365</v>
      </c>
      <c r="F13" s="19">
        <v>3.3099999999999997E-2</v>
      </c>
      <c r="G13" s="10">
        <v>1200</v>
      </c>
      <c r="H13" s="13">
        <v>0.02</v>
      </c>
      <c r="I13" s="17">
        <v>10950</v>
      </c>
      <c r="J13" s="22">
        <v>27</v>
      </c>
      <c r="K13" s="18">
        <f t="shared" si="0"/>
        <v>0.8313488372093023</v>
      </c>
      <c r="L13" s="2">
        <f t="shared" si="1"/>
        <v>0.15395348837209302</v>
      </c>
      <c r="M13" s="2">
        <f t="shared" si="2"/>
        <v>0.30790697674418605</v>
      </c>
      <c r="N13" s="2">
        <f t="shared" si="3"/>
        <v>0.4618604651162791</v>
      </c>
      <c r="O13" s="2">
        <f t="shared" si="4"/>
        <v>0.61581395348837209</v>
      </c>
      <c r="P13" s="2">
        <f t="shared" si="5"/>
        <v>0.76976744186046508</v>
      </c>
      <c r="Q13" s="2">
        <f t="shared" si="6"/>
        <v>0.92372093023255819</v>
      </c>
      <c r="R13" s="2">
        <f t="shared" si="7"/>
        <v>41.567441860465117</v>
      </c>
      <c r="S13" s="2">
        <f t="shared" si="8"/>
        <v>7.6976744186046506</v>
      </c>
      <c r="T13" s="2">
        <f t="shared" si="9"/>
        <v>15.395348837209301</v>
      </c>
      <c r="U13" s="2">
        <f t="shared" si="10"/>
        <v>23.093023255813954</v>
      </c>
      <c r="V13" s="2">
        <f t="shared" si="11"/>
        <v>30.790697674418603</v>
      </c>
      <c r="W13" s="2">
        <f t="shared" si="12"/>
        <v>38.488372093023251</v>
      </c>
      <c r="X13" s="2">
        <f t="shared" si="13"/>
        <v>46.186046511627907</v>
      </c>
      <c r="Y13" s="5" t="str">
        <f t="shared" si="14"/>
        <v>1</v>
      </c>
      <c r="Z13" s="5" t="str">
        <f t="shared" si="14"/>
        <v>1</v>
      </c>
      <c r="AA13" s="5" t="str">
        <f t="shared" si="14"/>
        <v>1</v>
      </c>
      <c r="AB13" s="5" t="str">
        <f t="shared" si="14"/>
        <v>1</v>
      </c>
      <c r="AC13" s="5" t="str">
        <f t="shared" si="14"/>
        <v>1</v>
      </c>
      <c r="AD13" s="5" t="str">
        <f t="shared" si="14"/>
        <v>1</v>
      </c>
      <c r="AE13" s="5" t="str">
        <f t="shared" si="14"/>
        <v>1</v>
      </c>
    </row>
    <row r="14" spans="1:1358" ht="14.4" x14ac:dyDescent="0.3">
      <c r="A14" s="14">
        <v>11</v>
      </c>
      <c r="B14" s="24" t="s">
        <v>134</v>
      </c>
      <c r="C14" s="10">
        <v>27</v>
      </c>
      <c r="D14" s="10">
        <v>43</v>
      </c>
      <c r="E14" s="15">
        <v>365</v>
      </c>
      <c r="F14" s="19">
        <v>3.3099999999999997E-2</v>
      </c>
      <c r="G14" s="10">
        <v>1200</v>
      </c>
      <c r="H14" s="13">
        <v>0.02</v>
      </c>
      <c r="I14" s="17">
        <v>10950</v>
      </c>
      <c r="J14" s="22">
        <v>27</v>
      </c>
      <c r="K14" s="18">
        <f t="shared" si="0"/>
        <v>0.8313488372093023</v>
      </c>
      <c r="L14" s="2">
        <f t="shared" si="1"/>
        <v>0.15395348837209302</v>
      </c>
      <c r="M14" s="2">
        <f t="shared" si="2"/>
        <v>0.30790697674418605</v>
      </c>
      <c r="N14" s="2">
        <f t="shared" si="3"/>
        <v>0.4618604651162791</v>
      </c>
      <c r="O14" s="2">
        <f t="shared" si="4"/>
        <v>0.61581395348837209</v>
      </c>
      <c r="P14" s="2">
        <f t="shared" si="5"/>
        <v>0.76976744186046508</v>
      </c>
      <c r="Q14" s="2">
        <f t="shared" si="6"/>
        <v>0.92372093023255819</v>
      </c>
      <c r="R14" s="2">
        <f t="shared" si="7"/>
        <v>41.567441860465117</v>
      </c>
      <c r="S14" s="2">
        <f t="shared" si="8"/>
        <v>7.6976744186046506</v>
      </c>
      <c r="T14" s="2">
        <f t="shared" si="9"/>
        <v>15.395348837209301</v>
      </c>
      <c r="U14" s="2">
        <f t="shared" si="10"/>
        <v>23.093023255813954</v>
      </c>
      <c r="V14" s="2">
        <f t="shared" si="11"/>
        <v>30.790697674418603</v>
      </c>
      <c r="W14" s="2">
        <f t="shared" si="12"/>
        <v>38.488372093023251</v>
      </c>
      <c r="X14" s="2">
        <f t="shared" si="13"/>
        <v>46.186046511627907</v>
      </c>
      <c r="Y14" s="5" t="str">
        <f t="shared" si="14"/>
        <v>1</v>
      </c>
      <c r="Z14" s="5" t="str">
        <f t="shared" si="14"/>
        <v>1</v>
      </c>
      <c r="AA14" s="5" t="str">
        <f t="shared" si="14"/>
        <v>1</v>
      </c>
      <c r="AB14" s="5" t="str">
        <f t="shared" si="14"/>
        <v>1</v>
      </c>
      <c r="AC14" s="5" t="str">
        <f t="shared" si="14"/>
        <v>1</v>
      </c>
      <c r="AD14" s="5" t="str">
        <f t="shared" si="14"/>
        <v>1</v>
      </c>
      <c r="AE14" s="5" t="str">
        <f t="shared" si="14"/>
        <v>1</v>
      </c>
    </row>
    <row r="15" spans="1:1358" ht="14.4" x14ac:dyDescent="0.3">
      <c r="A15" s="14">
        <v>12</v>
      </c>
      <c r="B15" s="24" t="s">
        <v>136</v>
      </c>
      <c r="C15" s="10">
        <v>27</v>
      </c>
      <c r="D15" s="10">
        <v>43</v>
      </c>
      <c r="E15" s="15">
        <v>365</v>
      </c>
      <c r="F15" s="19">
        <v>3.1399999999999997E-2</v>
      </c>
      <c r="G15" s="10">
        <v>1200</v>
      </c>
      <c r="H15" s="13">
        <v>0.02</v>
      </c>
      <c r="I15" s="17">
        <v>10950</v>
      </c>
      <c r="J15" s="22">
        <v>27</v>
      </c>
      <c r="K15" s="18">
        <f t="shared" si="0"/>
        <v>0.78865116279069769</v>
      </c>
      <c r="L15" s="2">
        <f t="shared" si="1"/>
        <v>0.14604651162790697</v>
      </c>
      <c r="M15" s="2">
        <f t="shared" si="2"/>
        <v>0.29209302325581393</v>
      </c>
      <c r="N15" s="2">
        <f t="shared" si="3"/>
        <v>0.43813953488372093</v>
      </c>
      <c r="O15" s="2">
        <f t="shared" si="4"/>
        <v>0.58418604651162787</v>
      </c>
      <c r="P15" s="2">
        <f t="shared" si="5"/>
        <v>0.73023255813953492</v>
      </c>
      <c r="Q15" s="2">
        <f t="shared" si="6"/>
        <v>0.87627906976744185</v>
      </c>
      <c r="R15" s="2">
        <f t="shared" si="7"/>
        <v>39.432558139534883</v>
      </c>
      <c r="S15" s="2">
        <f t="shared" si="8"/>
        <v>7.3023255813953485</v>
      </c>
      <c r="T15" s="2">
        <f t="shared" si="9"/>
        <v>14.604651162790697</v>
      </c>
      <c r="U15" s="2">
        <f t="shared" si="10"/>
        <v>21.906976744186046</v>
      </c>
      <c r="V15" s="2">
        <f t="shared" si="11"/>
        <v>29.209302325581394</v>
      </c>
      <c r="W15" s="2">
        <f t="shared" si="12"/>
        <v>36.511627906976742</v>
      </c>
      <c r="X15" s="2">
        <f t="shared" si="13"/>
        <v>43.813953488372093</v>
      </c>
      <c r="Y15" s="5" t="str">
        <f t="shared" si="14"/>
        <v>1</v>
      </c>
      <c r="Z15" s="5" t="str">
        <f t="shared" si="14"/>
        <v>1</v>
      </c>
      <c r="AA15" s="5" t="str">
        <f t="shared" si="14"/>
        <v>1</v>
      </c>
      <c r="AB15" s="5" t="str">
        <f t="shared" si="14"/>
        <v>1</v>
      </c>
      <c r="AC15" s="5" t="str">
        <f t="shared" si="14"/>
        <v>1</v>
      </c>
      <c r="AD15" s="5" t="str">
        <f t="shared" si="14"/>
        <v>1</v>
      </c>
      <c r="AE15" s="5" t="str">
        <f t="shared" si="14"/>
        <v>1</v>
      </c>
    </row>
    <row r="16" spans="1:1358" ht="14.4" x14ac:dyDescent="0.3">
      <c r="A16" s="14">
        <v>13</v>
      </c>
      <c r="B16" s="24" t="s">
        <v>145</v>
      </c>
      <c r="C16" s="10">
        <v>27</v>
      </c>
      <c r="D16" s="10">
        <v>65</v>
      </c>
      <c r="E16" s="15">
        <v>365</v>
      </c>
      <c r="F16" s="19">
        <v>3.1099999999999999E-2</v>
      </c>
      <c r="G16" s="10">
        <v>1200</v>
      </c>
      <c r="H16" s="13">
        <v>0.02</v>
      </c>
      <c r="I16" s="17">
        <v>10950</v>
      </c>
      <c r="J16" s="22">
        <v>27</v>
      </c>
      <c r="K16" s="18">
        <f t="shared" si="0"/>
        <v>0.51673846153846148</v>
      </c>
      <c r="L16" s="2">
        <f t="shared" si="1"/>
        <v>9.5692307692307688E-2</v>
      </c>
      <c r="M16" s="2">
        <f t="shared" si="2"/>
        <v>0.19138461538461538</v>
      </c>
      <c r="N16" s="2">
        <f t="shared" si="3"/>
        <v>0.28707692307692306</v>
      </c>
      <c r="O16" s="2">
        <f t="shared" si="4"/>
        <v>0.38276923076923075</v>
      </c>
      <c r="P16" s="2">
        <f t="shared" si="5"/>
        <v>0.47846153846153844</v>
      </c>
      <c r="Q16" s="2">
        <f t="shared" si="6"/>
        <v>0.57415384615384613</v>
      </c>
      <c r="R16" s="2">
        <f t="shared" si="7"/>
        <v>25.836923076923075</v>
      </c>
      <c r="S16" s="2">
        <f t="shared" si="8"/>
        <v>4.7846153846153845</v>
      </c>
      <c r="T16" s="2">
        <f t="shared" si="9"/>
        <v>9.569230769230769</v>
      </c>
      <c r="U16" s="2">
        <f t="shared" si="10"/>
        <v>14.353846153846153</v>
      </c>
      <c r="V16" s="2">
        <f t="shared" si="11"/>
        <v>19.138461538461538</v>
      </c>
      <c r="W16" s="2">
        <f t="shared" si="12"/>
        <v>23.92307692307692</v>
      </c>
      <c r="X16" s="2">
        <f t="shared" si="13"/>
        <v>28.707692307692305</v>
      </c>
      <c r="Y16" s="5" t="str">
        <f t="shared" si="14"/>
        <v>1</v>
      </c>
      <c r="Z16" s="5" t="str">
        <f t="shared" si="14"/>
        <v>1</v>
      </c>
      <c r="AA16" s="5" t="str">
        <f t="shared" si="14"/>
        <v>1</v>
      </c>
      <c r="AB16" s="5" t="str">
        <f t="shared" si="14"/>
        <v>1</v>
      </c>
      <c r="AC16" s="5" t="str">
        <f t="shared" si="14"/>
        <v>1</v>
      </c>
      <c r="AD16" s="5" t="str">
        <f t="shared" si="14"/>
        <v>1</v>
      </c>
      <c r="AE16" s="5" t="str">
        <f t="shared" si="14"/>
        <v>1</v>
      </c>
    </row>
    <row r="17" spans="1:31" ht="14.4" x14ac:dyDescent="0.3">
      <c r="A17" s="14">
        <v>14</v>
      </c>
      <c r="B17" s="24" t="s">
        <v>155</v>
      </c>
      <c r="C17" s="10">
        <v>27</v>
      </c>
      <c r="D17" s="10">
        <v>43</v>
      </c>
      <c r="E17" s="15">
        <v>365</v>
      </c>
      <c r="F17" s="19">
        <v>3.1099999999999999E-2</v>
      </c>
      <c r="G17" s="10">
        <v>1200</v>
      </c>
      <c r="H17" s="13">
        <v>0.02</v>
      </c>
      <c r="I17" s="17">
        <v>10950</v>
      </c>
      <c r="J17" s="22">
        <v>27</v>
      </c>
      <c r="K17" s="18">
        <f t="shared" si="0"/>
        <v>0.78111627906976744</v>
      </c>
      <c r="L17" s="2">
        <f t="shared" si="1"/>
        <v>0.14465116279069767</v>
      </c>
      <c r="M17" s="2">
        <f t="shared" si="2"/>
        <v>0.28930232558139535</v>
      </c>
      <c r="N17" s="2">
        <f t="shared" si="3"/>
        <v>0.43395348837209302</v>
      </c>
      <c r="O17" s="2">
        <f t="shared" si="4"/>
        <v>0.5786046511627907</v>
      </c>
      <c r="P17" s="2">
        <f t="shared" si="5"/>
        <v>0.72325581395348837</v>
      </c>
      <c r="Q17" s="2">
        <f t="shared" si="6"/>
        <v>0.86790697674418604</v>
      </c>
      <c r="R17" s="2">
        <f t="shared" si="7"/>
        <v>39.055813953488368</v>
      </c>
      <c r="S17" s="2">
        <f t="shared" si="8"/>
        <v>7.2325581395348832</v>
      </c>
      <c r="T17" s="2">
        <f t="shared" si="9"/>
        <v>14.465116279069766</v>
      </c>
      <c r="U17" s="2">
        <f t="shared" si="10"/>
        <v>21.697674418604649</v>
      </c>
      <c r="V17" s="2">
        <f t="shared" si="11"/>
        <v>28.930232558139533</v>
      </c>
      <c r="W17" s="2">
        <f t="shared" si="12"/>
        <v>36.162790697674417</v>
      </c>
      <c r="X17" s="2">
        <f t="shared" si="13"/>
        <v>43.395348837209298</v>
      </c>
      <c r="Y17" s="5" t="str">
        <f t="shared" si="14"/>
        <v>1</v>
      </c>
      <c r="Z17" s="5" t="str">
        <f t="shared" si="14"/>
        <v>1</v>
      </c>
      <c r="AA17" s="5" t="str">
        <f t="shared" si="14"/>
        <v>1</v>
      </c>
      <c r="AB17" s="5" t="str">
        <f t="shared" si="14"/>
        <v>1</v>
      </c>
      <c r="AC17" s="5" t="str">
        <f t="shared" si="14"/>
        <v>1</v>
      </c>
      <c r="AD17" s="5" t="str">
        <f t="shared" si="14"/>
        <v>1</v>
      </c>
      <c r="AE17" s="5" t="str">
        <f t="shared" si="14"/>
        <v>1</v>
      </c>
    </row>
    <row r="18" spans="1:31" ht="14.4" x14ac:dyDescent="0.3">
      <c r="A18" s="14">
        <v>15</v>
      </c>
      <c r="B18" s="24" t="s">
        <v>105</v>
      </c>
      <c r="C18" s="10">
        <v>28</v>
      </c>
      <c r="D18" s="10">
        <v>70</v>
      </c>
      <c r="E18" s="15">
        <v>365</v>
      </c>
      <c r="F18" s="19">
        <v>3.61E-2</v>
      </c>
      <c r="G18" s="10">
        <v>900</v>
      </c>
      <c r="H18" s="13">
        <v>0.02</v>
      </c>
      <c r="I18" s="17">
        <v>10950</v>
      </c>
      <c r="J18" s="22">
        <v>28</v>
      </c>
      <c r="K18" s="18">
        <f t="shared" si="0"/>
        <v>0.43319999999999997</v>
      </c>
      <c r="L18" s="2">
        <f t="shared" si="1"/>
        <v>7.735714285714286E-2</v>
      </c>
      <c r="M18" s="2">
        <f t="shared" si="2"/>
        <v>0.15471428571428572</v>
      </c>
      <c r="N18" s="2">
        <f t="shared" si="3"/>
        <v>0.23207142857142857</v>
      </c>
      <c r="O18" s="2">
        <f t="shared" si="4"/>
        <v>0.30942857142857144</v>
      </c>
      <c r="P18" s="2">
        <f t="shared" si="5"/>
        <v>0.38678571428571429</v>
      </c>
      <c r="Q18" s="2">
        <f t="shared" si="6"/>
        <v>0.46414285714285713</v>
      </c>
      <c r="R18" s="2">
        <f t="shared" si="7"/>
        <v>21.659999999999997</v>
      </c>
      <c r="S18" s="2">
        <f t="shared" si="8"/>
        <v>3.8678571428571429</v>
      </c>
      <c r="T18" s="2">
        <f t="shared" si="9"/>
        <v>7.7357142857142858</v>
      </c>
      <c r="U18" s="2">
        <f t="shared" si="10"/>
        <v>11.603571428571428</v>
      </c>
      <c r="V18" s="2">
        <f t="shared" si="11"/>
        <v>15.471428571428572</v>
      </c>
      <c r="W18" s="2">
        <f t="shared" si="12"/>
        <v>19.339285714285715</v>
      </c>
      <c r="X18" s="2">
        <f t="shared" si="13"/>
        <v>23.207142857142856</v>
      </c>
      <c r="Y18" s="5" t="str">
        <f t="shared" si="14"/>
        <v>1</v>
      </c>
      <c r="Z18" s="5" t="str">
        <f t="shared" si="14"/>
        <v>1</v>
      </c>
      <c r="AA18" s="5" t="str">
        <f t="shared" si="14"/>
        <v>1</v>
      </c>
      <c r="AB18" s="5" t="str">
        <f t="shared" si="14"/>
        <v>1</v>
      </c>
      <c r="AC18" s="5" t="str">
        <f t="shared" si="14"/>
        <v>1</v>
      </c>
      <c r="AD18" s="5" t="str">
        <f t="shared" si="14"/>
        <v>1</v>
      </c>
      <c r="AE18" s="5" t="str">
        <f t="shared" si="14"/>
        <v>1</v>
      </c>
    </row>
    <row r="19" spans="1:31" ht="14.4" x14ac:dyDescent="0.3">
      <c r="A19" s="14">
        <v>16</v>
      </c>
      <c r="B19" s="24" t="s">
        <v>149</v>
      </c>
      <c r="C19" s="10">
        <v>28</v>
      </c>
      <c r="D19" s="10">
        <v>70</v>
      </c>
      <c r="E19" s="15">
        <v>365</v>
      </c>
      <c r="F19" s="19">
        <v>3.4599999999999999E-2</v>
      </c>
      <c r="G19" s="10">
        <v>900</v>
      </c>
      <c r="H19" s="13">
        <v>0.02</v>
      </c>
      <c r="I19" s="17">
        <v>10950</v>
      </c>
      <c r="J19" s="22">
        <v>28</v>
      </c>
      <c r="K19" s="18">
        <f t="shared" si="0"/>
        <v>0.41519999999999996</v>
      </c>
      <c r="L19" s="2">
        <f t="shared" si="1"/>
        <v>7.4142857142857149E-2</v>
      </c>
      <c r="M19" s="2">
        <f t="shared" si="2"/>
        <v>0.1482857142857143</v>
      </c>
      <c r="N19" s="2">
        <f t="shared" si="3"/>
        <v>0.22242857142857142</v>
      </c>
      <c r="O19" s="2">
        <f t="shared" si="4"/>
        <v>0.2965714285714286</v>
      </c>
      <c r="P19" s="2">
        <f t="shared" si="5"/>
        <v>0.37071428571428572</v>
      </c>
      <c r="Q19" s="2">
        <f t="shared" si="6"/>
        <v>0.44485714285714284</v>
      </c>
      <c r="R19" s="2">
        <f t="shared" si="7"/>
        <v>20.759999999999998</v>
      </c>
      <c r="S19" s="2">
        <f t="shared" si="8"/>
        <v>3.7071428571428573</v>
      </c>
      <c r="T19" s="2">
        <f t="shared" si="9"/>
        <v>7.4142857142857146</v>
      </c>
      <c r="U19" s="2">
        <f t="shared" si="10"/>
        <v>11.12142857142857</v>
      </c>
      <c r="V19" s="2">
        <f t="shared" si="11"/>
        <v>14.828571428571429</v>
      </c>
      <c r="W19" s="2">
        <f t="shared" si="12"/>
        <v>18.535714285714285</v>
      </c>
      <c r="X19" s="2">
        <f t="shared" si="13"/>
        <v>22.24285714285714</v>
      </c>
      <c r="Y19" s="5" t="str">
        <f t="shared" si="14"/>
        <v>1</v>
      </c>
      <c r="Z19" s="5" t="str">
        <f t="shared" si="14"/>
        <v>1</v>
      </c>
      <c r="AA19" s="5" t="str">
        <f t="shared" si="14"/>
        <v>1</v>
      </c>
      <c r="AB19" s="5" t="str">
        <f t="shared" si="14"/>
        <v>1</v>
      </c>
      <c r="AC19" s="5" t="str">
        <f t="shared" si="14"/>
        <v>1</v>
      </c>
      <c r="AD19" s="5" t="str">
        <f t="shared" si="14"/>
        <v>1</v>
      </c>
      <c r="AE19" s="5" t="str">
        <f t="shared" si="14"/>
        <v>1</v>
      </c>
    </row>
    <row r="20" spans="1:31" s="35" customFormat="1" ht="14.4" x14ac:dyDescent="0.3">
      <c r="A20" s="36">
        <v>17</v>
      </c>
      <c r="B20" s="28" t="s">
        <v>110</v>
      </c>
      <c r="C20" s="29">
        <v>29</v>
      </c>
      <c r="D20" s="29">
        <v>69</v>
      </c>
      <c r="E20" s="37">
        <v>365</v>
      </c>
      <c r="F20" s="38">
        <v>3.2500000000000001E-2</v>
      </c>
      <c r="G20" s="29">
        <v>1200</v>
      </c>
      <c r="H20" s="39">
        <v>0.02</v>
      </c>
      <c r="I20" s="40">
        <v>10950</v>
      </c>
      <c r="J20" s="26">
        <v>30</v>
      </c>
      <c r="K20" s="32">
        <f t="shared" si="0"/>
        <v>0.56521739130434778</v>
      </c>
      <c r="L20" s="33">
        <f t="shared" si="1"/>
        <v>9.420289855072464E-2</v>
      </c>
      <c r="M20" s="33">
        <f t="shared" si="2"/>
        <v>0.18840579710144928</v>
      </c>
      <c r="N20" s="33">
        <f t="shared" si="3"/>
        <v>0.28260869565217389</v>
      </c>
      <c r="O20" s="33">
        <f t="shared" si="4"/>
        <v>0.37681159420289856</v>
      </c>
      <c r="P20" s="33">
        <f t="shared" si="5"/>
        <v>0.47101449275362317</v>
      </c>
      <c r="Q20" s="33">
        <f t="shared" si="6"/>
        <v>0.56521739130434778</v>
      </c>
      <c r="R20" s="33">
        <f t="shared" si="7"/>
        <v>28.260869565217387</v>
      </c>
      <c r="S20" s="33">
        <f t="shared" si="8"/>
        <v>4.7101449275362315</v>
      </c>
      <c r="T20" s="33">
        <f t="shared" si="9"/>
        <v>9.420289855072463</v>
      </c>
      <c r="U20" s="33">
        <f t="shared" si="10"/>
        <v>14.130434782608694</v>
      </c>
      <c r="V20" s="33">
        <f t="shared" si="11"/>
        <v>18.840579710144926</v>
      </c>
      <c r="W20" s="33">
        <f t="shared" si="12"/>
        <v>23.550724637681157</v>
      </c>
      <c r="X20" s="33">
        <f t="shared" si="13"/>
        <v>28.260869565217387</v>
      </c>
      <c r="Y20" s="34" t="str">
        <f t="shared" si="14"/>
        <v>1</v>
      </c>
      <c r="Z20" s="34" t="str">
        <f t="shared" si="14"/>
        <v>1</v>
      </c>
      <c r="AA20" s="34" t="str">
        <f t="shared" si="14"/>
        <v>1</v>
      </c>
      <c r="AB20" s="34" t="str">
        <f t="shared" si="14"/>
        <v>1</v>
      </c>
      <c r="AC20" s="34" t="str">
        <f t="shared" si="14"/>
        <v>1</v>
      </c>
      <c r="AD20" s="34" t="str">
        <f t="shared" si="14"/>
        <v>1</v>
      </c>
      <c r="AE20" s="34" t="str">
        <f t="shared" si="14"/>
        <v>1</v>
      </c>
    </row>
    <row r="21" spans="1:31" s="35" customFormat="1" ht="14.4" x14ac:dyDescent="0.3">
      <c r="A21" s="36">
        <v>18</v>
      </c>
      <c r="B21" s="28" t="s">
        <v>197</v>
      </c>
      <c r="C21" s="29">
        <v>29</v>
      </c>
      <c r="D21" s="29">
        <v>69</v>
      </c>
      <c r="E21" s="37">
        <v>365</v>
      </c>
      <c r="F21" s="38">
        <v>3.2500000000000001E-2</v>
      </c>
      <c r="G21" s="29">
        <v>1200</v>
      </c>
      <c r="H21" s="39">
        <v>0.02</v>
      </c>
      <c r="I21" s="40">
        <v>10950</v>
      </c>
      <c r="J21" s="26">
        <v>30</v>
      </c>
      <c r="K21" s="32">
        <f t="shared" si="0"/>
        <v>0.56521739130434778</v>
      </c>
      <c r="L21" s="33">
        <f t="shared" si="1"/>
        <v>9.420289855072464E-2</v>
      </c>
      <c r="M21" s="33">
        <f t="shared" si="2"/>
        <v>0.18840579710144928</v>
      </c>
      <c r="N21" s="33">
        <f t="shared" si="3"/>
        <v>0.28260869565217389</v>
      </c>
      <c r="O21" s="33">
        <f t="shared" si="4"/>
        <v>0.37681159420289856</v>
      </c>
      <c r="P21" s="33">
        <f t="shared" si="5"/>
        <v>0.47101449275362317</v>
      </c>
      <c r="Q21" s="33">
        <f t="shared" si="6"/>
        <v>0.56521739130434778</v>
      </c>
      <c r="R21" s="33">
        <f t="shared" si="7"/>
        <v>28.260869565217387</v>
      </c>
      <c r="S21" s="33">
        <f t="shared" si="8"/>
        <v>4.7101449275362315</v>
      </c>
      <c r="T21" s="33">
        <f t="shared" si="9"/>
        <v>9.420289855072463</v>
      </c>
      <c r="U21" s="33">
        <f t="shared" si="10"/>
        <v>14.130434782608694</v>
      </c>
      <c r="V21" s="33">
        <f t="shared" si="11"/>
        <v>18.840579710144926</v>
      </c>
      <c r="W21" s="33">
        <f t="shared" si="12"/>
        <v>23.550724637681157</v>
      </c>
      <c r="X21" s="33">
        <f t="shared" si="13"/>
        <v>28.260869565217387</v>
      </c>
      <c r="Y21" s="34" t="str">
        <f t="shared" si="14"/>
        <v>1</v>
      </c>
      <c r="Z21" s="34" t="str">
        <f t="shared" si="14"/>
        <v>1</v>
      </c>
      <c r="AA21" s="34" t="str">
        <f t="shared" si="14"/>
        <v>1</v>
      </c>
      <c r="AB21" s="34" t="str">
        <f t="shared" si="14"/>
        <v>1</v>
      </c>
      <c r="AC21" s="34" t="str">
        <f t="shared" si="14"/>
        <v>1</v>
      </c>
      <c r="AD21" s="34" t="str">
        <f t="shared" si="14"/>
        <v>1</v>
      </c>
      <c r="AE21" s="34" t="str">
        <f t="shared" si="14"/>
        <v>1</v>
      </c>
    </row>
    <row r="22" spans="1:31" ht="14.4" x14ac:dyDescent="0.3">
      <c r="A22" s="14">
        <v>19</v>
      </c>
      <c r="B22" s="24" t="s">
        <v>113</v>
      </c>
      <c r="C22" s="10">
        <v>30</v>
      </c>
      <c r="D22" s="10">
        <v>58</v>
      </c>
      <c r="E22" s="15">
        <v>365</v>
      </c>
      <c r="F22" s="19">
        <v>3.3099999999999997E-2</v>
      </c>
      <c r="G22" s="10">
        <v>1200</v>
      </c>
      <c r="H22" s="13">
        <v>0.02</v>
      </c>
      <c r="I22" s="17">
        <v>10950</v>
      </c>
      <c r="J22" s="22">
        <v>30</v>
      </c>
      <c r="K22" s="18">
        <f t="shared" si="0"/>
        <v>0.68482758620689654</v>
      </c>
      <c r="L22" s="2">
        <f t="shared" si="1"/>
        <v>0.11413793103448276</v>
      </c>
      <c r="M22" s="2">
        <f t="shared" si="2"/>
        <v>0.22827586206896552</v>
      </c>
      <c r="N22" s="2">
        <f t="shared" si="3"/>
        <v>0.34241379310344827</v>
      </c>
      <c r="O22" s="2">
        <f t="shared" si="4"/>
        <v>0.45655172413793105</v>
      </c>
      <c r="P22" s="2">
        <f t="shared" si="5"/>
        <v>0.57068965517241377</v>
      </c>
      <c r="Q22" s="2">
        <f t="shared" si="6"/>
        <v>0.68482758620689654</v>
      </c>
      <c r="R22" s="2">
        <f t="shared" si="7"/>
        <v>34.241379310344826</v>
      </c>
      <c r="S22" s="2">
        <f t="shared" si="8"/>
        <v>5.7068965517241379</v>
      </c>
      <c r="T22" s="2">
        <f t="shared" si="9"/>
        <v>11.413793103448276</v>
      </c>
      <c r="U22" s="2">
        <f t="shared" si="10"/>
        <v>17.120689655172413</v>
      </c>
      <c r="V22" s="2">
        <f t="shared" si="11"/>
        <v>22.827586206896552</v>
      </c>
      <c r="W22" s="2">
        <f t="shared" si="12"/>
        <v>28.534482758620687</v>
      </c>
      <c r="X22" s="2">
        <f t="shared" si="13"/>
        <v>34.241379310344826</v>
      </c>
      <c r="Y22" s="5" t="str">
        <f t="shared" si="14"/>
        <v>1</v>
      </c>
      <c r="Z22" s="5" t="str">
        <f t="shared" si="14"/>
        <v>1</v>
      </c>
      <c r="AA22" s="5" t="str">
        <f t="shared" si="14"/>
        <v>1</v>
      </c>
      <c r="AB22" s="5" t="str">
        <f t="shared" si="14"/>
        <v>1</v>
      </c>
      <c r="AC22" s="5" t="str">
        <f t="shared" si="14"/>
        <v>1</v>
      </c>
      <c r="AD22" s="5" t="str">
        <f t="shared" si="14"/>
        <v>1</v>
      </c>
      <c r="AE22" s="5" t="str">
        <f t="shared" si="14"/>
        <v>1</v>
      </c>
    </row>
    <row r="23" spans="1:31" ht="14.4" x14ac:dyDescent="0.3">
      <c r="A23" s="14">
        <v>20</v>
      </c>
      <c r="B23" s="24" t="s">
        <v>157</v>
      </c>
      <c r="C23" s="10">
        <v>30</v>
      </c>
      <c r="D23" s="10">
        <v>62</v>
      </c>
      <c r="E23" s="15">
        <v>365</v>
      </c>
      <c r="F23" s="19">
        <v>4.99E-2</v>
      </c>
      <c r="G23" s="10">
        <v>900</v>
      </c>
      <c r="H23" s="13">
        <v>0.02</v>
      </c>
      <c r="I23" s="17">
        <v>10950</v>
      </c>
      <c r="J23" s="22">
        <v>30</v>
      </c>
      <c r="K23" s="18">
        <f t="shared" si="0"/>
        <v>0.72435483870967732</v>
      </c>
      <c r="L23" s="2">
        <f t="shared" si="1"/>
        <v>0.12072580645161288</v>
      </c>
      <c r="M23" s="2">
        <f t="shared" si="2"/>
        <v>0.24145161290322575</v>
      </c>
      <c r="N23" s="2">
        <f t="shared" si="3"/>
        <v>0.36217741935483866</v>
      </c>
      <c r="O23" s="2">
        <f t="shared" si="4"/>
        <v>0.48290322580645151</v>
      </c>
      <c r="P23" s="2">
        <f t="shared" si="5"/>
        <v>0.60362903225806441</v>
      </c>
      <c r="Q23" s="2">
        <f t="shared" si="6"/>
        <v>0.72435483870967732</v>
      </c>
      <c r="R23" s="2">
        <f t="shared" si="7"/>
        <v>36.217741935483865</v>
      </c>
      <c r="S23" s="2">
        <f t="shared" si="8"/>
        <v>6.0362903225806441</v>
      </c>
      <c r="T23" s="2">
        <f t="shared" si="9"/>
        <v>12.072580645161288</v>
      </c>
      <c r="U23" s="2">
        <f t="shared" si="10"/>
        <v>18.108870967741932</v>
      </c>
      <c r="V23" s="2">
        <f t="shared" si="11"/>
        <v>24.145161290322577</v>
      </c>
      <c r="W23" s="2">
        <f t="shared" si="12"/>
        <v>30.181451612903221</v>
      </c>
      <c r="X23" s="2">
        <f t="shared" si="13"/>
        <v>36.217741935483865</v>
      </c>
      <c r="Y23" s="5" t="str">
        <f t="shared" si="14"/>
        <v>1</v>
      </c>
      <c r="Z23" s="5" t="str">
        <f t="shared" si="14"/>
        <v>1</v>
      </c>
      <c r="AA23" s="5" t="str">
        <f t="shared" si="14"/>
        <v>1</v>
      </c>
      <c r="AB23" s="5" t="str">
        <f t="shared" si="14"/>
        <v>1</v>
      </c>
      <c r="AC23" s="5" t="str">
        <f t="shared" si="14"/>
        <v>1</v>
      </c>
      <c r="AD23" s="5" t="str">
        <f t="shared" si="14"/>
        <v>1</v>
      </c>
      <c r="AE23" s="5" t="str">
        <f t="shared" si="14"/>
        <v>1</v>
      </c>
    </row>
    <row r="24" spans="1:31" ht="14.4" x14ac:dyDescent="0.3">
      <c r="A24" s="14">
        <v>21</v>
      </c>
      <c r="B24" s="24" t="s">
        <v>158</v>
      </c>
      <c r="C24" s="10">
        <v>30</v>
      </c>
      <c r="D24" s="10">
        <v>70</v>
      </c>
      <c r="E24" s="15">
        <v>365</v>
      </c>
      <c r="F24" s="19">
        <v>3.9100000000000003E-2</v>
      </c>
      <c r="G24" s="10">
        <v>900</v>
      </c>
      <c r="H24" s="13">
        <v>0.02</v>
      </c>
      <c r="I24" s="17">
        <v>10950</v>
      </c>
      <c r="J24" s="22">
        <v>15</v>
      </c>
      <c r="K24" s="18">
        <f t="shared" si="0"/>
        <v>0.25135714285714289</v>
      </c>
      <c r="L24" s="2">
        <f t="shared" si="1"/>
        <v>8.3785714285714311E-2</v>
      </c>
      <c r="M24" s="2">
        <f t="shared" si="2"/>
        <v>0.16757142857142862</v>
      </c>
      <c r="N24" s="2">
        <f t="shared" si="3"/>
        <v>0.25135714285714289</v>
      </c>
      <c r="O24" s="2">
        <f t="shared" si="4"/>
        <v>0.33514285714285724</v>
      </c>
      <c r="P24" s="2">
        <f t="shared" si="5"/>
        <v>0.41892857142857148</v>
      </c>
      <c r="Q24" s="2">
        <f t="shared" si="6"/>
        <v>0.50271428571428578</v>
      </c>
      <c r="R24" s="2">
        <f t="shared" si="7"/>
        <v>12.567857142857145</v>
      </c>
      <c r="S24" s="2">
        <f t="shared" si="8"/>
        <v>4.1892857142857158</v>
      </c>
      <c r="T24" s="2">
        <f t="shared" si="9"/>
        <v>8.3785714285714317</v>
      </c>
      <c r="U24" s="2">
        <f t="shared" si="10"/>
        <v>12.567857142857145</v>
      </c>
      <c r="V24" s="2">
        <f t="shared" si="11"/>
        <v>16.757142857142863</v>
      </c>
      <c r="W24" s="2">
        <f t="shared" si="12"/>
        <v>20.946428571428573</v>
      </c>
      <c r="X24" s="2">
        <f t="shared" si="13"/>
        <v>25.13571428571429</v>
      </c>
      <c r="Y24" s="5" t="str">
        <f t="shared" si="14"/>
        <v>1</v>
      </c>
      <c r="Z24" s="5" t="str">
        <f t="shared" si="14"/>
        <v>1</v>
      </c>
      <c r="AA24" s="5" t="str">
        <f t="shared" si="14"/>
        <v>1</v>
      </c>
      <c r="AB24" s="5" t="str">
        <f t="shared" si="14"/>
        <v>1</v>
      </c>
      <c r="AC24" s="5" t="str">
        <f t="shared" si="14"/>
        <v>1</v>
      </c>
      <c r="AD24" s="5" t="str">
        <f t="shared" si="14"/>
        <v>1</v>
      </c>
      <c r="AE24" s="5" t="str">
        <f t="shared" si="14"/>
        <v>1</v>
      </c>
    </row>
    <row r="25" spans="1:31" ht="14.4" x14ac:dyDescent="0.3">
      <c r="A25" s="14">
        <v>22</v>
      </c>
      <c r="B25" s="24" t="s">
        <v>113</v>
      </c>
      <c r="C25" s="10">
        <v>30</v>
      </c>
      <c r="D25" s="10">
        <v>58</v>
      </c>
      <c r="E25" s="15">
        <v>365</v>
      </c>
      <c r="F25" s="19">
        <v>3.9100000000000003E-2</v>
      </c>
      <c r="G25" s="10">
        <v>1200</v>
      </c>
      <c r="H25" s="13">
        <v>0.02</v>
      </c>
      <c r="I25" s="17">
        <v>10950</v>
      </c>
      <c r="J25" s="22">
        <v>30</v>
      </c>
      <c r="K25" s="18">
        <f t="shared" si="0"/>
        <v>0.80896551724137933</v>
      </c>
      <c r="L25" s="2">
        <f t="shared" si="1"/>
        <v>0.13482758620689655</v>
      </c>
      <c r="M25" s="2">
        <f t="shared" si="2"/>
        <v>0.26965517241379311</v>
      </c>
      <c r="N25" s="2">
        <f t="shared" si="3"/>
        <v>0.40448275862068966</v>
      </c>
      <c r="O25" s="2">
        <f t="shared" si="4"/>
        <v>0.53931034482758622</v>
      </c>
      <c r="P25" s="2">
        <f t="shared" si="5"/>
        <v>0.67413793103448272</v>
      </c>
      <c r="Q25" s="2">
        <f t="shared" si="6"/>
        <v>0.80896551724137933</v>
      </c>
      <c r="R25" s="2">
        <f t="shared" si="7"/>
        <v>40.448275862068968</v>
      </c>
      <c r="S25" s="2">
        <f t="shared" si="8"/>
        <v>6.7413793103448274</v>
      </c>
      <c r="T25" s="2">
        <f t="shared" si="9"/>
        <v>13.482758620689655</v>
      </c>
      <c r="U25" s="2">
        <f t="shared" si="10"/>
        <v>20.224137931034484</v>
      </c>
      <c r="V25" s="2">
        <f t="shared" si="11"/>
        <v>26.96551724137931</v>
      </c>
      <c r="W25" s="2">
        <f t="shared" si="12"/>
        <v>33.706896551724135</v>
      </c>
      <c r="X25" s="2">
        <f t="shared" si="13"/>
        <v>40.448275862068968</v>
      </c>
      <c r="Y25" s="5" t="str">
        <f t="shared" si="14"/>
        <v>1</v>
      </c>
      <c r="Z25" s="5" t="str">
        <f t="shared" si="14"/>
        <v>1</v>
      </c>
      <c r="AA25" s="5" t="str">
        <f t="shared" si="14"/>
        <v>1</v>
      </c>
      <c r="AB25" s="5" t="str">
        <f t="shared" si="14"/>
        <v>1</v>
      </c>
      <c r="AC25" s="5" t="str">
        <f t="shared" si="14"/>
        <v>1</v>
      </c>
      <c r="AD25" s="5" t="str">
        <f t="shared" si="14"/>
        <v>1</v>
      </c>
      <c r="AE25" s="5" t="str">
        <f t="shared" si="14"/>
        <v>1</v>
      </c>
    </row>
    <row r="26" spans="1:31" ht="14.4" x14ac:dyDescent="0.3">
      <c r="A26" s="14">
        <v>23</v>
      </c>
      <c r="B26" s="24" t="s">
        <v>129</v>
      </c>
      <c r="C26" s="10">
        <v>30</v>
      </c>
      <c r="D26" s="10">
        <v>70</v>
      </c>
      <c r="E26" s="15">
        <v>365</v>
      </c>
      <c r="F26" s="19">
        <v>4.1200000000000001E-2</v>
      </c>
      <c r="G26" s="10">
        <v>900</v>
      </c>
      <c r="H26" s="13">
        <v>0.02</v>
      </c>
      <c r="I26" s="17">
        <v>10950</v>
      </c>
      <c r="J26" s="22">
        <v>15</v>
      </c>
      <c r="K26" s="18">
        <f t="shared" si="0"/>
        <v>0.26485714285714285</v>
      </c>
      <c r="L26" s="2">
        <f t="shared" si="1"/>
        <v>8.8285714285714287E-2</v>
      </c>
      <c r="M26" s="2">
        <f t="shared" si="2"/>
        <v>0.17657142857142857</v>
      </c>
      <c r="N26" s="2">
        <f t="shared" si="3"/>
        <v>0.26485714285714285</v>
      </c>
      <c r="O26" s="2">
        <f t="shared" si="4"/>
        <v>0.35314285714285715</v>
      </c>
      <c r="P26" s="2">
        <f t="shared" si="5"/>
        <v>0.44142857142857145</v>
      </c>
      <c r="Q26" s="2">
        <f t="shared" si="6"/>
        <v>0.52971428571428569</v>
      </c>
      <c r="R26" s="2">
        <f t="shared" si="7"/>
        <v>13.242857142857142</v>
      </c>
      <c r="S26" s="2">
        <f t="shared" si="8"/>
        <v>4.4142857142857146</v>
      </c>
      <c r="T26" s="2">
        <f t="shared" si="9"/>
        <v>8.8285714285714292</v>
      </c>
      <c r="U26" s="2">
        <f t="shared" si="10"/>
        <v>13.242857142857142</v>
      </c>
      <c r="V26" s="2">
        <f t="shared" si="11"/>
        <v>17.657142857142858</v>
      </c>
      <c r="W26" s="2">
        <f t="shared" si="12"/>
        <v>22.071428571428573</v>
      </c>
      <c r="X26" s="2">
        <f t="shared" si="13"/>
        <v>26.485714285714284</v>
      </c>
      <c r="Y26" s="5" t="str">
        <f t="shared" si="14"/>
        <v>1</v>
      </c>
      <c r="Z26" s="5" t="str">
        <f t="shared" si="14"/>
        <v>1</v>
      </c>
      <c r="AA26" s="5" t="str">
        <f t="shared" si="14"/>
        <v>1</v>
      </c>
      <c r="AB26" s="5" t="str">
        <f t="shared" si="14"/>
        <v>1</v>
      </c>
      <c r="AC26" s="5" t="str">
        <f t="shared" si="14"/>
        <v>1</v>
      </c>
      <c r="AD26" s="5" t="str">
        <f t="shared" si="14"/>
        <v>1</v>
      </c>
      <c r="AE26" s="5" t="str">
        <f t="shared" si="14"/>
        <v>1</v>
      </c>
    </row>
    <row r="27" spans="1:31" ht="14.4" x14ac:dyDescent="0.3">
      <c r="A27" s="14">
        <v>24</v>
      </c>
      <c r="B27" s="24" t="s">
        <v>154</v>
      </c>
      <c r="C27" s="10">
        <v>30</v>
      </c>
      <c r="D27" s="10">
        <v>58</v>
      </c>
      <c r="E27" s="15">
        <v>365</v>
      </c>
      <c r="F27" s="19">
        <v>4.1200000000000001E-2</v>
      </c>
      <c r="G27" s="10">
        <v>1200</v>
      </c>
      <c r="H27" s="13">
        <v>0.02</v>
      </c>
      <c r="I27" s="17">
        <v>10950</v>
      </c>
      <c r="J27" s="22">
        <v>30</v>
      </c>
      <c r="K27" s="18">
        <f t="shared" si="0"/>
        <v>0.85241379310344823</v>
      </c>
      <c r="L27" s="2">
        <f t="shared" si="1"/>
        <v>0.14206896551724138</v>
      </c>
      <c r="M27" s="2">
        <f t="shared" si="2"/>
        <v>0.28413793103448276</v>
      </c>
      <c r="N27" s="2">
        <f t="shared" si="3"/>
        <v>0.42620689655172411</v>
      </c>
      <c r="O27" s="2">
        <f t="shared" si="4"/>
        <v>0.56827586206896552</v>
      </c>
      <c r="P27" s="2">
        <f t="shared" si="5"/>
        <v>0.71034482758620676</v>
      </c>
      <c r="Q27" s="2">
        <f t="shared" si="6"/>
        <v>0.85241379310344823</v>
      </c>
      <c r="R27" s="2">
        <f t="shared" si="7"/>
        <v>42.620689655172413</v>
      </c>
      <c r="S27" s="2">
        <f t="shared" si="8"/>
        <v>7.1034482758620685</v>
      </c>
      <c r="T27" s="2">
        <f t="shared" si="9"/>
        <v>14.206896551724137</v>
      </c>
      <c r="U27" s="2">
        <f t="shared" si="10"/>
        <v>21.310344827586206</v>
      </c>
      <c r="V27" s="2">
        <f t="shared" si="11"/>
        <v>28.413793103448274</v>
      </c>
      <c r="W27" s="2">
        <f t="shared" si="12"/>
        <v>35.517241379310335</v>
      </c>
      <c r="X27" s="2">
        <f t="shared" si="13"/>
        <v>42.620689655172413</v>
      </c>
      <c r="Y27" s="5" t="str">
        <f t="shared" si="14"/>
        <v>1</v>
      </c>
      <c r="Z27" s="5" t="str">
        <f t="shared" si="14"/>
        <v>1</v>
      </c>
      <c r="AA27" s="5" t="str">
        <f t="shared" si="14"/>
        <v>1</v>
      </c>
      <c r="AB27" s="5" t="str">
        <f t="shared" si="14"/>
        <v>1</v>
      </c>
      <c r="AC27" s="5" t="str">
        <f t="shared" si="14"/>
        <v>1</v>
      </c>
      <c r="AD27" s="5" t="str">
        <f t="shared" si="14"/>
        <v>1</v>
      </c>
      <c r="AE27" s="5" t="str">
        <f t="shared" si="14"/>
        <v>1</v>
      </c>
    </row>
    <row r="28" spans="1:31" ht="14.4" x14ac:dyDescent="0.3">
      <c r="A28" s="14">
        <v>25</v>
      </c>
      <c r="B28" s="24" t="s">
        <v>138</v>
      </c>
      <c r="C28" s="10">
        <v>32</v>
      </c>
      <c r="D28" s="10">
        <v>40</v>
      </c>
      <c r="E28" s="15">
        <v>365</v>
      </c>
      <c r="F28" s="19">
        <v>4.1200000000000001E-2</v>
      </c>
      <c r="G28" s="10">
        <v>900</v>
      </c>
      <c r="H28" s="13">
        <v>0.02</v>
      </c>
      <c r="I28" s="17">
        <v>10950</v>
      </c>
      <c r="J28" s="22">
        <v>22</v>
      </c>
      <c r="K28" s="18">
        <f t="shared" si="0"/>
        <v>0.67979999999999996</v>
      </c>
      <c r="L28" s="2">
        <f t="shared" si="1"/>
        <v>0.1545</v>
      </c>
      <c r="M28" s="2">
        <f t="shared" si="2"/>
        <v>0.309</v>
      </c>
      <c r="N28" s="2">
        <f t="shared" si="3"/>
        <v>0.46349999999999991</v>
      </c>
      <c r="O28" s="2">
        <f t="shared" si="4"/>
        <v>0.61799999999999999</v>
      </c>
      <c r="P28" s="2">
        <f t="shared" si="5"/>
        <v>0.77249999999999996</v>
      </c>
      <c r="Q28" s="2">
        <f t="shared" si="6"/>
        <v>0.92699999999999982</v>
      </c>
      <c r="R28" s="2">
        <f t="shared" si="7"/>
        <v>33.989999999999995</v>
      </c>
      <c r="S28" s="2">
        <f t="shared" si="8"/>
        <v>7.7249999999999996</v>
      </c>
      <c r="T28" s="2">
        <f t="shared" si="9"/>
        <v>15.45</v>
      </c>
      <c r="U28" s="2">
        <f t="shared" si="10"/>
        <v>23.174999999999994</v>
      </c>
      <c r="V28" s="2">
        <f t="shared" si="11"/>
        <v>30.9</v>
      </c>
      <c r="W28" s="2">
        <f t="shared" si="12"/>
        <v>38.625</v>
      </c>
      <c r="X28" s="2">
        <f t="shared" si="13"/>
        <v>46.349999999999987</v>
      </c>
      <c r="Y28" s="5" t="str">
        <f t="shared" si="14"/>
        <v>1</v>
      </c>
      <c r="Z28" s="5" t="str">
        <f t="shared" si="14"/>
        <v>1</v>
      </c>
      <c r="AA28" s="5" t="str">
        <f t="shared" si="14"/>
        <v>1</v>
      </c>
      <c r="AB28" s="5" t="str">
        <f t="shared" si="14"/>
        <v>1</v>
      </c>
      <c r="AC28" s="5" t="str">
        <f t="shared" si="14"/>
        <v>1</v>
      </c>
      <c r="AD28" s="5" t="str">
        <f t="shared" si="14"/>
        <v>1</v>
      </c>
      <c r="AE28" s="5" t="str">
        <f t="shared" si="14"/>
        <v>1</v>
      </c>
    </row>
    <row r="29" spans="1:31" ht="14.4" x14ac:dyDescent="0.3">
      <c r="A29" s="14">
        <v>26</v>
      </c>
      <c r="B29" s="24" t="s">
        <v>159</v>
      </c>
      <c r="C29" s="10">
        <v>32</v>
      </c>
      <c r="D29" s="10">
        <v>39</v>
      </c>
      <c r="E29" s="15">
        <v>365</v>
      </c>
      <c r="F29" s="19">
        <v>4.1200000000000001E-2</v>
      </c>
      <c r="G29" s="10">
        <v>900</v>
      </c>
      <c r="H29" s="13">
        <v>0.02</v>
      </c>
      <c r="I29" s="17">
        <v>10950</v>
      </c>
      <c r="J29" s="22">
        <v>32</v>
      </c>
      <c r="K29" s="18">
        <f t="shared" si="0"/>
        <v>1.014153846153846</v>
      </c>
      <c r="L29" s="2">
        <f t="shared" si="1"/>
        <v>0.15846153846153846</v>
      </c>
      <c r="M29" s="2">
        <f t="shared" si="2"/>
        <v>0.31692307692307692</v>
      </c>
      <c r="N29" s="2">
        <f t="shared" si="3"/>
        <v>0.47538461538461529</v>
      </c>
      <c r="O29" s="2">
        <f t="shared" si="4"/>
        <v>0.63384615384615384</v>
      </c>
      <c r="P29" s="2">
        <f t="shared" si="5"/>
        <v>0.79230769230769227</v>
      </c>
      <c r="Q29" s="2">
        <f t="shared" si="6"/>
        <v>0.95076923076923059</v>
      </c>
      <c r="R29" s="2">
        <f t="shared" si="7"/>
        <v>50.707692307692298</v>
      </c>
      <c r="S29" s="2">
        <f t="shared" si="8"/>
        <v>7.9230769230769225</v>
      </c>
      <c r="T29" s="2">
        <f t="shared" si="9"/>
        <v>15.846153846153845</v>
      </c>
      <c r="U29" s="2">
        <f t="shared" si="10"/>
        <v>23.769230769230763</v>
      </c>
      <c r="V29" s="2">
        <f t="shared" si="11"/>
        <v>31.69230769230769</v>
      </c>
      <c r="W29" s="2">
        <f t="shared" si="12"/>
        <v>39.615384615384613</v>
      </c>
      <c r="X29" s="2">
        <f t="shared" si="13"/>
        <v>47.538461538461526</v>
      </c>
      <c r="Y29" s="5" t="str">
        <f t="shared" ref="Y29:AE53" si="15">IF(R29&gt;1,"1","2")</f>
        <v>1</v>
      </c>
      <c r="Z29" s="5" t="str">
        <f t="shared" si="15"/>
        <v>1</v>
      </c>
      <c r="AA29" s="5" t="str">
        <f t="shared" si="15"/>
        <v>1</v>
      </c>
      <c r="AB29" s="5" t="str">
        <f t="shared" si="15"/>
        <v>1</v>
      </c>
      <c r="AC29" s="5" t="str">
        <f t="shared" si="15"/>
        <v>1</v>
      </c>
      <c r="AD29" s="5" t="str">
        <f t="shared" si="15"/>
        <v>1</v>
      </c>
      <c r="AE29" s="5" t="str">
        <f t="shared" si="15"/>
        <v>1</v>
      </c>
    </row>
    <row r="30" spans="1:31" ht="14.4" x14ac:dyDescent="0.3">
      <c r="A30" s="14">
        <v>27</v>
      </c>
      <c r="B30" s="24" t="s">
        <v>160</v>
      </c>
      <c r="C30" s="10">
        <v>32</v>
      </c>
      <c r="D30" s="10">
        <v>67</v>
      </c>
      <c r="E30" s="15">
        <v>365</v>
      </c>
      <c r="F30" s="19">
        <v>6.2899999999999998E-2</v>
      </c>
      <c r="G30" s="10">
        <v>3300</v>
      </c>
      <c r="H30" s="13">
        <v>0.02</v>
      </c>
      <c r="I30" s="17">
        <v>10950</v>
      </c>
      <c r="J30" s="22">
        <v>27</v>
      </c>
      <c r="K30" s="18">
        <f t="shared" si="0"/>
        <v>2.7882537313432838</v>
      </c>
      <c r="L30" s="2">
        <f t="shared" si="1"/>
        <v>0.51634328358208958</v>
      </c>
      <c r="M30" s="2">
        <f t="shared" si="2"/>
        <v>1.0326865671641792</v>
      </c>
      <c r="N30" s="2">
        <f t="shared" si="3"/>
        <v>1.5490298507462688</v>
      </c>
      <c r="O30" s="2">
        <f t="shared" si="4"/>
        <v>2.0653731343283583</v>
      </c>
      <c r="P30" s="2">
        <f t="shared" si="5"/>
        <v>2.5817164179104477</v>
      </c>
      <c r="Q30" s="2">
        <f t="shared" si="6"/>
        <v>3.0980597014925375</v>
      </c>
      <c r="R30" s="2">
        <f t="shared" si="7"/>
        <v>139.4126865671642</v>
      </c>
      <c r="S30" s="2">
        <f t="shared" si="8"/>
        <v>25.817164179104477</v>
      </c>
      <c r="T30" s="2">
        <f t="shared" si="9"/>
        <v>51.634328358208954</v>
      </c>
      <c r="U30" s="2">
        <f t="shared" si="10"/>
        <v>77.451492537313442</v>
      </c>
      <c r="V30" s="2">
        <f t="shared" si="11"/>
        <v>103.26865671641791</v>
      </c>
      <c r="W30" s="2">
        <f t="shared" si="12"/>
        <v>129.08582089552237</v>
      </c>
      <c r="X30" s="2">
        <f t="shared" si="13"/>
        <v>154.90298507462688</v>
      </c>
      <c r="Y30" s="5" t="str">
        <f t="shared" si="15"/>
        <v>1</v>
      </c>
      <c r="Z30" s="5" t="str">
        <f t="shared" si="15"/>
        <v>1</v>
      </c>
      <c r="AA30" s="5" t="str">
        <f t="shared" si="15"/>
        <v>1</v>
      </c>
      <c r="AB30" s="5" t="str">
        <f t="shared" si="15"/>
        <v>1</v>
      </c>
      <c r="AC30" s="5" t="str">
        <f t="shared" si="15"/>
        <v>1</v>
      </c>
      <c r="AD30" s="5" t="str">
        <f t="shared" si="15"/>
        <v>1</v>
      </c>
      <c r="AE30" s="5" t="str">
        <f t="shared" si="15"/>
        <v>1</v>
      </c>
    </row>
    <row r="31" spans="1:31" ht="14.4" x14ac:dyDescent="0.3">
      <c r="A31" s="14">
        <v>28</v>
      </c>
      <c r="B31" s="24" t="s">
        <v>131</v>
      </c>
      <c r="C31" s="10">
        <v>32</v>
      </c>
      <c r="D31" s="10">
        <v>40</v>
      </c>
      <c r="E31" s="15">
        <v>365</v>
      </c>
      <c r="F31" s="19">
        <v>6.2899999999999998E-2</v>
      </c>
      <c r="G31" s="10">
        <v>900</v>
      </c>
      <c r="H31" s="13">
        <v>0.02</v>
      </c>
      <c r="I31" s="17">
        <v>10950</v>
      </c>
      <c r="J31" s="22">
        <v>22</v>
      </c>
      <c r="K31" s="18">
        <f t="shared" si="0"/>
        <v>1.0378500000000002</v>
      </c>
      <c r="L31" s="2">
        <f t="shared" si="1"/>
        <v>0.235875</v>
      </c>
      <c r="M31" s="2">
        <f t="shared" si="2"/>
        <v>0.47175</v>
      </c>
      <c r="N31" s="2">
        <f t="shared" si="3"/>
        <v>0.70762499999999995</v>
      </c>
      <c r="O31" s="2">
        <f t="shared" si="4"/>
        <v>0.94350000000000001</v>
      </c>
      <c r="P31" s="2">
        <f t="shared" si="5"/>
        <v>1.1793750000000001</v>
      </c>
      <c r="Q31" s="2">
        <f t="shared" si="6"/>
        <v>1.4152499999999999</v>
      </c>
      <c r="R31" s="2">
        <f t="shared" si="7"/>
        <v>51.892500000000005</v>
      </c>
      <c r="S31" s="2">
        <f t="shared" si="8"/>
        <v>11.793749999999999</v>
      </c>
      <c r="T31" s="2">
        <f t="shared" si="9"/>
        <v>23.587499999999999</v>
      </c>
      <c r="U31" s="2">
        <f t="shared" si="10"/>
        <v>35.381249999999994</v>
      </c>
      <c r="V31" s="2">
        <f t="shared" si="11"/>
        <v>47.174999999999997</v>
      </c>
      <c r="W31" s="2">
        <f t="shared" si="12"/>
        <v>58.96875</v>
      </c>
      <c r="X31" s="2">
        <f t="shared" si="13"/>
        <v>70.762499999999989</v>
      </c>
      <c r="Y31" s="5" t="str">
        <f t="shared" si="15"/>
        <v>1</v>
      </c>
      <c r="Z31" s="5" t="str">
        <f t="shared" si="15"/>
        <v>1</v>
      </c>
      <c r="AA31" s="5" t="str">
        <f t="shared" si="15"/>
        <v>1</v>
      </c>
      <c r="AB31" s="5" t="str">
        <f t="shared" si="15"/>
        <v>1</v>
      </c>
      <c r="AC31" s="5" t="str">
        <f t="shared" si="15"/>
        <v>1</v>
      </c>
      <c r="AD31" s="5" t="str">
        <f t="shared" si="15"/>
        <v>1</v>
      </c>
      <c r="AE31" s="5" t="str">
        <f t="shared" si="15"/>
        <v>1</v>
      </c>
    </row>
    <row r="32" spans="1:31" ht="14.4" x14ac:dyDescent="0.3">
      <c r="A32" s="14">
        <v>29</v>
      </c>
      <c r="B32" s="24" t="s">
        <v>148</v>
      </c>
      <c r="C32" s="10">
        <v>32</v>
      </c>
      <c r="D32" s="10">
        <v>39</v>
      </c>
      <c r="E32" s="15">
        <v>365</v>
      </c>
      <c r="F32" s="19">
        <v>6.2899999999999998E-2</v>
      </c>
      <c r="G32" s="10">
        <v>900</v>
      </c>
      <c r="H32" s="13">
        <v>0.02</v>
      </c>
      <c r="I32" s="17">
        <v>10950</v>
      </c>
      <c r="J32" s="22">
        <v>32</v>
      </c>
      <c r="K32" s="18">
        <f t="shared" si="0"/>
        <v>1.5483076923076924</v>
      </c>
      <c r="L32" s="2">
        <f t="shared" si="1"/>
        <v>0.24192307692307694</v>
      </c>
      <c r="M32" s="2">
        <f t="shared" si="2"/>
        <v>0.48384615384615387</v>
      </c>
      <c r="N32" s="2">
        <f t="shared" si="3"/>
        <v>0.72576923076923072</v>
      </c>
      <c r="O32" s="2">
        <f t="shared" si="4"/>
        <v>0.96769230769230774</v>
      </c>
      <c r="P32" s="2">
        <f t="shared" si="5"/>
        <v>1.2096153846153848</v>
      </c>
      <c r="Q32" s="2">
        <f t="shared" si="6"/>
        <v>1.4515384615384614</v>
      </c>
      <c r="R32" s="2">
        <f t="shared" si="7"/>
        <v>77.415384615384625</v>
      </c>
      <c r="S32" s="2">
        <f t="shared" si="8"/>
        <v>12.096153846153847</v>
      </c>
      <c r="T32" s="2">
        <f t="shared" si="9"/>
        <v>24.192307692307693</v>
      </c>
      <c r="U32" s="2">
        <f t="shared" si="10"/>
        <v>36.288461538461533</v>
      </c>
      <c r="V32" s="2">
        <f t="shared" si="11"/>
        <v>48.384615384615387</v>
      </c>
      <c r="W32" s="2">
        <f t="shared" si="12"/>
        <v>60.480769230769234</v>
      </c>
      <c r="X32" s="2">
        <f t="shared" si="13"/>
        <v>72.576923076923066</v>
      </c>
      <c r="Y32" s="5" t="str">
        <f t="shared" si="15"/>
        <v>1</v>
      </c>
      <c r="Z32" s="5" t="str">
        <f t="shared" si="15"/>
        <v>1</v>
      </c>
      <c r="AA32" s="5" t="str">
        <f t="shared" si="15"/>
        <v>1</v>
      </c>
      <c r="AB32" s="5" t="str">
        <f t="shared" si="15"/>
        <v>1</v>
      </c>
      <c r="AC32" s="5" t="str">
        <f t="shared" si="15"/>
        <v>1</v>
      </c>
      <c r="AD32" s="5" t="str">
        <f t="shared" si="15"/>
        <v>1</v>
      </c>
      <c r="AE32" s="5" t="str">
        <f t="shared" si="15"/>
        <v>1</v>
      </c>
    </row>
    <row r="33" spans="1:31" ht="14.4" x14ac:dyDescent="0.3">
      <c r="A33" s="14">
        <v>30</v>
      </c>
      <c r="B33" s="24" t="s">
        <v>111</v>
      </c>
      <c r="C33" s="10">
        <v>33</v>
      </c>
      <c r="D33" s="10">
        <v>75</v>
      </c>
      <c r="E33" s="15">
        <v>365</v>
      </c>
      <c r="F33" s="19">
        <v>1.24E-2</v>
      </c>
      <c r="G33" s="10">
        <v>2100</v>
      </c>
      <c r="H33" s="13">
        <v>0.02</v>
      </c>
      <c r="I33" s="17">
        <v>10950</v>
      </c>
      <c r="J33" s="22">
        <v>8</v>
      </c>
      <c r="K33" s="18">
        <f t="shared" si="0"/>
        <v>9.2586666666666664E-2</v>
      </c>
      <c r="L33" s="2">
        <f t="shared" si="1"/>
        <v>5.7866666666666663E-2</v>
      </c>
      <c r="M33" s="2">
        <f t="shared" si="2"/>
        <v>0.11573333333333333</v>
      </c>
      <c r="N33" s="2">
        <f t="shared" si="3"/>
        <v>0.1736</v>
      </c>
      <c r="O33" s="2">
        <f t="shared" si="4"/>
        <v>0.23146666666666665</v>
      </c>
      <c r="P33" s="2">
        <f t="shared" si="5"/>
        <v>0.28933333333333333</v>
      </c>
      <c r="Q33" s="2">
        <f t="shared" si="6"/>
        <v>0.34720000000000001</v>
      </c>
      <c r="R33" s="2">
        <f t="shared" si="7"/>
        <v>4.6293333333333333</v>
      </c>
      <c r="S33" s="2">
        <f t="shared" si="8"/>
        <v>2.8933333333333331</v>
      </c>
      <c r="T33" s="2">
        <f t="shared" si="9"/>
        <v>5.7866666666666662</v>
      </c>
      <c r="U33" s="2">
        <f t="shared" si="10"/>
        <v>8.68</v>
      </c>
      <c r="V33" s="2">
        <f t="shared" si="11"/>
        <v>11.573333333333332</v>
      </c>
      <c r="W33" s="2">
        <f t="shared" si="12"/>
        <v>14.466666666666667</v>
      </c>
      <c r="X33" s="2">
        <f t="shared" si="13"/>
        <v>17.36</v>
      </c>
      <c r="Y33" s="5" t="str">
        <f t="shared" si="15"/>
        <v>1</v>
      </c>
      <c r="Z33" s="5" t="str">
        <f t="shared" si="15"/>
        <v>1</v>
      </c>
      <c r="AA33" s="5" t="str">
        <f t="shared" si="15"/>
        <v>1</v>
      </c>
      <c r="AB33" s="5" t="str">
        <f t="shared" si="15"/>
        <v>1</v>
      </c>
      <c r="AC33" s="5" t="str">
        <f t="shared" si="15"/>
        <v>1</v>
      </c>
      <c r="AD33" s="5" t="str">
        <f t="shared" si="15"/>
        <v>1</v>
      </c>
      <c r="AE33" s="5" t="str">
        <f t="shared" si="15"/>
        <v>1</v>
      </c>
    </row>
    <row r="34" spans="1:31" ht="14.4" x14ac:dyDescent="0.3">
      <c r="A34" s="14">
        <v>31</v>
      </c>
      <c r="B34" s="24" t="s">
        <v>161</v>
      </c>
      <c r="C34" s="10">
        <v>34</v>
      </c>
      <c r="D34" s="10">
        <v>65</v>
      </c>
      <c r="E34" s="15">
        <v>365</v>
      </c>
      <c r="F34" s="19">
        <v>1.24E-2</v>
      </c>
      <c r="G34" s="10">
        <v>1800</v>
      </c>
      <c r="H34" s="13">
        <v>0.02</v>
      </c>
      <c r="I34" s="17">
        <v>10950</v>
      </c>
      <c r="J34" s="22">
        <v>34</v>
      </c>
      <c r="K34" s="18">
        <f t="shared" si="0"/>
        <v>0.38916923076923077</v>
      </c>
      <c r="L34" s="2">
        <f t="shared" si="1"/>
        <v>5.7230769230769231E-2</v>
      </c>
      <c r="M34" s="2">
        <f t="shared" si="2"/>
        <v>0.11446153846153846</v>
      </c>
      <c r="N34" s="2">
        <f t="shared" si="3"/>
        <v>0.1716923076923077</v>
      </c>
      <c r="O34" s="2">
        <f t="shared" si="4"/>
        <v>0.22892307692307692</v>
      </c>
      <c r="P34" s="2">
        <f t="shared" si="5"/>
        <v>0.28615384615384615</v>
      </c>
      <c r="Q34" s="2">
        <f t="shared" si="6"/>
        <v>0.3433846153846154</v>
      </c>
      <c r="R34" s="2">
        <f t="shared" si="7"/>
        <v>19.458461538461538</v>
      </c>
      <c r="S34" s="2">
        <f t="shared" si="8"/>
        <v>2.8615384615384616</v>
      </c>
      <c r="T34" s="2">
        <f t="shared" si="9"/>
        <v>5.7230769230769232</v>
      </c>
      <c r="U34" s="2">
        <f t="shared" si="10"/>
        <v>8.5846153846153843</v>
      </c>
      <c r="V34" s="2">
        <f t="shared" si="11"/>
        <v>11.446153846153846</v>
      </c>
      <c r="W34" s="2">
        <f t="shared" si="12"/>
        <v>14.307692307692307</v>
      </c>
      <c r="X34" s="2">
        <f t="shared" si="13"/>
        <v>17.169230769230769</v>
      </c>
      <c r="Y34" s="5" t="str">
        <f t="shared" si="15"/>
        <v>1</v>
      </c>
      <c r="Z34" s="5" t="str">
        <f t="shared" si="15"/>
        <v>1</v>
      </c>
      <c r="AA34" s="5" t="str">
        <f t="shared" si="15"/>
        <v>1</v>
      </c>
      <c r="AB34" s="5" t="str">
        <f t="shared" si="15"/>
        <v>1</v>
      </c>
      <c r="AC34" s="5" t="str">
        <f t="shared" si="15"/>
        <v>1</v>
      </c>
      <c r="AD34" s="5" t="str">
        <f t="shared" si="15"/>
        <v>1</v>
      </c>
      <c r="AE34" s="5" t="str">
        <f t="shared" si="15"/>
        <v>1</v>
      </c>
    </row>
    <row r="35" spans="1:31" ht="14.4" x14ac:dyDescent="0.3">
      <c r="A35" s="14">
        <v>32</v>
      </c>
      <c r="B35" s="24" t="s">
        <v>162</v>
      </c>
      <c r="C35" s="10">
        <v>34</v>
      </c>
      <c r="D35" s="10">
        <v>64</v>
      </c>
      <c r="E35" s="15">
        <v>365</v>
      </c>
      <c r="F35" s="19">
        <v>1.24E-2</v>
      </c>
      <c r="G35" s="10">
        <v>1200</v>
      </c>
      <c r="H35" s="13">
        <v>0.02</v>
      </c>
      <c r="I35" s="17">
        <v>10950</v>
      </c>
      <c r="J35" s="22">
        <v>11</v>
      </c>
      <c r="K35" s="18">
        <f t="shared" si="0"/>
        <v>8.5249999999999992E-2</v>
      </c>
      <c r="L35" s="2">
        <f t="shared" si="1"/>
        <v>3.875E-2</v>
      </c>
      <c r="M35" s="2">
        <f t="shared" si="2"/>
        <v>7.7499999999999999E-2</v>
      </c>
      <c r="N35" s="2">
        <f t="shared" si="3"/>
        <v>0.11625000000000001</v>
      </c>
      <c r="O35" s="2">
        <f t="shared" si="4"/>
        <v>0.155</v>
      </c>
      <c r="P35" s="2">
        <f t="shared" si="5"/>
        <v>0.19375000000000001</v>
      </c>
      <c r="Q35" s="2">
        <f t="shared" si="6"/>
        <v>0.23250000000000001</v>
      </c>
      <c r="R35" s="2">
        <f t="shared" si="7"/>
        <v>4.2624999999999993</v>
      </c>
      <c r="S35" s="2">
        <f t="shared" si="8"/>
        <v>1.9375</v>
      </c>
      <c r="T35" s="2">
        <f t="shared" si="9"/>
        <v>3.875</v>
      </c>
      <c r="U35" s="2">
        <f t="shared" si="10"/>
        <v>5.8125</v>
      </c>
      <c r="V35" s="2">
        <f t="shared" si="11"/>
        <v>7.75</v>
      </c>
      <c r="W35" s="2">
        <f t="shared" si="12"/>
        <v>9.6875</v>
      </c>
      <c r="X35" s="2">
        <f t="shared" si="13"/>
        <v>11.625</v>
      </c>
      <c r="Y35" s="5" t="str">
        <f t="shared" si="15"/>
        <v>1</v>
      </c>
      <c r="Z35" s="5" t="str">
        <f t="shared" si="15"/>
        <v>1</v>
      </c>
      <c r="AA35" s="5" t="str">
        <f t="shared" si="15"/>
        <v>1</v>
      </c>
      <c r="AB35" s="5" t="str">
        <f t="shared" si="15"/>
        <v>1</v>
      </c>
      <c r="AC35" s="5" t="str">
        <f t="shared" si="15"/>
        <v>1</v>
      </c>
      <c r="AD35" s="5" t="str">
        <f t="shared" si="15"/>
        <v>1</v>
      </c>
      <c r="AE35" s="5" t="str">
        <f t="shared" si="15"/>
        <v>1</v>
      </c>
    </row>
    <row r="36" spans="1:31" ht="14.4" x14ac:dyDescent="0.3">
      <c r="A36" s="14">
        <v>33</v>
      </c>
      <c r="B36" s="24" t="s">
        <v>119</v>
      </c>
      <c r="C36" s="10">
        <v>34</v>
      </c>
      <c r="D36" s="10">
        <v>65</v>
      </c>
      <c r="E36" s="15">
        <v>365</v>
      </c>
      <c r="F36" s="19">
        <v>4.1999999999999997E-3</v>
      </c>
      <c r="G36" s="10">
        <v>1800</v>
      </c>
      <c r="H36" s="13">
        <v>0.02</v>
      </c>
      <c r="I36" s="17">
        <v>10950</v>
      </c>
      <c r="J36" s="22">
        <v>34</v>
      </c>
      <c r="K36" s="18">
        <f t="shared" si="0"/>
        <v>0.13181538461538461</v>
      </c>
      <c r="L36" s="2">
        <f t="shared" si="1"/>
        <v>1.9384615384615382E-2</v>
      </c>
      <c r="M36" s="2">
        <f t="shared" si="2"/>
        <v>3.8769230769230764E-2</v>
      </c>
      <c r="N36" s="2">
        <f t="shared" si="3"/>
        <v>5.8153846153846146E-2</v>
      </c>
      <c r="O36" s="2">
        <f t="shared" si="4"/>
        <v>7.7538461538461528E-2</v>
      </c>
      <c r="P36" s="2">
        <f t="shared" si="5"/>
        <v>9.6923076923076903E-2</v>
      </c>
      <c r="Q36" s="2">
        <f t="shared" si="6"/>
        <v>0.11630769230769229</v>
      </c>
      <c r="R36" s="2">
        <f t="shared" si="7"/>
        <v>6.5907692307692303</v>
      </c>
      <c r="S36" s="2">
        <f t="shared" si="8"/>
        <v>0.96923076923076912</v>
      </c>
      <c r="T36" s="2">
        <f t="shared" si="9"/>
        <v>1.9384615384615382</v>
      </c>
      <c r="U36" s="2">
        <f t="shared" si="10"/>
        <v>2.9076923076923071</v>
      </c>
      <c r="V36" s="2">
        <f t="shared" si="11"/>
        <v>3.8769230769230765</v>
      </c>
      <c r="W36" s="2">
        <f t="shared" si="12"/>
        <v>4.8461538461538449</v>
      </c>
      <c r="X36" s="2">
        <f t="shared" si="13"/>
        <v>5.8153846153846143</v>
      </c>
      <c r="Y36" s="5" t="str">
        <f t="shared" si="15"/>
        <v>1</v>
      </c>
      <c r="Z36" s="5" t="str">
        <f t="shared" si="15"/>
        <v>2</v>
      </c>
      <c r="AA36" s="5" t="str">
        <f t="shared" si="15"/>
        <v>1</v>
      </c>
      <c r="AB36" s="5" t="str">
        <f t="shared" si="15"/>
        <v>1</v>
      </c>
      <c r="AC36" s="5" t="str">
        <f t="shared" si="15"/>
        <v>1</v>
      </c>
      <c r="AD36" s="5" t="str">
        <f t="shared" si="15"/>
        <v>1</v>
      </c>
      <c r="AE36" s="5" t="str">
        <f t="shared" si="15"/>
        <v>1</v>
      </c>
    </row>
    <row r="37" spans="1:31" ht="14.4" x14ac:dyDescent="0.3">
      <c r="A37" s="14">
        <v>34</v>
      </c>
      <c r="B37" s="24" t="s">
        <v>139</v>
      </c>
      <c r="C37" s="10">
        <v>34</v>
      </c>
      <c r="D37" s="10">
        <v>65</v>
      </c>
      <c r="E37" s="16">
        <v>365</v>
      </c>
      <c r="F37" s="19">
        <v>4.1999999999999997E-3</v>
      </c>
      <c r="G37" s="10">
        <v>1800</v>
      </c>
      <c r="H37" s="13">
        <v>0.02</v>
      </c>
      <c r="I37" s="17">
        <v>10950</v>
      </c>
      <c r="J37" s="22">
        <v>34</v>
      </c>
      <c r="K37" s="18">
        <f t="shared" si="0"/>
        <v>0.13181538461538461</v>
      </c>
      <c r="L37" s="2">
        <f t="shared" si="1"/>
        <v>1.9384615384615382E-2</v>
      </c>
      <c r="M37" s="2">
        <f t="shared" si="2"/>
        <v>3.8769230769230764E-2</v>
      </c>
      <c r="N37" s="2">
        <f t="shared" si="3"/>
        <v>5.8153846153846146E-2</v>
      </c>
      <c r="O37" s="2">
        <f t="shared" si="4"/>
        <v>7.7538461538461528E-2</v>
      </c>
      <c r="P37" s="2">
        <f t="shared" si="5"/>
        <v>9.6923076923076903E-2</v>
      </c>
      <c r="Q37" s="2">
        <f t="shared" si="6"/>
        <v>0.11630769230769229</v>
      </c>
      <c r="R37" s="2">
        <f t="shared" si="7"/>
        <v>6.5907692307692303</v>
      </c>
      <c r="S37" s="2">
        <f t="shared" si="8"/>
        <v>0.96923076923076912</v>
      </c>
      <c r="T37" s="2">
        <f t="shared" si="9"/>
        <v>1.9384615384615382</v>
      </c>
      <c r="U37" s="2">
        <f t="shared" si="10"/>
        <v>2.9076923076923071</v>
      </c>
      <c r="V37" s="2">
        <f t="shared" si="11"/>
        <v>3.8769230769230765</v>
      </c>
      <c r="W37" s="2">
        <f t="shared" si="12"/>
        <v>4.8461538461538449</v>
      </c>
      <c r="X37" s="2">
        <f t="shared" si="13"/>
        <v>5.8153846153846143</v>
      </c>
      <c r="Y37" s="5" t="str">
        <f t="shared" si="15"/>
        <v>1</v>
      </c>
      <c r="Z37" s="5" t="str">
        <f t="shared" si="15"/>
        <v>2</v>
      </c>
      <c r="AA37" s="5" t="str">
        <f t="shared" si="15"/>
        <v>1</v>
      </c>
      <c r="AB37" s="5" t="str">
        <f t="shared" si="15"/>
        <v>1</v>
      </c>
      <c r="AC37" s="5" t="str">
        <f t="shared" si="15"/>
        <v>1</v>
      </c>
      <c r="AD37" s="5" t="str">
        <f t="shared" si="15"/>
        <v>1</v>
      </c>
      <c r="AE37" s="5" t="str">
        <f t="shared" si="15"/>
        <v>1</v>
      </c>
    </row>
    <row r="38" spans="1:31" ht="14.4" x14ac:dyDescent="0.3">
      <c r="A38" s="14">
        <v>35</v>
      </c>
      <c r="B38" s="24" t="s">
        <v>119</v>
      </c>
      <c r="C38" s="10">
        <v>34</v>
      </c>
      <c r="D38" s="10">
        <v>65</v>
      </c>
      <c r="E38" s="16">
        <v>365</v>
      </c>
      <c r="F38" s="19">
        <v>4.1999999999999997E-3</v>
      </c>
      <c r="G38" s="10">
        <v>1800</v>
      </c>
      <c r="H38" s="13">
        <v>0.02</v>
      </c>
      <c r="I38" s="17">
        <v>10950</v>
      </c>
      <c r="J38" s="22">
        <v>34</v>
      </c>
      <c r="K38" s="18">
        <f t="shared" si="0"/>
        <v>0.13181538461538461</v>
      </c>
      <c r="L38" s="2">
        <f t="shared" si="1"/>
        <v>1.9384615384615382E-2</v>
      </c>
      <c r="M38" s="2">
        <f t="shared" si="2"/>
        <v>3.8769230769230764E-2</v>
      </c>
      <c r="N38" s="2">
        <f t="shared" si="3"/>
        <v>5.8153846153846146E-2</v>
      </c>
      <c r="O38" s="2">
        <f t="shared" si="4"/>
        <v>7.7538461538461528E-2</v>
      </c>
      <c r="P38" s="2">
        <f t="shared" si="5"/>
        <v>9.6923076923076903E-2</v>
      </c>
      <c r="Q38" s="2">
        <f t="shared" si="6"/>
        <v>0.11630769230769229</v>
      </c>
      <c r="R38" s="2">
        <f t="shared" si="7"/>
        <v>6.5907692307692303</v>
      </c>
      <c r="S38" s="2">
        <f t="shared" si="8"/>
        <v>0.96923076923076912</v>
      </c>
      <c r="T38" s="2">
        <f t="shared" si="9"/>
        <v>1.9384615384615382</v>
      </c>
      <c r="U38" s="2">
        <f t="shared" si="10"/>
        <v>2.9076923076923071</v>
      </c>
      <c r="V38" s="2">
        <f t="shared" si="11"/>
        <v>3.8769230769230765</v>
      </c>
      <c r="W38" s="2">
        <f t="shared" si="12"/>
        <v>4.8461538461538449</v>
      </c>
      <c r="X38" s="2">
        <f t="shared" si="13"/>
        <v>5.8153846153846143</v>
      </c>
      <c r="Y38" s="5" t="str">
        <f t="shared" si="15"/>
        <v>1</v>
      </c>
      <c r="Z38" s="5" t="str">
        <f t="shared" si="15"/>
        <v>2</v>
      </c>
      <c r="AA38" s="5" t="str">
        <f t="shared" si="15"/>
        <v>1</v>
      </c>
      <c r="AB38" s="5" t="str">
        <f t="shared" si="15"/>
        <v>1</v>
      </c>
      <c r="AC38" s="5" t="str">
        <f t="shared" si="15"/>
        <v>1</v>
      </c>
      <c r="AD38" s="5" t="str">
        <f t="shared" si="15"/>
        <v>1</v>
      </c>
      <c r="AE38" s="5" t="str">
        <f t="shared" si="15"/>
        <v>1</v>
      </c>
    </row>
    <row r="39" spans="1:31" ht="14.4" x14ac:dyDescent="0.3">
      <c r="A39" s="14">
        <v>36</v>
      </c>
      <c r="B39" s="24" t="s">
        <v>163</v>
      </c>
      <c r="C39" s="10">
        <v>35</v>
      </c>
      <c r="D39" s="10">
        <v>75</v>
      </c>
      <c r="E39" s="16">
        <v>365</v>
      </c>
      <c r="F39" s="19">
        <v>6.1000000000000004E-3</v>
      </c>
      <c r="G39" s="10">
        <v>1200</v>
      </c>
      <c r="H39" s="13">
        <v>0.02</v>
      </c>
      <c r="I39" s="17">
        <v>10950</v>
      </c>
      <c r="J39" s="22">
        <v>5</v>
      </c>
      <c r="K39" s="18">
        <f t="shared" si="0"/>
        <v>1.6266666666666665E-2</v>
      </c>
      <c r="L39" s="2">
        <f t="shared" si="1"/>
        <v>1.6266666666666665E-2</v>
      </c>
      <c r="M39" s="2">
        <f t="shared" si="2"/>
        <v>3.2533333333333331E-2</v>
      </c>
      <c r="N39" s="2">
        <f t="shared" si="3"/>
        <v>4.8800000000000003E-2</v>
      </c>
      <c r="O39" s="2">
        <f t="shared" si="4"/>
        <v>6.5066666666666662E-2</v>
      </c>
      <c r="P39" s="2">
        <f t="shared" si="5"/>
        <v>8.1333333333333327E-2</v>
      </c>
      <c r="Q39" s="2">
        <f t="shared" si="6"/>
        <v>9.7600000000000006E-2</v>
      </c>
      <c r="R39" s="2">
        <f t="shared" si="7"/>
        <v>0.81333333333333324</v>
      </c>
      <c r="S39" s="2">
        <f t="shared" si="8"/>
        <v>0.81333333333333324</v>
      </c>
      <c r="T39" s="2">
        <f t="shared" si="9"/>
        <v>1.6266666666666665</v>
      </c>
      <c r="U39" s="2">
        <f t="shared" si="10"/>
        <v>2.44</v>
      </c>
      <c r="V39" s="2">
        <f t="shared" si="11"/>
        <v>3.253333333333333</v>
      </c>
      <c r="W39" s="2">
        <f t="shared" si="12"/>
        <v>4.0666666666666664</v>
      </c>
      <c r="X39" s="2">
        <f t="shared" si="13"/>
        <v>4.88</v>
      </c>
      <c r="Y39" s="5" t="str">
        <f t="shared" si="15"/>
        <v>2</v>
      </c>
      <c r="Z39" s="5" t="str">
        <f t="shared" si="15"/>
        <v>2</v>
      </c>
      <c r="AA39" s="5" t="str">
        <f t="shared" si="15"/>
        <v>1</v>
      </c>
      <c r="AB39" s="5" t="str">
        <f t="shared" si="15"/>
        <v>1</v>
      </c>
      <c r="AC39" s="5" t="str">
        <f t="shared" si="15"/>
        <v>1</v>
      </c>
      <c r="AD39" s="5" t="str">
        <f t="shared" si="15"/>
        <v>1</v>
      </c>
      <c r="AE39" s="5" t="str">
        <f t="shared" si="15"/>
        <v>1</v>
      </c>
    </row>
    <row r="40" spans="1:31" ht="14.4" x14ac:dyDescent="0.3">
      <c r="A40" s="14">
        <v>37</v>
      </c>
      <c r="B40" s="24" t="s">
        <v>164</v>
      </c>
      <c r="C40" s="10">
        <v>35</v>
      </c>
      <c r="D40" s="10">
        <v>85</v>
      </c>
      <c r="E40" s="16">
        <v>365</v>
      </c>
      <c r="F40" s="19">
        <v>3.2300000000000002E-2</v>
      </c>
      <c r="G40" s="10">
        <v>900</v>
      </c>
      <c r="H40" s="13">
        <v>0.02</v>
      </c>
      <c r="I40" s="17">
        <v>10950</v>
      </c>
      <c r="J40" s="22">
        <v>6</v>
      </c>
      <c r="K40" s="18">
        <f t="shared" si="0"/>
        <v>6.8400000000000002E-2</v>
      </c>
      <c r="L40" s="2">
        <f t="shared" si="1"/>
        <v>5.7000000000000009E-2</v>
      </c>
      <c r="M40" s="2">
        <f t="shared" si="2"/>
        <v>0.11400000000000002</v>
      </c>
      <c r="N40" s="2">
        <f t="shared" si="3"/>
        <v>0.17100000000000004</v>
      </c>
      <c r="O40" s="2">
        <f t="shared" si="4"/>
        <v>0.22800000000000004</v>
      </c>
      <c r="P40" s="2">
        <f t="shared" si="5"/>
        <v>0.28499999999999998</v>
      </c>
      <c r="Q40" s="2">
        <f t="shared" si="6"/>
        <v>0.34200000000000008</v>
      </c>
      <c r="R40" s="2">
        <f t="shared" si="7"/>
        <v>3.42</v>
      </c>
      <c r="S40" s="2">
        <f t="shared" si="8"/>
        <v>2.8500000000000005</v>
      </c>
      <c r="T40" s="2">
        <f t="shared" si="9"/>
        <v>5.7000000000000011</v>
      </c>
      <c r="U40" s="2">
        <f t="shared" si="10"/>
        <v>8.5500000000000025</v>
      </c>
      <c r="V40" s="2">
        <f t="shared" si="11"/>
        <v>11.400000000000002</v>
      </c>
      <c r="W40" s="2">
        <f t="shared" si="12"/>
        <v>14.249999999999998</v>
      </c>
      <c r="X40" s="2">
        <f t="shared" si="13"/>
        <v>17.100000000000005</v>
      </c>
      <c r="Y40" s="5" t="str">
        <f t="shared" si="15"/>
        <v>1</v>
      </c>
      <c r="Z40" s="5" t="str">
        <f t="shared" si="15"/>
        <v>1</v>
      </c>
      <c r="AA40" s="5" t="str">
        <f t="shared" si="15"/>
        <v>1</v>
      </c>
      <c r="AB40" s="5" t="str">
        <f t="shared" si="15"/>
        <v>1</v>
      </c>
      <c r="AC40" s="5" t="str">
        <f t="shared" si="15"/>
        <v>1</v>
      </c>
      <c r="AD40" s="5" t="str">
        <f t="shared" si="15"/>
        <v>1</v>
      </c>
      <c r="AE40" s="5" t="str">
        <f t="shared" si="15"/>
        <v>1</v>
      </c>
    </row>
    <row r="41" spans="1:31" ht="14.4" x14ac:dyDescent="0.3">
      <c r="A41" s="14">
        <v>38</v>
      </c>
      <c r="B41" s="24" t="s">
        <v>165</v>
      </c>
      <c r="C41" s="10">
        <v>35</v>
      </c>
      <c r="D41" s="10">
        <v>55</v>
      </c>
      <c r="E41" s="16">
        <v>365</v>
      </c>
      <c r="F41" s="19">
        <v>3.3099999999999997E-2</v>
      </c>
      <c r="G41" s="10">
        <v>900</v>
      </c>
      <c r="H41" s="13">
        <v>0.02</v>
      </c>
      <c r="I41" s="17">
        <v>10950</v>
      </c>
      <c r="J41" s="22">
        <v>35</v>
      </c>
      <c r="K41" s="18">
        <f t="shared" si="0"/>
        <v>0.63190909090909086</v>
      </c>
      <c r="L41" s="2">
        <f t="shared" si="1"/>
        <v>9.0272727272727268E-2</v>
      </c>
      <c r="M41" s="2">
        <f t="shared" si="2"/>
        <v>0.18054545454545454</v>
      </c>
      <c r="N41" s="2">
        <f t="shared" si="3"/>
        <v>0.27081818181818179</v>
      </c>
      <c r="O41" s="2">
        <f t="shared" si="4"/>
        <v>0.36109090909090907</v>
      </c>
      <c r="P41" s="2">
        <f t="shared" si="5"/>
        <v>0.45136363636363636</v>
      </c>
      <c r="Q41" s="2">
        <f t="shared" si="6"/>
        <v>0.54163636363636358</v>
      </c>
      <c r="R41" s="2">
        <f t="shared" si="7"/>
        <v>31.595454545454544</v>
      </c>
      <c r="S41" s="2">
        <f t="shared" si="8"/>
        <v>4.5136363636363637</v>
      </c>
      <c r="T41" s="2">
        <f t="shared" si="9"/>
        <v>9.0272727272727273</v>
      </c>
      <c r="U41" s="2">
        <f t="shared" si="10"/>
        <v>13.540909090909089</v>
      </c>
      <c r="V41" s="2">
        <f t="shared" si="11"/>
        <v>18.054545454545455</v>
      </c>
      <c r="W41" s="2">
        <f t="shared" si="12"/>
        <v>22.568181818181817</v>
      </c>
      <c r="X41" s="2">
        <f t="shared" si="13"/>
        <v>27.081818181818178</v>
      </c>
      <c r="Y41" s="5" t="str">
        <f t="shared" si="15"/>
        <v>1</v>
      </c>
      <c r="Z41" s="5" t="str">
        <f t="shared" si="15"/>
        <v>1</v>
      </c>
      <c r="AA41" s="5" t="str">
        <f t="shared" si="15"/>
        <v>1</v>
      </c>
      <c r="AB41" s="5" t="str">
        <f t="shared" si="15"/>
        <v>1</v>
      </c>
      <c r="AC41" s="5" t="str">
        <f t="shared" si="15"/>
        <v>1</v>
      </c>
      <c r="AD41" s="5" t="str">
        <f t="shared" si="15"/>
        <v>1</v>
      </c>
      <c r="AE41" s="5" t="str">
        <f t="shared" si="15"/>
        <v>1</v>
      </c>
    </row>
    <row r="42" spans="1:31" ht="14.4" x14ac:dyDescent="0.3">
      <c r="A42" s="14">
        <v>39</v>
      </c>
      <c r="B42" s="24" t="s">
        <v>106</v>
      </c>
      <c r="C42" s="10">
        <v>35</v>
      </c>
      <c r="D42" s="10">
        <v>55</v>
      </c>
      <c r="E42" s="16">
        <v>365</v>
      </c>
      <c r="F42" s="19">
        <v>3.3099999999999997E-2</v>
      </c>
      <c r="G42" s="10">
        <v>1200</v>
      </c>
      <c r="H42" s="13">
        <v>0.02</v>
      </c>
      <c r="I42" s="17">
        <v>10950</v>
      </c>
      <c r="J42" s="22">
        <v>4</v>
      </c>
      <c r="K42" s="18">
        <f t="shared" si="0"/>
        <v>9.629090909090908E-2</v>
      </c>
      <c r="L42" s="2">
        <f t="shared" si="1"/>
        <v>0.12036363636363637</v>
      </c>
      <c r="M42" s="2">
        <f t="shared" si="2"/>
        <v>0.24072727272727273</v>
      </c>
      <c r="N42" s="2">
        <f t="shared" si="3"/>
        <v>0.36109090909090907</v>
      </c>
      <c r="O42" s="2">
        <f t="shared" si="4"/>
        <v>0.48145454545454547</v>
      </c>
      <c r="P42" s="2">
        <f t="shared" si="5"/>
        <v>0.60181818181818181</v>
      </c>
      <c r="Q42" s="2">
        <f t="shared" si="6"/>
        <v>0.72218181818181815</v>
      </c>
      <c r="R42" s="2">
        <f t="shared" si="7"/>
        <v>4.8145454545454536</v>
      </c>
      <c r="S42" s="2">
        <f t="shared" si="8"/>
        <v>6.0181818181818185</v>
      </c>
      <c r="T42" s="2">
        <f t="shared" si="9"/>
        <v>12.036363636363637</v>
      </c>
      <c r="U42" s="2">
        <f t="shared" si="10"/>
        <v>18.054545454545455</v>
      </c>
      <c r="V42" s="2">
        <f t="shared" si="11"/>
        <v>24.072727272727274</v>
      </c>
      <c r="W42" s="2">
        <f t="shared" si="12"/>
        <v>30.09090909090909</v>
      </c>
      <c r="X42" s="2">
        <f t="shared" si="13"/>
        <v>36.109090909090909</v>
      </c>
      <c r="Y42" s="5" t="str">
        <f t="shared" si="15"/>
        <v>1</v>
      </c>
      <c r="Z42" s="5" t="str">
        <f t="shared" si="15"/>
        <v>1</v>
      </c>
      <c r="AA42" s="5" t="str">
        <f t="shared" si="15"/>
        <v>1</v>
      </c>
      <c r="AB42" s="5" t="str">
        <f t="shared" si="15"/>
        <v>1</v>
      </c>
      <c r="AC42" s="5" t="str">
        <f t="shared" si="15"/>
        <v>1</v>
      </c>
      <c r="AD42" s="5" t="str">
        <f t="shared" si="15"/>
        <v>1</v>
      </c>
      <c r="AE42" s="5" t="str">
        <f t="shared" si="15"/>
        <v>1</v>
      </c>
    </row>
    <row r="43" spans="1:31" ht="14.4" x14ac:dyDescent="0.3">
      <c r="A43" s="14">
        <v>40</v>
      </c>
      <c r="B43" s="24" t="s">
        <v>166</v>
      </c>
      <c r="C43" s="10">
        <v>35</v>
      </c>
      <c r="D43" s="10">
        <v>47</v>
      </c>
      <c r="E43" s="16">
        <v>365</v>
      </c>
      <c r="F43" s="19">
        <v>3.1399999999999997E-2</v>
      </c>
      <c r="G43" s="10">
        <v>1200</v>
      </c>
      <c r="H43" s="13">
        <v>0.02</v>
      </c>
      <c r="I43" s="17">
        <v>10950</v>
      </c>
      <c r="J43" s="22">
        <v>20</v>
      </c>
      <c r="K43" s="18">
        <f t="shared" si="0"/>
        <v>0.534468085106383</v>
      </c>
      <c r="L43" s="2">
        <f t="shared" si="1"/>
        <v>0.13361702127659575</v>
      </c>
      <c r="M43" s="2">
        <f t="shared" si="2"/>
        <v>0.2672340425531915</v>
      </c>
      <c r="N43" s="2">
        <f t="shared" si="3"/>
        <v>0.40085106382978725</v>
      </c>
      <c r="O43" s="2">
        <f t="shared" si="4"/>
        <v>0.534468085106383</v>
      </c>
      <c r="P43" s="2">
        <f t="shared" si="5"/>
        <v>0.66808510638297869</v>
      </c>
      <c r="Q43" s="2">
        <f t="shared" si="6"/>
        <v>0.80170212765957449</v>
      </c>
      <c r="R43" s="2">
        <f t="shared" si="7"/>
        <v>26.723404255319149</v>
      </c>
      <c r="S43" s="2">
        <f>L43/H43</f>
        <v>6.6808510638297873</v>
      </c>
      <c r="T43" s="2">
        <f t="shared" si="9"/>
        <v>13.361702127659575</v>
      </c>
      <c r="U43" s="2">
        <f t="shared" si="10"/>
        <v>20.042553191489361</v>
      </c>
      <c r="V43" s="2">
        <f t="shared" si="11"/>
        <v>26.723404255319149</v>
      </c>
      <c r="W43" s="2">
        <f t="shared" si="12"/>
        <v>33.40425531914893</v>
      </c>
      <c r="X43" s="2">
        <f t="shared" si="13"/>
        <v>40.085106382978722</v>
      </c>
      <c r="Y43" s="5" t="str">
        <f t="shared" si="15"/>
        <v>1</v>
      </c>
      <c r="Z43" s="5" t="str">
        <f t="shared" si="15"/>
        <v>1</v>
      </c>
      <c r="AA43" s="5" t="str">
        <f t="shared" si="15"/>
        <v>1</v>
      </c>
      <c r="AB43" s="5" t="str">
        <f t="shared" si="15"/>
        <v>1</v>
      </c>
      <c r="AC43" s="5" t="str">
        <f t="shared" si="15"/>
        <v>1</v>
      </c>
      <c r="AD43" s="5" t="str">
        <f t="shared" si="15"/>
        <v>1</v>
      </c>
      <c r="AE43" s="5" t="str">
        <f t="shared" si="15"/>
        <v>1</v>
      </c>
    </row>
    <row r="44" spans="1:31" ht="14.4" x14ac:dyDescent="0.3">
      <c r="A44" s="14">
        <v>41</v>
      </c>
      <c r="B44" s="24" t="s">
        <v>118</v>
      </c>
      <c r="C44" s="10">
        <v>35</v>
      </c>
      <c r="D44" s="10">
        <v>75</v>
      </c>
      <c r="E44" s="16">
        <v>365</v>
      </c>
      <c r="F44" s="19">
        <v>3.1399999999999997E-2</v>
      </c>
      <c r="G44" s="10">
        <v>1200</v>
      </c>
      <c r="H44" s="13">
        <v>0.02</v>
      </c>
      <c r="I44" s="17">
        <v>10950</v>
      </c>
      <c r="J44" s="22">
        <v>5</v>
      </c>
      <c r="K44" s="18">
        <f t="shared" si="0"/>
        <v>8.373333333333334E-2</v>
      </c>
      <c r="L44" s="2">
        <f t="shared" si="1"/>
        <v>8.373333333333334E-2</v>
      </c>
      <c r="M44" s="2">
        <f t="shared" si="2"/>
        <v>0.16746666666666668</v>
      </c>
      <c r="N44" s="2">
        <f t="shared" si="3"/>
        <v>0.25119999999999998</v>
      </c>
      <c r="O44" s="2">
        <f t="shared" si="4"/>
        <v>0.33493333333333336</v>
      </c>
      <c r="P44" s="2">
        <f t="shared" si="5"/>
        <v>0.41866666666666669</v>
      </c>
      <c r="Q44" s="2">
        <f t="shared" si="6"/>
        <v>0.50239999999999996</v>
      </c>
      <c r="R44" s="2">
        <f t="shared" si="7"/>
        <v>4.1866666666666665</v>
      </c>
      <c r="S44" s="2">
        <f t="shared" ref="S44:S103" si="16">L44/H44</f>
        <v>4.1866666666666665</v>
      </c>
      <c r="T44" s="2">
        <f t="shared" si="9"/>
        <v>8.3733333333333331</v>
      </c>
      <c r="U44" s="2">
        <f>N44/H44</f>
        <v>12.559999999999999</v>
      </c>
      <c r="V44" s="2">
        <f>O44/H44</f>
        <v>16.746666666666666</v>
      </c>
      <c r="W44" s="2">
        <f>P44/H44</f>
        <v>20.933333333333334</v>
      </c>
      <c r="X44" s="2">
        <f>Q44/H44</f>
        <v>25.119999999999997</v>
      </c>
      <c r="Y44" s="5" t="str">
        <f t="shared" si="15"/>
        <v>1</v>
      </c>
      <c r="Z44" s="5" t="str">
        <f t="shared" si="15"/>
        <v>1</v>
      </c>
      <c r="AA44" s="5" t="str">
        <f t="shared" si="15"/>
        <v>1</v>
      </c>
      <c r="AB44" s="5" t="str">
        <f t="shared" si="15"/>
        <v>1</v>
      </c>
      <c r="AC44" s="5" t="str">
        <f t="shared" si="15"/>
        <v>1</v>
      </c>
      <c r="AD44" s="5" t="str">
        <f t="shared" si="15"/>
        <v>1</v>
      </c>
      <c r="AE44" s="5" t="str">
        <f t="shared" si="15"/>
        <v>1</v>
      </c>
    </row>
    <row r="45" spans="1:31" ht="14.4" x14ac:dyDescent="0.3">
      <c r="A45" s="14">
        <v>42</v>
      </c>
      <c r="B45" s="24" t="s">
        <v>130</v>
      </c>
      <c r="C45" s="10">
        <v>35</v>
      </c>
      <c r="D45" s="10">
        <v>47</v>
      </c>
      <c r="E45" s="16">
        <v>365</v>
      </c>
      <c r="F45" s="19">
        <v>3.1399999999999997E-2</v>
      </c>
      <c r="G45" s="10">
        <v>1200</v>
      </c>
      <c r="H45" s="13">
        <v>0.02</v>
      </c>
      <c r="I45" s="17">
        <v>10950</v>
      </c>
      <c r="J45" s="22">
        <v>20</v>
      </c>
      <c r="K45" s="18">
        <f t="shared" si="0"/>
        <v>0.534468085106383</v>
      </c>
      <c r="L45" s="2">
        <f t="shared" si="1"/>
        <v>0.13361702127659575</v>
      </c>
      <c r="M45" s="2">
        <f t="shared" si="2"/>
        <v>0.2672340425531915</v>
      </c>
      <c r="N45" s="2">
        <f t="shared" si="3"/>
        <v>0.40085106382978725</v>
      </c>
      <c r="O45" s="2">
        <f t="shared" si="4"/>
        <v>0.534468085106383</v>
      </c>
      <c r="P45" s="2">
        <f t="shared" si="5"/>
        <v>0.66808510638297869</v>
      </c>
      <c r="Q45" s="2">
        <f t="shared" si="6"/>
        <v>0.80170212765957449</v>
      </c>
      <c r="R45" s="2">
        <f t="shared" si="7"/>
        <v>26.723404255319149</v>
      </c>
      <c r="S45" s="2">
        <f t="shared" si="16"/>
        <v>6.6808510638297873</v>
      </c>
      <c r="T45" s="2">
        <f t="shared" si="9"/>
        <v>13.361702127659575</v>
      </c>
      <c r="U45" s="2">
        <f>N45/H45</f>
        <v>20.042553191489361</v>
      </c>
      <c r="V45" s="2">
        <f>O45/H45</f>
        <v>26.723404255319149</v>
      </c>
      <c r="W45" s="2">
        <f>P45/H45</f>
        <v>33.40425531914893</v>
      </c>
      <c r="X45" s="2">
        <f>Q45/H45</f>
        <v>40.085106382978722</v>
      </c>
      <c r="Y45" s="5" t="str">
        <f t="shared" si="15"/>
        <v>1</v>
      </c>
      <c r="Z45" s="5" t="str">
        <f t="shared" si="15"/>
        <v>1</v>
      </c>
      <c r="AA45" s="5" t="str">
        <f t="shared" si="15"/>
        <v>1</v>
      </c>
      <c r="AB45" s="5" t="str">
        <f t="shared" si="15"/>
        <v>1</v>
      </c>
      <c r="AC45" s="5" t="str">
        <f t="shared" si="15"/>
        <v>1</v>
      </c>
      <c r="AD45" s="5" t="str">
        <f t="shared" si="15"/>
        <v>1</v>
      </c>
      <c r="AE45" s="5" t="str">
        <f t="shared" si="15"/>
        <v>1</v>
      </c>
    </row>
    <row r="46" spans="1:31" ht="14.4" x14ac:dyDescent="0.3">
      <c r="A46" s="14">
        <v>43</v>
      </c>
      <c r="B46" s="24" t="s">
        <v>138</v>
      </c>
      <c r="C46" s="10">
        <v>35</v>
      </c>
      <c r="D46" s="10">
        <v>75</v>
      </c>
      <c r="E46" s="16">
        <v>365</v>
      </c>
      <c r="F46" s="19">
        <v>3.1099999999999999E-2</v>
      </c>
      <c r="G46" s="10">
        <v>1200</v>
      </c>
      <c r="H46" s="13">
        <v>0.02</v>
      </c>
      <c r="I46" s="17">
        <v>10950</v>
      </c>
      <c r="J46" s="22">
        <v>5</v>
      </c>
      <c r="K46" s="18">
        <f t="shared" si="0"/>
        <v>8.2933333333333331E-2</v>
      </c>
      <c r="L46" s="2">
        <f>(F46*G46*E46*5)/(D46*I46)</f>
        <v>8.2933333333333331E-2</v>
      </c>
      <c r="M46" s="2">
        <f t="shared" si="2"/>
        <v>0.16586666666666666</v>
      </c>
      <c r="N46" s="2">
        <f t="shared" si="3"/>
        <v>0.24879999999999999</v>
      </c>
      <c r="O46" s="2">
        <f t="shared" si="4"/>
        <v>0.33173333333333332</v>
      </c>
      <c r="P46" s="2">
        <f t="shared" si="5"/>
        <v>0.41466666666666668</v>
      </c>
      <c r="Q46" s="2">
        <f t="shared" si="6"/>
        <v>0.49759999999999999</v>
      </c>
      <c r="R46" s="2">
        <f t="shared" si="7"/>
        <v>4.1466666666666665</v>
      </c>
      <c r="S46" s="2">
        <f t="shared" si="16"/>
        <v>4.1466666666666665</v>
      </c>
      <c r="T46" s="2">
        <f t="shared" si="9"/>
        <v>8.293333333333333</v>
      </c>
      <c r="U46" s="2">
        <f t="shared" ref="U46:U103" si="17">N46/H46</f>
        <v>12.44</v>
      </c>
      <c r="V46" s="2">
        <f t="shared" ref="V46:V103" si="18">O46/H46</f>
        <v>16.586666666666666</v>
      </c>
      <c r="W46" s="2">
        <f t="shared" ref="W46:W103" si="19">P46/H46</f>
        <v>20.733333333333334</v>
      </c>
      <c r="X46" s="2">
        <f t="shared" ref="X46:X103" si="20">Q46/H46</f>
        <v>24.88</v>
      </c>
      <c r="Y46" s="5" t="str">
        <f t="shared" si="15"/>
        <v>1</v>
      </c>
      <c r="Z46" s="5" t="str">
        <f t="shared" si="15"/>
        <v>1</v>
      </c>
      <c r="AA46" s="5" t="str">
        <f t="shared" si="15"/>
        <v>1</v>
      </c>
      <c r="AB46" s="5" t="str">
        <f t="shared" si="15"/>
        <v>1</v>
      </c>
      <c r="AC46" s="5" t="str">
        <f t="shared" si="15"/>
        <v>1</v>
      </c>
      <c r="AD46" s="5" t="str">
        <f t="shared" si="15"/>
        <v>1</v>
      </c>
      <c r="AE46" s="5" t="str">
        <f t="shared" si="15"/>
        <v>1</v>
      </c>
    </row>
    <row r="47" spans="1:31" ht="14.4" x14ac:dyDescent="0.3">
      <c r="A47" s="14">
        <v>44</v>
      </c>
      <c r="B47" s="24" t="s">
        <v>167</v>
      </c>
      <c r="C47" s="10">
        <v>37</v>
      </c>
      <c r="D47" s="10">
        <v>85</v>
      </c>
      <c r="E47" s="16">
        <v>365</v>
      </c>
      <c r="F47" s="19">
        <v>3.5700000000000003E-2</v>
      </c>
      <c r="G47" s="10">
        <v>1500</v>
      </c>
      <c r="H47" s="13">
        <v>0.02</v>
      </c>
      <c r="I47" s="17">
        <v>10950</v>
      </c>
      <c r="J47" s="22">
        <v>6</v>
      </c>
      <c r="K47" s="18">
        <f t="shared" si="0"/>
        <v>0.126</v>
      </c>
      <c r="L47" s="2">
        <f t="shared" ref="L47:L103" si="21">(F47*G47*E47*5)/(D47*I47)</f>
        <v>0.105</v>
      </c>
      <c r="M47" s="2">
        <f t="shared" si="2"/>
        <v>0.21</v>
      </c>
      <c r="N47" s="2">
        <f t="shared" si="3"/>
        <v>0.315</v>
      </c>
      <c r="O47" s="2">
        <f t="shared" si="4"/>
        <v>0.42</v>
      </c>
      <c r="P47" s="2">
        <f t="shared" si="5"/>
        <v>0.52500000000000002</v>
      </c>
      <c r="Q47" s="2">
        <f t="shared" si="6"/>
        <v>0.63</v>
      </c>
      <c r="R47" s="2">
        <f t="shared" si="7"/>
        <v>6.3</v>
      </c>
      <c r="S47" s="2">
        <f t="shared" si="16"/>
        <v>5.25</v>
      </c>
      <c r="T47" s="2">
        <f t="shared" si="9"/>
        <v>10.5</v>
      </c>
      <c r="U47" s="2">
        <f t="shared" si="17"/>
        <v>15.75</v>
      </c>
      <c r="V47" s="2">
        <f t="shared" si="18"/>
        <v>21</v>
      </c>
      <c r="W47" s="2">
        <f t="shared" si="19"/>
        <v>26.25</v>
      </c>
      <c r="X47" s="2">
        <f t="shared" si="20"/>
        <v>31.5</v>
      </c>
      <c r="Y47" s="5" t="str">
        <f t="shared" si="15"/>
        <v>1</v>
      </c>
      <c r="Z47" s="5" t="str">
        <f t="shared" si="15"/>
        <v>1</v>
      </c>
      <c r="AA47" s="5" t="str">
        <f t="shared" si="15"/>
        <v>1</v>
      </c>
      <c r="AB47" s="5" t="str">
        <f t="shared" si="15"/>
        <v>1</v>
      </c>
      <c r="AC47" s="5" t="str">
        <f t="shared" si="15"/>
        <v>1</v>
      </c>
      <c r="AD47" s="5" t="str">
        <f t="shared" si="15"/>
        <v>1</v>
      </c>
      <c r="AE47" s="5" t="str">
        <f t="shared" si="15"/>
        <v>1</v>
      </c>
    </row>
    <row r="48" spans="1:31" ht="14.4" x14ac:dyDescent="0.3">
      <c r="A48" s="14">
        <v>45</v>
      </c>
      <c r="B48" s="24" t="s">
        <v>168</v>
      </c>
      <c r="C48" s="10">
        <v>37</v>
      </c>
      <c r="D48" s="10">
        <v>60</v>
      </c>
      <c r="E48" s="16">
        <v>365</v>
      </c>
      <c r="F48" s="19">
        <v>3.5700000000000003E-2</v>
      </c>
      <c r="G48" s="10">
        <v>2400</v>
      </c>
      <c r="H48" s="13">
        <v>0.02</v>
      </c>
      <c r="I48" s="17">
        <v>10950</v>
      </c>
      <c r="J48" s="22">
        <v>19</v>
      </c>
      <c r="K48" s="18">
        <f t="shared" si="0"/>
        <v>0.90440000000000009</v>
      </c>
      <c r="L48" s="2">
        <f t="shared" si="21"/>
        <v>0.23799999999999999</v>
      </c>
      <c r="M48" s="2">
        <f t="shared" si="2"/>
        <v>0.47599999999999998</v>
      </c>
      <c r="N48" s="2">
        <f t="shared" si="3"/>
        <v>0.71399999999999997</v>
      </c>
      <c r="O48" s="2">
        <f t="shared" si="4"/>
        <v>0.95199999999999996</v>
      </c>
      <c r="P48" s="2">
        <f t="shared" si="5"/>
        <v>1.19</v>
      </c>
      <c r="Q48" s="2">
        <f t="shared" si="6"/>
        <v>1.4279999999999999</v>
      </c>
      <c r="R48" s="2">
        <f t="shared" si="7"/>
        <v>45.220000000000006</v>
      </c>
      <c r="S48" s="2">
        <f t="shared" si="16"/>
        <v>11.899999999999999</v>
      </c>
      <c r="T48" s="2">
        <f t="shared" si="9"/>
        <v>23.799999999999997</v>
      </c>
      <c r="U48" s="2">
        <f t="shared" si="17"/>
        <v>35.699999999999996</v>
      </c>
      <c r="V48" s="2">
        <f t="shared" si="18"/>
        <v>47.599999999999994</v>
      </c>
      <c r="W48" s="2">
        <f t="shared" si="19"/>
        <v>59.499999999999993</v>
      </c>
      <c r="X48" s="2">
        <f t="shared" si="20"/>
        <v>71.399999999999991</v>
      </c>
      <c r="Y48" s="5" t="str">
        <f t="shared" si="15"/>
        <v>1</v>
      </c>
      <c r="Z48" s="5" t="str">
        <f t="shared" si="15"/>
        <v>1</v>
      </c>
      <c r="AA48" s="5" t="str">
        <f t="shared" si="15"/>
        <v>1</v>
      </c>
      <c r="AB48" s="5" t="str">
        <f t="shared" si="15"/>
        <v>1</v>
      </c>
      <c r="AC48" s="5" t="str">
        <f t="shared" si="15"/>
        <v>1</v>
      </c>
      <c r="AD48" s="5" t="str">
        <f t="shared" si="15"/>
        <v>1</v>
      </c>
      <c r="AE48" s="5" t="str">
        <f t="shared" si="15"/>
        <v>1</v>
      </c>
    </row>
    <row r="49" spans="1:31" ht="14.4" x14ac:dyDescent="0.3">
      <c r="A49" s="14">
        <v>46</v>
      </c>
      <c r="B49" s="24" t="s">
        <v>125</v>
      </c>
      <c r="C49" s="10">
        <v>37</v>
      </c>
      <c r="D49" s="10">
        <v>85</v>
      </c>
      <c r="E49" s="16">
        <v>365</v>
      </c>
      <c r="F49" s="19">
        <v>3.5700000000000003E-2</v>
      </c>
      <c r="G49" s="10">
        <v>1500</v>
      </c>
      <c r="H49" s="13">
        <v>0.02</v>
      </c>
      <c r="I49" s="17">
        <v>10950</v>
      </c>
      <c r="J49" s="22">
        <v>6</v>
      </c>
      <c r="K49" s="18">
        <f t="shared" si="0"/>
        <v>0.126</v>
      </c>
      <c r="L49" s="2">
        <f t="shared" si="21"/>
        <v>0.105</v>
      </c>
      <c r="M49" s="2">
        <f t="shared" si="2"/>
        <v>0.21</v>
      </c>
      <c r="N49" s="2">
        <f t="shared" si="3"/>
        <v>0.315</v>
      </c>
      <c r="O49" s="2">
        <f t="shared" si="4"/>
        <v>0.42</v>
      </c>
      <c r="P49" s="2">
        <f t="shared" si="5"/>
        <v>0.52500000000000002</v>
      </c>
      <c r="Q49" s="2">
        <f t="shared" si="6"/>
        <v>0.63</v>
      </c>
      <c r="R49" s="2">
        <f t="shared" si="7"/>
        <v>6.3</v>
      </c>
      <c r="S49" s="2">
        <f t="shared" si="16"/>
        <v>5.25</v>
      </c>
      <c r="T49" s="2">
        <f t="shared" si="9"/>
        <v>10.5</v>
      </c>
      <c r="U49" s="2">
        <f t="shared" si="17"/>
        <v>15.75</v>
      </c>
      <c r="V49" s="2">
        <f t="shared" si="18"/>
        <v>21</v>
      </c>
      <c r="W49" s="2">
        <f t="shared" si="19"/>
        <v>26.25</v>
      </c>
      <c r="X49" s="2">
        <f t="shared" si="20"/>
        <v>31.5</v>
      </c>
      <c r="Y49" s="5" t="str">
        <f t="shared" si="15"/>
        <v>1</v>
      </c>
      <c r="Z49" s="5" t="str">
        <f t="shared" si="15"/>
        <v>1</v>
      </c>
      <c r="AA49" s="5" t="str">
        <f t="shared" si="15"/>
        <v>1</v>
      </c>
      <c r="AB49" s="5" t="str">
        <f t="shared" si="15"/>
        <v>1</v>
      </c>
      <c r="AC49" s="5" t="str">
        <f t="shared" si="15"/>
        <v>1</v>
      </c>
      <c r="AD49" s="5" t="str">
        <f t="shared" si="15"/>
        <v>1</v>
      </c>
      <c r="AE49" s="5" t="str">
        <f t="shared" si="15"/>
        <v>1</v>
      </c>
    </row>
    <row r="50" spans="1:31" ht="14.4" x14ac:dyDescent="0.3">
      <c r="A50" s="14">
        <v>47</v>
      </c>
      <c r="B50" s="24" t="s">
        <v>128</v>
      </c>
      <c r="C50" s="10">
        <v>37</v>
      </c>
      <c r="D50" s="10">
        <v>60</v>
      </c>
      <c r="E50" s="16">
        <v>365</v>
      </c>
      <c r="F50" s="19">
        <v>3.61E-2</v>
      </c>
      <c r="G50" s="10">
        <v>2400</v>
      </c>
      <c r="H50" s="13">
        <v>0.02</v>
      </c>
      <c r="I50" s="17">
        <v>10950</v>
      </c>
      <c r="J50" s="22">
        <v>19</v>
      </c>
      <c r="K50" s="18">
        <f t="shared" si="0"/>
        <v>0.91453333333333342</v>
      </c>
      <c r="L50" s="2">
        <f t="shared" si="21"/>
        <v>0.24066666666666667</v>
      </c>
      <c r="M50" s="2">
        <f t="shared" si="2"/>
        <v>0.48133333333333334</v>
      </c>
      <c r="N50" s="2">
        <f t="shared" si="3"/>
        <v>0.72199999999999998</v>
      </c>
      <c r="O50" s="2">
        <f t="shared" si="4"/>
        <v>0.96266666666666667</v>
      </c>
      <c r="P50" s="2">
        <f t="shared" si="5"/>
        <v>1.2033333333333334</v>
      </c>
      <c r="Q50" s="2">
        <f t="shared" si="6"/>
        <v>1.444</v>
      </c>
      <c r="R50" s="2">
        <f t="shared" si="7"/>
        <v>45.726666666666667</v>
      </c>
      <c r="S50" s="2">
        <f t="shared" si="16"/>
        <v>12.033333333333333</v>
      </c>
      <c r="T50" s="2">
        <f t="shared" si="9"/>
        <v>24.066666666666666</v>
      </c>
      <c r="U50" s="2">
        <f t="shared" si="17"/>
        <v>36.1</v>
      </c>
      <c r="V50" s="2">
        <f t="shared" si="18"/>
        <v>48.133333333333333</v>
      </c>
      <c r="W50" s="2">
        <f t="shared" si="19"/>
        <v>60.166666666666664</v>
      </c>
      <c r="X50" s="2">
        <f t="shared" si="20"/>
        <v>72.2</v>
      </c>
      <c r="Y50" s="5" t="str">
        <f t="shared" si="15"/>
        <v>1</v>
      </c>
      <c r="Z50" s="5" t="str">
        <f t="shared" si="15"/>
        <v>1</v>
      </c>
      <c r="AA50" s="5" t="str">
        <f t="shared" si="15"/>
        <v>1</v>
      </c>
      <c r="AB50" s="5" t="str">
        <f t="shared" si="15"/>
        <v>1</v>
      </c>
      <c r="AC50" s="5" t="str">
        <f t="shared" si="15"/>
        <v>1</v>
      </c>
      <c r="AD50" s="5" t="str">
        <f t="shared" si="15"/>
        <v>1</v>
      </c>
      <c r="AE50" s="5" t="str">
        <f t="shared" si="15"/>
        <v>1</v>
      </c>
    </row>
    <row r="51" spans="1:31" ht="14.4" x14ac:dyDescent="0.3">
      <c r="A51" s="14">
        <v>48</v>
      </c>
      <c r="B51" s="24" t="s">
        <v>169</v>
      </c>
      <c r="C51" s="10">
        <v>38</v>
      </c>
      <c r="D51" s="10">
        <v>43</v>
      </c>
      <c r="E51" s="16">
        <v>365</v>
      </c>
      <c r="F51" s="19">
        <v>3.61E-2</v>
      </c>
      <c r="G51" s="10">
        <v>2100</v>
      </c>
      <c r="H51" s="13">
        <v>0.02</v>
      </c>
      <c r="I51" s="17">
        <v>10950</v>
      </c>
      <c r="J51" s="22">
        <v>11</v>
      </c>
      <c r="K51" s="18">
        <f t="shared" si="0"/>
        <v>0.64644186046511631</v>
      </c>
      <c r="L51" s="2">
        <f t="shared" si="21"/>
        <v>0.2938372093023256</v>
      </c>
      <c r="M51" s="2">
        <f t="shared" si="2"/>
        <v>0.58767441860465119</v>
      </c>
      <c r="N51" s="2">
        <f t="shared" si="3"/>
        <v>0.88151162790697679</v>
      </c>
      <c r="O51" s="2">
        <f t="shared" si="4"/>
        <v>1.1753488372093024</v>
      </c>
      <c r="P51" s="2">
        <f t="shared" si="5"/>
        <v>1.469186046511628</v>
      </c>
      <c r="Q51" s="2">
        <f t="shared" si="6"/>
        <v>1.7630232558139536</v>
      </c>
      <c r="R51" s="2">
        <f t="shared" si="7"/>
        <v>32.322093023255817</v>
      </c>
      <c r="S51" s="2">
        <f t="shared" si="16"/>
        <v>14.69186046511628</v>
      </c>
      <c r="T51" s="2">
        <f t="shared" si="9"/>
        <v>29.38372093023256</v>
      </c>
      <c r="U51" s="2">
        <f t="shared" si="17"/>
        <v>44.075581395348841</v>
      </c>
      <c r="V51" s="2">
        <f t="shared" si="18"/>
        <v>58.767441860465119</v>
      </c>
      <c r="W51" s="2">
        <f t="shared" si="19"/>
        <v>73.459302325581405</v>
      </c>
      <c r="X51" s="2">
        <f t="shared" si="20"/>
        <v>88.151162790697683</v>
      </c>
      <c r="Y51" s="5" t="str">
        <f t="shared" si="15"/>
        <v>1</v>
      </c>
      <c r="Z51" s="5" t="str">
        <f t="shared" si="15"/>
        <v>1</v>
      </c>
      <c r="AA51" s="5" t="str">
        <f t="shared" si="15"/>
        <v>1</v>
      </c>
      <c r="AB51" s="5" t="str">
        <f t="shared" si="15"/>
        <v>1</v>
      </c>
      <c r="AC51" s="5" t="str">
        <f t="shared" si="15"/>
        <v>1</v>
      </c>
      <c r="AD51" s="5" t="str">
        <f t="shared" si="15"/>
        <v>1</v>
      </c>
      <c r="AE51" s="5" t="str">
        <f t="shared" si="15"/>
        <v>1</v>
      </c>
    </row>
    <row r="52" spans="1:31" ht="14.4" x14ac:dyDescent="0.3">
      <c r="A52" s="14">
        <v>49</v>
      </c>
      <c r="B52" s="24" t="s">
        <v>170</v>
      </c>
      <c r="C52" s="10">
        <v>38</v>
      </c>
      <c r="D52" s="10">
        <v>50</v>
      </c>
      <c r="E52" s="16">
        <v>365</v>
      </c>
      <c r="F52" s="19">
        <v>3.61E-2</v>
      </c>
      <c r="G52" s="10">
        <v>900</v>
      </c>
      <c r="H52" s="13">
        <v>0.02</v>
      </c>
      <c r="I52" s="17">
        <v>10950</v>
      </c>
      <c r="J52" s="22">
        <v>1</v>
      </c>
      <c r="K52" s="18">
        <f t="shared" si="0"/>
        <v>2.1660000000000002E-2</v>
      </c>
      <c r="L52" s="2">
        <f t="shared" si="21"/>
        <v>0.10829999999999999</v>
      </c>
      <c r="M52" s="2">
        <f t="shared" si="2"/>
        <v>0.21659999999999999</v>
      </c>
      <c r="N52" s="2">
        <f t="shared" si="3"/>
        <v>0.32490000000000002</v>
      </c>
      <c r="O52" s="2">
        <f t="shared" si="4"/>
        <v>0.43319999999999997</v>
      </c>
      <c r="P52" s="2">
        <f t="shared" si="5"/>
        <v>0.54149999999999998</v>
      </c>
      <c r="Q52" s="2">
        <f t="shared" si="6"/>
        <v>0.64980000000000004</v>
      </c>
      <c r="R52" s="2">
        <f t="shared" si="7"/>
        <v>1.0830000000000002</v>
      </c>
      <c r="S52" s="2">
        <f t="shared" si="16"/>
        <v>5.4149999999999991</v>
      </c>
      <c r="T52" s="2">
        <f t="shared" si="9"/>
        <v>10.829999999999998</v>
      </c>
      <c r="U52" s="2">
        <f t="shared" si="17"/>
        <v>16.245000000000001</v>
      </c>
      <c r="V52" s="2">
        <f t="shared" si="18"/>
        <v>21.659999999999997</v>
      </c>
      <c r="W52" s="2">
        <f t="shared" si="19"/>
        <v>27.074999999999999</v>
      </c>
      <c r="X52" s="2">
        <f t="shared" si="20"/>
        <v>32.49</v>
      </c>
      <c r="Y52" s="5" t="str">
        <f t="shared" si="15"/>
        <v>1</v>
      </c>
      <c r="Z52" s="5" t="str">
        <f t="shared" si="15"/>
        <v>1</v>
      </c>
      <c r="AA52" s="5" t="str">
        <f t="shared" si="15"/>
        <v>1</v>
      </c>
      <c r="AB52" s="5" t="str">
        <f t="shared" si="15"/>
        <v>1</v>
      </c>
      <c r="AC52" s="5" t="str">
        <f t="shared" si="15"/>
        <v>1</v>
      </c>
      <c r="AD52" s="5" t="str">
        <f t="shared" si="15"/>
        <v>1</v>
      </c>
      <c r="AE52" s="5" t="str">
        <f t="shared" si="15"/>
        <v>1</v>
      </c>
    </row>
    <row r="53" spans="1:31" ht="14.4" x14ac:dyDescent="0.3">
      <c r="A53" s="14">
        <v>50</v>
      </c>
      <c r="B53" s="24" t="s">
        <v>121</v>
      </c>
      <c r="C53" s="10">
        <v>38</v>
      </c>
      <c r="D53" s="10">
        <v>43</v>
      </c>
      <c r="E53" s="16">
        <v>365</v>
      </c>
      <c r="F53" s="19">
        <v>3.4599999999999999E-2</v>
      </c>
      <c r="G53" s="10">
        <v>2100</v>
      </c>
      <c r="H53" s="13">
        <v>0.02</v>
      </c>
      <c r="I53" s="17">
        <v>10950</v>
      </c>
      <c r="J53" s="22">
        <v>11</v>
      </c>
      <c r="K53" s="18">
        <f t="shared" si="0"/>
        <v>0.61958139534883716</v>
      </c>
      <c r="L53" s="2">
        <f t="shared" si="21"/>
        <v>0.28162790697674417</v>
      </c>
      <c r="M53" s="2">
        <f t="shared" si="2"/>
        <v>0.56325581395348834</v>
      </c>
      <c r="N53" s="2">
        <f t="shared" si="3"/>
        <v>0.84488372093023245</v>
      </c>
      <c r="O53" s="2">
        <f t="shared" si="4"/>
        <v>1.1265116279069767</v>
      </c>
      <c r="P53" s="2">
        <f t="shared" si="5"/>
        <v>1.4081395348837209</v>
      </c>
      <c r="Q53" s="2">
        <f t="shared" si="6"/>
        <v>1.6897674418604649</v>
      </c>
      <c r="R53" s="2">
        <f t="shared" si="7"/>
        <v>30.979069767441857</v>
      </c>
      <c r="S53" s="2">
        <f t="shared" si="16"/>
        <v>14.081395348837209</v>
      </c>
      <c r="T53" s="2">
        <f t="shared" si="9"/>
        <v>28.162790697674417</v>
      </c>
      <c r="U53" s="2">
        <f t="shared" si="17"/>
        <v>42.244186046511622</v>
      </c>
      <c r="V53" s="2">
        <f t="shared" si="18"/>
        <v>56.325581395348834</v>
      </c>
      <c r="W53" s="2">
        <f t="shared" si="19"/>
        <v>70.406976744186039</v>
      </c>
      <c r="X53" s="2">
        <f t="shared" si="20"/>
        <v>84.488372093023244</v>
      </c>
      <c r="Y53" s="5" t="str">
        <f t="shared" si="15"/>
        <v>1</v>
      </c>
      <c r="Z53" s="5" t="str">
        <f t="shared" si="15"/>
        <v>1</v>
      </c>
      <c r="AA53" s="5" t="str">
        <f t="shared" si="15"/>
        <v>1</v>
      </c>
      <c r="AB53" s="5" t="str">
        <f t="shared" si="15"/>
        <v>1</v>
      </c>
      <c r="AC53" s="5" t="str">
        <f t="shared" si="15"/>
        <v>1</v>
      </c>
      <c r="AD53" s="5" t="str">
        <f t="shared" si="15"/>
        <v>1</v>
      </c>
      <c r="AE53" s="5" t="str">
        <f t="shared" si="15"/>
        <v>1</v>
      </c>
    </row>
    <row r="54" spans="1:31" ht="14.4" x14ac:dyDescent="0.3">
      <c r="A54" s="14">
        <v>51</v>
      </c>
      <c r="B54" s="24" t="s">
        <v>142</v>
      </c>
      <c r="C54" s="10">
        <v>38</v>
      </c>
      <c r="D54" s="10">
        <v>50</v>
      </c>
      <c r="E54" s="16">
        <v>365</v>
      </c>
      <c r="F54" s="19">
        <v>3.3099999999999997E-2</v>
      </c>
      <c r="G54" s="10">
        <v>900</v>
      </c>
      <c r="H54" s="13">
        <v>0.02</v>
      </c>
      <c r="I54" s="17">
        <v>10950</v>
      </c>
      <c r="J54" s="22">
        <v>1</v>
      </c>
      <c r="K54" s="18">
        <f t="shared" si="0"/>
        <v>1.9859999999999999E-2</v>
      </c>
      <c r="L54" s="2">
        <f t="shared" si="21"/>
        <v>9.9299999999999999E-2</v>
      </c>
      <c r="M54" s="2">
        <f t="shared" si="2"/>
        <v>0.1986</v>
      </c>
      <c r="N54" s="2">
        <f t="shared" si="3"/>
        <v>0.2979</v>
      </c>
      <c r="O54" s="2">
        <f t="shared" si="4"/>
        <v>0.3972</v>
      </c>
      <c r="P54" s="2">
        <f t="shared" si="5"/>
        <v>0.4965</v>
      </c>
      <c r="Q54" s="2">
        <f t="shared" si="6"/>
        <v>0.5958</v>
      </c>
      <c r="R54" s="2">
        <f t="shared" si="7"/>
        <v>0.99299999999999999</v>
      </c>
      <c r="S54" s="2">
        <f t="shared" si="16"/>
        <v>4.9649999999999999</v>
      </c>
      <c r="T54" s="2">
        <f t="shared" si="9"/>
        <v>9.93</v>
      </c>
      <c r="U54" s="2">
        <f t="shared" si="17"/>
        <v>14.895</v>
      </c>
      <c r="V54" s="2">
        <f t="shared" si="18"/>
        <v>19.86</v>
      </c>
      <c r="W54" s="2">
        <f t="shared" si="19"/>
        <v>24.824999999999999</v>
      </c>
      <c r="X54" s="2">
        <f t="shared" si="20"/>
        <v>29.79</v>
      </c>
      <c r="Y54" s="5" t="str">
        <f t="shared" ref="Y54:AE90" si="22">IF(R54&gt;1,"1","2")</f>
        <v>2</v>
      </c>
      <c r="Z54" s="5" t="str">
        <f t="shared" si="22"/>
        <v>1</v>
      </c>
      <c r="AA54" s="5" t="str">
        <f t="shared" si="22"/>
        <v>1</v>
      </c>
      <c r="AB54" s="5" t="str">
        <f t="shared" si="22"/>
        <v>1</v>
      </c>
      <c r="AC54" s="5" t="str">
        <f t="shared" si="22"/>
        <v>1</v>
      </c>
      <c r="AD54" s="5" t="str">
        <f t="shared" si="22"/>
        <v>1</v>
      </c>
      <c r="AE54" s="5" t="str">
        <f t="shared" si="22"/>
        <v>1</v>
      </c>
    </row>
    <row r="55" spans="1:31" ht="14.4" x14ac:dyDescent="0.3">
      <c r="A55" s="14">
        <v>52</v>
      </c>
      <c r="B55" s="24" t="s">
        <v>142</v>
      </c>
      <c r="C55" s="10">
        <v>38</v>
      </c>
      <c r="D55" s="10">
        <v>50</v>
      </c>
      <c r="E55" s="16">
        <v>365</v>
      </c>
      <c r="F55" s="19">
        <v>3.3099999999999997E-2</v>
      </c>
      <c r="G55" s="10">
        <v>900</v>
      </c>
      <c r="H55" s="13">
        <v>0.02</v>
      </c>
      <c r="I55" s="17">
        <v>10950</v>
      </c>
      <c r="J55" s="22">
        <v>1</v>
      </c>
      <c r="K55" s="18">
        <f t="shared" si="0"/>
        <v>1.9859999999999999E-2</v>
      </c>
      <c r="L55" s="2">
        <f t="shared" si="21"/>
        <v>9.9299999999999999E-2</v>
      </c>
      <c r="M55" s="2">
        <f t="shared" si="2"/>
        <v>0.1986</v>
      </c>
      <c r="N55" s="2">
        <f t="shared" si="3"/>
        <v>0.2979</v>
      </c>
      <c r="O55" s="2">
        <f t="shared" si="4"/>
        <v>0.3972</v>
      </c>
      <c r="P55" s="2">
        <f t="shared" si="5"/>
        <v>0.4965</v>
      </c>
      <c r="Q55" s="2">
        <f t="shared" si="6"/>
        <v>0.5958</v>
      </c>
      <c r="R55" s="2">
        <f t="shared" si="7"/>
        <v>0.99299999999999999</v>
      </c>
      <c r="S55" s="2">
        <f t="shared" si="16"/>
        <v>4.9649999999999999</v>
      </c>
      <c r="T55" s="2">
        <f t="shared" si="9"/>
        <v>9.93</v>
      </c>
      <c r="U55" s="2">
        <f t="shared" si="17"/>
        <v>14.895</v>
      </c>
      <c r="V55" s="2">
        <f t="shared" si="18"/>
        <v>19.86</v>
      </c>
      <c r="W55" s="2">
        <f t="shared" si="19"/>
        <v>24.824999999999999</v>
      </c>
      <c r="X55" s="2">
        <f t="shared" si="20"/>
        <v>29.79</v>
      </c>
      <c r="Y55" s="5" t="str">
        <f t="shared" si="22"/>
        <v>2</v>
      </c>
      <c r="Z55" s="5" t="str">
        <f t="shared" si="22"/>
        <v>1</v>
      </c>
      <c r="AA55" s="5" t="str">
        <f t="shared" si="22"/>
        <v>1</v>
      </c>
      <c r="AB55" s="5" t="str">
        <f t="shared" si="22"/>
        <v>1</v>
      </c>
      <c r="AC55" s="5" t="str">
        <f t="shared" si="22"/>
        <v>1</v>
      </c>
      <c r="AD55" s="5" t="str">
        <f t="shared" si="22"/>
        <v>1</v>
      </c>
      <c r="AE55" s="5" t="str">
        <f t="shared" si="22"/>
        <v>1</v>
      </c>
    </row>
    <row r="56" spans="1:31" ht="14.4" x14ac:dyDescent="0.3">
      <c r="A56" s="14">
        <v>53</v>
      </c>
      <c r="B56" s="24" t="s">
        <v>171</v>
      </c>
      <c r="C56" s="10">
        <v>39</v>
      </c>
      <c r="D56" s="10">
        <v>65</v>
      </c>
      <c r="E56" s="16">
        <v>365</v>
      </c>
      <c r="F56" s="19">
        <v>3.3099999999999997E-2</v>
      </c>
      <c r="G56" s="10">
        <v>1200</v>
      </c>
      <c r="H56" s="13">
        <v>0.02</v>
      </c>
      <c r="I56" s="17">
        <v>10950</v>
      </c>
      <c r="J56" s="22">
        <v>12</v>
      </c>
      <c r="K56" s="18">
        <f t="shared" si="0"/>
        <v>0.2444307692307692</v>
      </c>
      <c r="L56" s="2">
        <f t="shared" si="21"/>
        <v>0.10184615384615385</v>
      </c>
      <c r="M56" s="2">
        <f t="shared" si="2"/>
        <v>0.2036923076923077</v>
      </c>
      <c r="N56" s="2">
        <f t="shared" si="3"/>
        <v>0.30553846153846154</v>
      </c>
      <c r="O56" s="2">
        <f t="shared" si="4"/>
        <v>0.4073846153846154</v>
      </c>
      <c r="P56" s="2">
        <f t="shared" si="5"/>
        <v>0.50923076923076926</v>
      </c>
      <c r="Q56" s="2">
        <f t="shared" si="6"/>
        <v>0.61107692307692307</v>
      </c>
      <c r="R56" s="2">
        <f t="shared" si="7"/>
        <v>12.22153846153846</v>
      </c>
      <c r="S56" s="2">
        <f t="shared" si="16"/>
        <v>5.092307692307692</v>
      </c>
      <c r="T56" s="2">
        <f t="shared" si="9"/>
        <v>10.184615384615384</v>
      </c>
      <c r="U56" s="2">
        <f t="shared" si="17"/>
        <v>15.276923076923076</v>
      </c>
      <c r="V56" s="2">
        <f t="shared" si="18"/>
        <v>20.369230769230768</v>
      </c>
      <c r="W56" s="2">
        <f t="shared" si="19"/>
        <v>25.461538461538463</v>
      </c>
      <c r="X56" s="2">
        <f t="shared" si="20"/>
        <v>30.553846153846152</v>
      </c>
      <c r="Y56" s="5" t="str">
        <f t="shared" si="22"/>
        <v>1</v>
      </c>
      <c r="Z56" s="5" t="str">
        <f t="shared" si="22"/>
        <v>1</v>
      </c>
      <c r="AA56" s="5" t="str">
        <f t="shared" si="22"/>
        <v>1</v>
      </c>
      <c r="AB56" s="5" t="str">
        <f t="shared" si="22"/>
        <v>1</v>
      </c>
      <c r="AC56" s="5" t="str">
        <f t="shared" si="22"/>
        <v>1</v>
      </c>
      <c r="AD56" s="5" t="str">
        <f t="shared" si="22"/>
        <v>1</v>
      </c>
      <c r="AE56" s="5" t="str">
        <f t="shared" si="22"/>
        <v>1</v>
      </c>
    </row>
    <row r="57" spans="1:31" ht="14.4" x14ac:dyDescent="0.3">
      <c r="A57" s="14">
        <v>54</v>
      </c>
      <c r="B57" s="24" t="s">
        <v>172</v>
      </c>
      <c r="C57" s="10">
        <v>39</v>
      </c>
      <c r="D57" s="10">
        <v>83</v>
      </c>
      <c r="E57" s="16">
        <v>365</v>
      </c>
      <c r="F57" s="19">
        <v>5.21E-2</v>
      </c>
      <c r="G57" s="10">
        <v>900</v>
      </c>
      <c r="H57" s="13">
        <v>0.02</v>
      </c>
      <c r="I57" s="17">
        <v>10950</v>
      </c>
      <c r="J57" s="22">
        <v>39</v>
      </c>
      <c r="K57" s="18">
        <f t="shared" si="0"/>
        <v>0.73442168674698782</v>
      </c>
      <c r="L57" s="2">
        <f t="shared" si="21"/>
        <v>9.4156626506024091E-2</v>
      </c>
      <c r="M57" s="2">
        <f t="shared" si="2"/>
        <v>0.18831325301204818</v>
      </c>
      <c r="N57" s="2">
        <f t="shared" si="3"/>
        <v>0.28246987951807223</v>
      </c>
      <c r="O57" s="2">
        <f t="shared" si="4"/>
        <v>0.37662650602409636</v>
      </c>
      <c r="P57" s="2">
        <f t="shared" si="5"/>
        <v>0.47078313253012044</v>
      </c>
      <c r="Q57" s="2">
        <f t="shared" si="6"/>
        <v>0.56493975903614446</v>
      </c>
      <c r="R57" s="2">
        <f t="shared" si="7"/>
        <v>36.721084337349389</v>
      </c>
      <c r="S57" s="2">
        <f t="shared" si="16"/>
        <v>4.7078313253012043</v>
      </c>
      <c r="T57" s="2">
        <f t="shared" si="9"/>
        <v>9.4156626506024086</v>
      </c>
      <c r="U57" s="2">
        <f t="shared" si="17"/>
        <v>14.123493975903612</v>
      </c>
      <c r="V57" s="2">
        <f t="shared" si="18"/>
        <v>18.831325301204817</v>
      </c>
      <c r="W57" s="2">
        <f t="shared" si="19"/>
        <v>23.539156626506021</v>
      </c>
      <c r="X57" s="2">
        <f t="shared" si="20"/>
        <v>28.246987951807224</v>
      </c>
      <c r="Y57" s="5" t="str">
        <f t="shared" si="22"/>
        <v>1</v>
      </c>
      <c r="Z57" s="5" t="str">
        <f t="shared" si="22"/>
        <v>1</v>
      </c>
      <c r="AA57" s="5" t="str">
        <f t="shared" si="22"/>
        <v>1</v>
      </c>
      <c r="AB57" s="5" t="str">
        <f t="shared" si="22"/>
        <v>1</v>
      </c>
      <c r="AC57" s="5" t="str">
        <f t="shared" si="22"/>
        <v>1</v>
      </c>
      <c r="AD57" s="5" t="str">
        <f t="shared" si="22"/>
        <v>1</v>
      </c>
      <c r="AE57" s="5" t="str">
        <f t="shared" si="22"/>
        <v>1</v>
      </c>
    </row>
    <row r="58" spans="1:31" ht="14.4" x14ac:dyDescent="0.3">
      <c r="A58" s="14">
        <v>55</v>
      </c>
      <c r="B58" s="24" t="s">
        <v>173</v>
      </c>
      <c r="C58" s="10">
        <v>39</v>
      </c>
      <c r="D58" s="10">
        <v>65</v>
      </c>
      <c r="E58" s="16">
        <v>365</v>
      </c>
      <c r="F58" s="19">
        <v>5.21E-2</v>
      </c>
      <c r="G58" s="10">
        <v>900</v>
      </c>
      <c r="H58" s="13">
        <v>0.02</v>
      </c>
      <c r="I58" s="17">
        <v>10950</v>
      </c>
      <c r="J58" s="22">
        <v>20</v>
      </c>
      <c r="K58" s="18">
        <f t="shared" si="0"/>
        <v>0.4809230769230769</v>
      </c>
      <c r="L58" s="2">
        <f t="shared" si="21"/>
        <v>0.12023076923076922</v>
      </c>
      <c r="M58" s="2">
        <f t="shared" si="2"/>
        <v>0.24046153846153845</v>
      </c>
      <c r="N58" s="2">
        <f t="shared" si="3"/>
        <v>0.36069230769230765</v>
      </c>
      <c r="O58" s="2">
        <f t="shared" si="4"/>
        <v>0.4809230769230769</v>
      </c>
      <c r="P58" s="2">
        <f t="shared" si="5"/>
        <v>0.60115384615384604</v>
      </c>
      <c r="Q58" s="2">
        <f t="shared" si="6"/>
        <v>0.72138461538461529</v>
      </c>
      <c r="R58" s="2">
        <f t="shared" si="7"/>
        <v>24.046153846153846</v>
      </c>
      <c r="S58" s="2">
        <f t="shared" si="16"/>
        <v>6.0115384615384615</v>
      </c>
      <c r="T58" s="2">
        <f t="shared" si="9"/>
        <v>12.023076923076923</v>
      </c>
      <c r="U58" s="2">
        <f t="shared" si="17"/>
        <v>18.034615384615382</v>
      </c>
      <c r="V58" s="2">
        <f t="shared" si="18"/>
        <v>24.046153846153846</v>
      </c>
      <c r="W58" s="2">
        <f t="shared" si="19"/>
        <v>30.057692307692303</v>
      </c>
      <c r="X58" s="2">
        <f t="shared" si="20"/>
        <v>36.069230769230764</v>
      </c>
      <c r="Y58" s="5" t="str">
        <f t="shared" si="22"/>
        <v>1</v>
      </c>
      <c r="Z58" s="5" t="str">
        <f t="shared" si="22"/>
        <v>1</v>
      </c>
      <c r="AA58" s="5" t="str">
        <f t="shared" si="22"/>
        <v>1</v>
      </c>
      <c r="AB58" s="5" t="str">
        <f t="shared" si="22"/>
        <v>1</v>
      </c>
      <c r="AC58" s="5" t="str">
        <f t="shared" si="22"/>
        <v>1</v>
      </c>
      <c r="AD58" s="5" t="str">
        <f t="shared" si="22"/>
        <v>1</v>
      </c>
      <c r="AE58" s="5" t="str">
        <f t="shared" si="22"/>
        <v>1</v>
      </c>
    </row>
    <row r="59" spans="1:31" ht="14.4" x14ac:dyDescent="0.3">
      <c r="A59" s="14">
        <v>56</v>
      </c>
      <c r="B59" s="24" t="s">
        <v>174</v>
      </c>
      <c r="C59" s="10">
        <v>39</v>
      </c>
      <c r="D59" s="10">
        <v>53</v>
      </c>
      <c r="E59" s="16">
        <v>365</v>
      </c>
      <c r="F59" s="19">
        <v>5.21E-2</v>
      </c>
      <c r="G59" s="10">
        <v>900</v>
      </c>
      <c r="H59" s="13">
        <v>0.02</v>
      </c>
      <c r="I59" s="17">
        <v>10950</v>
      </c>
      <c r="J59" s="22">
        <v>4</v>
      </c>
      <c r="K59" s="18">
        <f t="shared" si="0"/>
        <v>0.11796226415094338</v>
      </c>
      <c r="L59" s="2">
        <f t="shared" si="21"/>
        <v>0.14745283018867925</v>
      </c>
      <c r="M59" s="2">
        <f t="shared" si="2"/>
        <v>0.29490566037735849</v>
      </c>
      <c r="N59" s="2">
        <f t="shared" si="3"/>
        <v>0.44235849056603771</v>
      </c>
      <c r="O59" s="2">
        <f t="shared" si="4"/>
        <v>0.58981132075471698</v>
      </c>
      <c r="P59" s="2">
        <f t="shared" si="5"/>
        <v>0.73726415094339615</v>
      </c>
      <c r="Q59" s="2">
        <f t="shared" si="6"/>
        <v>0.88471698113207542</v>
      </c>
      <c r="R59" s="2">
        <f t="shared" si="7"/>
        <v>5.8981132075471692</v>
      </c>
      <c r="S59" s="2">
        <f t="shared" si="16"/>
        <v>7.3726415094339623</v>
      </c>
      <c r="T59" s="2">
        <f t="shared" si="9"/>
        <v>14.745283018867925</v>
      </c>
      <c r="U59" s="2">
        <f t="shared" si="17"/>
        <v>22.117924528301884</v>
      </c>
      <c r="V59" s="2">
        <f t="shared" si="18"/>
        <v>29.490566037735849</v>
      </c>
      <c r="W59" s="2">
        <f t="shared" si="19"/>
        <v>36.863207547169807</v>
      </c>
      <c r="X59" s="2">
        <f t="shared" si="20"/>
        <v>44.235849056603769</v>
      </c>
      <c r="Y59" s="5" t="str">
        <f t="shared" si="22"/>
        <v>1</v>
      </c>
      <c r="Z59" s="5" t="str">
        <f t="shared" si="22"/>
        <v>1</v>
      </c>
      <c r="AA59" s="5" t="str">
        <f t="shared" si="22"/>
        <v>1</v>
      </c>
      <c r="AB59" s="5" t="str">
        <f t="shared" si="22"/>
        <v>1</v>
      </c>
      <c r="AC59" s="5" t="str">
        <f t="shared" si="22"/>
        <v>1</v>
      </c>
      <c r="AD59" s="5" t="str">
        <f t="shared" si="22"/>
        <v>1</v>
      </c>
      <c r="AE59" s="5" t="str">
        <f t="shared" si="22"/>
        <v>1</v>
      </c>
    </row>
    <row r="60" spans="1:31" ht="14.4" x14ac:dyDescent="0.3">
      <c r="A60" s="14">
        <v>57</v>
      </c>
      <c r="B60" s="24" t="s">
        <v>146</v>
      </c>
      <c r="C60" s="10">
        <v>39</v>
      </c>
      <c r="D60" s="10">
        <v>83</v>
      </c>
      <c r="E60" s="16">
        <v>365</v>
      </c>
      <c r="F60" s="19">
        <v>4.99E-2</v>
      </c>
      <c r="G60" s="10">
        <v>900</v>
      </c>
      <c r="H60" s="13">
        <v>0.02</v>
      </c>
      <c r="I60" s="17">
        <v>10950</v>
      </c>
      <c r="J60" s="22">
        <v>39</v>
      </c>
      <c r="K60" s="18">
        <f t="shared" si="0"/>
        <v>0.70340963855421668</v>
      </c>
      <c r="L60" s="2">
        <f t="shared" si="21"/>
        <v>9.0180722891566242E-2</v>
      </c>
      <c r="M60" s="2">
        <f t="shared" si="2"/>
        <v>0.18036144578313248</v>
      </c>
      <c r="N60" s="2">
        <f t="shared" si="3"/>
        <v>0.27054216867469877</v>
      </c>
      <c r="O60" s="2">
        <f t="shared" si="4"/>
        <v>0.36072289156626497</v>
      </c>
      <c r="P60" s="2">
        <f t="shared" si="5"/>
        <v>0.45090361445783128</v>
      </c>
      <c r="Q60" s="2">
        <f t="shared" si="6"/>
        <v>0.54108433734939754</v>
      </c>
      <c r="R60" s="2">
        <f t="shared" si="7"/>
        <v>35.170481927710831</v>
      </c>
      <c r="S60" s="2">
        <f t="shared" si="16"/>
        <v>4.509036144578312</v>
      </c>
      <c r="T60" s="2">
        <f t="shared" si="9"/>
        <v>9.0180722891566241</v>
      </c>
      <c r="U60" s="2">
        <f t="shared" si="17"/>
        <v>13.527108433734938</v>
      </c>
      <c r="V60" s="2">
        <f t="shared" si="18"/>
        <v>18.036144578313248</v>
      </c>
      <c r="W60" s="2">
        <f t="shared" si="19"/>
        <v>22.545180722891562</v>
      </c>
      <c r="X60" s="2">
        <f t="shared" si="20"/>
        <v>27.054216867469876</v>
      </c>
      <c r="Y60" s="5" t="str">
        <f t="shared" si="22"/>
        <v>1</v>
      </c>
      <c r="Z60" s="5" t="str">
        <f t="shared" si="22"/>
        <v>1</v>
      </c>
      <c r="AA60" s="5" t="str">
        <f t="shared" si="22"/>
        <v>1</v>
      </c>
      <c r="AB60" s="5" t="str">
        <f t="shared" si="22"/>
        <v>1</v>
      </c>
      <c r="AC60" s="5" t="str">
        <f t="shared" si="22"/>
        <v>1</v>
      </c>
      <c r="AD60" s="5" t="str">
        <f t="shared" si="22"/>
        <v>1</v>
      </c>
      <c r="AE60" s="5" t="str">
        <f t="shared" si="22"/>
        <v>1</v>
      </c>
    </row>
    <row r="61" spans="1:31" ht="14.4" x14ac:dyDescent="0.3">
      <c r="A61" s="14">
        <v>58</v>
      </c>
      <c r="B61" s="24" t="s">
        <v>175</v>
      </c>
      <c r="C61" s="10">
        <v>40</v>
      </c>
      <c r="D61" s="10">
        <v>64</v>
      </c>
      <c r="E61" s="16">
        <v>365</v>
      </c>
      <c r="F61" s="19">
        <v>4.99E-2</v>
      </c>
      <c r="G61" s="10">
        <v>900</v>
      </c>
      <c r="H61" s="13">
        <v>0.02</v>
      </c>
      <c r="I61" s="17">
        <v>10950</v>
      </c>
      <c r="J61" s="22">
        <v>5</v>
      </c>
      <c r="K61" s="18">
        <f t="shared" si="0"/>
        <v>0.11695312499999998</v>
      </c>
      <c r="L61" s="2">
        <f t="shared" si="21"/>
        <v>0.11695312499999998</v>
      </c>
      <c r="M61" s="2">
        <f t="shared" si="2"/>
        <v>0.23390624999999995</v>
      </c>
      <c r="N61" s="2">
        <f t="shared" si="3"/>
        <v>0.35085937499999997</v>
      </c>
      <c r="O61" s="2">
        <f t="shared" si="4"/>
        <v>0.46781249999999991</v>
      </c>
      <c r="P61" s="2">
        <f t="shared" si="5"/>
        <v>0.58476562499999996</v>
      </c>
      <c r="Q61" s="2">
        <f t="shared" si="6"/>
        <v>0.70171874999999995</v>
      </c>
      <c r="R61" s="2">
        <f t="shared" si="7"/>
        <v>5.8476562499999991</v>
      </c>
      <c r="S61" s="2">
        <f t="shared" si="16"/>
        <v>5.8476562499999991</v>
      </c>
      <c r="T61" s="2">
        <f t="shared" si="9"/>
        <v>11.695312499999998</v>
      </c>
      <c r="U61" s="2">
        <f t="shared" si="17"/>
        <v>17.54296875</v>
      </c>
      <c r="V61" s="2">
        <f t="shared" si="18"/>
        <v>23.390624999999996</v>
      </c>
      <c r="W61" s="2">
        <f t="shared" si="19"/>
        <v>29.238281249999996</v>
      </c>
      <c r="X61" s="2">
        <f t="shared" si="20"/>
        <v>35.0859375</v>
      </c>
      <c r="Y61" s="5" t="str">
        <f t="shared" si="22"/>
        <v>1</v>
      </c>
      <c r="Z61" s="5" t="str">
        <f t="shared" si="22"/>
        <v>1</v>
      </c>
      <c r="AA61" s="5" t="str">
        <f t="shared" si="22"/>
        <v>1</v>
      </c>
      <c r="AB61" s="5" t="str">
        <f t="shared" si="22"/>
        <v>1</v>
      </c>
      <c r="AC61" s="5" t="str">
        <f t="shared" si="22"/>
        <v>1</v>
      </c>
      <c r="AD61" s="5" t="str">
        <f t="shared" si="22"/>
        <v>1</v>
      </c>
      <c r="AE61" s="5" t="str">
        <f t="shared" si="22"/>
        <v>1</v>
      </c>
    </row>
    <row r="62" spans="1:31" ht="14.4" x14ac:dyDescent="0.3">
      <c r="A62" s="14">
        <v>59</v>
      </c>
      <c r="B62" s="24" t="s">
        <v>176</v>
      </c>
      <c r="C62" s="10">
        <v>40</v>
      </c>
      <c r="D62" s="10">
        <v>57</v>
      </c>
      <c r="E62" s="16">
        <v>365</v>
      </c>
      <c r="F62" s="19">
        <v>3.9100000000000003E-2</v>
      </c>
      <c r="G62" s="10">
        <v>1500</v>
      </c>
      <c r="H62" s="13">
        <v>0.02</v>
      </c>
      <c r="I62" s="17">
        <v>10950</v>
      </c>
      <c r="J62" s="22">
        <v>6</v>
      </c>
      <c r="K62" s="18">
        <f t="shared" si="0"/>
        <v>0.20578947368421058</v>
      </c>
      <c r="L62" s="2">
        <f t="shared" si="21"/>
        <v>0.17149122807017547</v>
      </c>
      <c r="M62" s="2">
        <f t="shared" si="2"/>
        <v>0.34298245614035094</v>
      </c>
      <c r="N62" s="2">
        <f t="shared" si="3"/>
        <v>0.51447368421052642</v>
      </c>
      <c r="O62" s="2">
        <f t="shared" si="4"/>
        <v>0.68596491228070189</v>
      </c>
      <c r="P62" s="2">
        <f t="shared" si="5"/>
        <v>0.85745614035087736</v>
      </c>
      <c r="Q62" s="2">
        <f t="shared" si="6"/>
        <v>1.0289473684210528</v>
      </c>
      <c r="R62" s="2">
        <f t="shared" si="7"/>
        <v>10.289473684210529</v>
      </c>
      <c r="S62" s="2">
        <f t="shared" si="16"/>
        <v>8.574561403508774</v>
      </c>
      <c r="T62" s="2">
        <f t="shared" si="9"/>
        <v>17.149122807017548</v>
      </c>
      <c r="U62" s="2">
        <f t="shared" si="17"/>
        <v>25.723684210526319</v>
      </c>
      <c r="V62" s="2">
        <f t="shared" si="18"/>
        <v>34.298245614035096</v>
      </c>
      <c r="W62" s="2">
        <f t="shared" si="19"/>
        <v>42.87280701754387</v>
      </c>
      <c r="X62" s="2">
        <f t="shared" si="20"/>
        <v>51.447368421052637</v>
      </c>
      <c r="Y62" s="5" t="str">
        <f t="shared" si="22"/>
        <v>1</v>
      </c>
      <c r="Z62" s="5" t="str">
        <f t="shared" si="22"/>
        <v>1</v>
      </c>
      <c r="AA62" s="5" t="str">
        <f t="shared" si="22"/>
        <v>1</v>
      </c>
      <c r="AB62" s="5" t="str">
        <f t="shared" si="22"/>
        <v>1</v>
      </c>
      <c r="AC62" s="5" t="str">
        <f t="shared" si="22"/>
        <v>1</v>
      </c>
      <c r="AD62" s="5" t="str">
        <f t="shared" si="22"/>
        <v>1</v>
      </c>
      <c r="AE62" s="5" t="str">
        <f t="shared" si="22"/>
        <v>1</v>
      </c>
    </row>
    <row r="63" spans="1:31" ht="14.4" x14ac:dyDescent="0.3">
      <c r="A63" s="14">
        <v>60</v>
      </c>
      <c r="B63" s="24" t="s">
        <v>107</v>
      </c>
      <c r="C63" s="10">
        <v>40</v>
      </c>
      <c r="D63" s="10">
        <v>76</v>
      </c>
      <c r="E63" s="16">
        <v>365</v>
      </c>
      <c r="F63" s="19">
        <v>4.1200000000000001E-2</v>
      </c>
      <c r="G63" s="10">
        <v>3000</v>
      </c>
      <c r="H63" s="13">
        <v>0.02</v>
      </c>
      <c r="I63" s="17">
        <v>10950</v>
      </c>
      <c r="J63" s="22">
        <v>1</v>
      </c>
      <c r="K63" s="18">
        <f t="shared" si="0"/>
        <v>5.4210526315789473E-2</v>
      </c>
      <c r="L63" s="2">
        <f t="shared" si="21"/>
        <v>0.27105263157894738</v>
      </c>
      <c r="M63" s="2">
        <f t="shared" si="2"/>
        <v>0.54210526315789476</v>
      </c>
      <c r="N63" s="2">
        <f t="shared" si="3"/>
        <v>0.81315789473684208</v>
      </c>
      <c r="O63" s="2">
        <f t="shared" si="4"/>
        <v>1.0842105263157895</v>
      </c>
      <c r="P63" s="2">
        <f t="shared" si="5"/>
        <v>1.3552631578947369</v>
      </c>
      <c r="Q63" s="2">
        <f t="shared" si="6"/>
        <v>1.6263157894736842</v>
      </c>
      <c r="R63" s="2">
        <f t="shared" si="7"/>
        <v>2.7105263157894735</v>
      </c>
      <c r="S63" s="2">
        <f t="shared" si="16"/>
        <v>13.552631578947368</v>
      </c>
      <c r="T63" s="2">
        <f t="shared" si="9"/>
        <v>27.105263157894736</v>
      </c>
      <c r="U63" s="2">
        <f t="shared" si="17"/>
        <v>40.657894736842103</v>
      </c>
      <c r="V63" s="2">
        <f t="shared" si="18"/>
        <v>54.210526315789473</v>
      </c>
      <c r="W63" s="2">
        <f t="shared" si="19"/>
        <v>67.76315789473685</v>
      </c>
      <c r="X63" s="2">
        <f t="shared" si="20"/>
        <v>81.315789473684205</v>
      </c>
      <c r="Y63" s="5" t="str">
        <f t="shared" si="22"/>
        <v>1</v>
      </c>
      <c r="Z63" s="5" t="str">
        <f t="shared" si="22"/>
        <v>1</v>
      </c>
      <c r="AA63" s="5" t="str">
        <f t="shared" si="22"/>
        <v>1</v>
      </c>
      <c r="AB63" s="5" t="str">
        <f t="shared" si="22"/>
        <v>1</v>
      </c>
      <c r="AC63" s="5" t="str">
        <f t="shared" si="22"/>
        <v>1</v>
      </c>
      <c r="AD63" s="5" t="str">
        <f t="shared" si="22"/>
        <v>1</v>
      </c>
      <c r="AE63" s="5" t="str">
        <f t="shared" si="22"/>
        <v>1</v>
      </c>
    </row>
    <row r="64" spans="1:31" ht="14.4" x14ac:dyDescent="0.3">
      <c r="A64" s="14">
        <v>61</v>
      </c>
      <c r="B64" s="24" t="s">
        <v>147</v>
      </c>
      <c r="C64" s="10">
        <v>40</v>
      </c>
      <c r="D64" s="10">
        <v>64</v>
      </c>
      <c r="E64" s="16">
        <v>365</v>
      </c>
      <c r="F64" s="19">
        <v>4.1200000000000001E-2</v>
      </c>
      <c r="G64" s="10">
        <v>900</v>
      </c>
      <c r="H64" s="13">
        <v>0.02</v>
      </c>
      <c r="I64" s="17">
        <v>10950</v>
      </c>
      <c r="J64" s="22">
        <v>5</v>
      </c>
      <c r="K64" s="18">
        <f t="shared" si="0"/>
        <v>9.6562499999999996E-2</v>
      </c>
      <c r="L64" s="2">
        <f t="shared" si="21"/>
        <v>9.6562499999999996E-2</v>
      </c>
      <c r="M64" s="2">
        <f t="shared" si="2"/>
        <v>0.19312499999999999</v>
      </c>
      <c r="N64" s="2">
        <f t="shared" si="3"/>
        <v>0.28968749999999993</v>
      </c>
      <c r="O64" s="2">
        <f t="shared" si="4"/>
        <v>0.38624999999999998</v>
      </c>
      <c r="P64" s="2">
        <f t="shared" si="5"/>
        <v>0.48281249999999998</v>
      </c>
      <c r="Q64" s="2">
        <f t="shared" si="6"/>
        <v>0.57937499999999986</v>
      </c>
      <c r="R64" s="2">
        <f t="shared" si="7"/>
        <v>4.828125</v>
      </c>
      <c r="S64" s="2">
        <f t="shared" si="16"/>
        <v>4.828125</v>
      </c>
      <c r="T64" s="2">
        <f t="shared" si="9"/>
        <v>9.65625</v>
      </c>
      <c r="U64" s="2">
        <f t="shared" si="17"/>
        <v>14.484374999999996</v>
      </c>
      <c r="V64" s="2">
        <f t="shared" si="18"/>
        <v>19.3125</v>
      </c>
      <c r="W64" s="2">
        <f t="shared" si="19"/>
        <v>24.140625</v>
      </c>
      <c r="X64" s="2">
        <f t="shared" si="20"/>
        <v>28.968749999999993</v>
      </c>
      <c r="Y64" s="5" t="str">
        <f t="shared" si="22"/>
        <v>1</v>
      </c>
      <c r="Z64" s="5" t="str">
        <f t="shared" si="22"/>
        <v>1</v>
      </c>
      <c r="AA64" s="5" t="str">
        <f t="shared" si="22"/>
        <v>1</v>
      </c>
      <c r="AB64" s="5" t="str">
        <f t="shared" si="22"/>
        <v>1</v>
      </c>
      <c r="AC64" s="5" t="str">
        <f t="shared" si="22"/>
        <v>1</v>
      </c>
      <c r="AD64" s="5" t="str">
        <f t="shared" si="22"/>
        <v>1</v>
      </c>
      <c r="AE64" s="5" t="str">
        <f t="shared" si="22"/>
        <v>1</v>
      </c>
    </row>
    <row r="65" spans="1:31" ht="14.4" x14ac:dyDescent="0.3">
      <c r="A65" s="14">
        <v>62</v>
      </c>
      <c r="B65" s="24" t="s">
        <v>177</v>
      </c>
      <c r="C65" s="10">
        <v>41</v>
      </c>
      <c r="D65" s="10">
        <v>55</v>
      </c>
      <c r="E65" s="16">
        <v>365</v>
      </c>
      <c r="F65" s="19">
        <v>5.4199999999999998E-2</v>
      </c>
      <c r="G65" s="10">
        <v>2100</v>
      </c>
      <c r="H65" s="13">
        <v>0.02</v>
      </c>
      <c r="I65" s="17">
        <v>10950</v>
      </c>
      <c r="J65" s="22">
        <v>6</v>
      </c>
      <c r="K65" s="18">
        <f t="shared" si="0"/>
        <v>0.41389090909090909</v>
      </c>
      <c r="L65" s="2">
        <f t="shared" si="21"/>
        <v>0.34490909090909089</v>
      </c>
      <c r="M65" s="2">
        <f t="shared" si="2"/>
        <v>0.68981818181818177</v>
      </c>
      <c r="N65" s="2">
        <f t="shared" si="3"/>
        <v>1.0347272727272725</v>
      </c>
      <c r="O65" s="2">
        <f t="shared" si="4"/>
        <v>1.3796363636363635</v>
      </c>
      <c r="P65" s="2">
        <f t="shared" si="5"/>
        <v>1.7245454545454544</v>
      </c>
      <c r="Q65" s="2">
        <f t="shared" si="6"/>
        <v>2.069454545454545</v>
      </c>
      <c r="R65" s="2">
        <f t="shared" si="7"/>
        <v>20.694545454545455</v>
      </c>
      <c r="S65" s="2">
        <f t="shared" si="16"/>
        <v>17.245454545454542</v>
      </c>
      <c r="T65" s="2">
        <f t="shared" si="9"/>
        <v>34.490909090909085</v>
      </c>
      <c r="U65" s="2">
        <f t="shared" si="17"/>
        <v>51.73636363636362</v>
      </c>
      <c r="V65" s="2">
        <f t="shared" si="18"/>
        <v>68.98181818181817</v>
      </c>
      <c r="W65" s="2">
        <f t="shared" si="19"/>
        <v>86.22727272727272</v>
      </c>
      <c r="X65" s="2">
        <f t="shared" si="20"/>
        <v>103.47272727272724</v>
      </c>
      <c r="Y65" s="5" t="str">
        <f t="shared" si="22"/>
        <v>1</v>
      </c>
      <c r="Z65" s="5" t="str">
        <f t="shared" si="22"/>
        <v>1</v>
      </c>
      <c r="AA65" s="5" t="str">
        <f t="shared" si="22"/>
        <v>1</v>
      </c>
      <c r="AB65" s="5" t="str">
        <f t="shared" si="22"/>
        <v>1</v>
      </c>
      <c r="AC65" s="5" t="str">
        <f t="shared" si="22"/>
        <v>1</v>
      </c>
      <c r="AD65" s="5" t="str">
        <f t="shared" si="22"/>
        <v>1</v>
      </c>
      <c r="AE65" s="5" t="str">
        <f t="shared" si="22"/>
        <v>1</v>
      </c>
    </row>
    <row r="66" spans="1:31" ht="14.4" x14ac:dyDescent="0.3">
      <c r="A66" s="14">
        <v>63</v>
      </c>
      <c r="B66" s="24" t="s">
        <v>126</v>
      </c>
      <c r="C66" s="10">
        <v>41</v>
      </c>
      <c r="D66" s="10">
        <v>55</v>
      </c>
      <c r="E66" s="16">
        <v>365</v>
      </c>
      <c r="F66" s="19">
        <v>5.4199999999999998E-2</v>
      </c>
      <c r="G66" s="10">
        <v>2100</v>
      </c>
      <c r="H66" s="13">
        <v>0.02</v>
      </c>
      <c r="I66" s="17">
        <v>10950</v>
      </c>
      <c r="J66" s="22">
        <v>6</v>
      </c>
      <c r="K66" s="18">
        <f t="shared" si="0"/>
        <v>0.41389090909090909</v>
      </c>
      <c r="L66" s="2">
        <f t="shared" si="21"/>
        <v>0.34490909090909089</v>
      </c>
      <c r="M66" s="2">
        <f t="shared" si="2"/>
        <v>0.68981818181818177</v>
      </c>
      <c r="N66" s="2">
        <f t="shared" si="3"/>
        <v>1.0347272727272725</v>
      </c>
      <c r="O66" s="2">
        <f t="shared" si="4"/>
        <v>1.3796363636363635</v>
      </c>
      <c r="P66" s="2">
        <f t="shared" si="5"/>
        <v>1.7245454545454544</v>
      </c>
      <c r="Q66" s="2">
        <f t="shared" si="6"/>
        <v>2.069454545454545</v>
      </c>
      <c r="R66" s="2">
        <f t="shared" si="7"/>
        <v>20.694545454545455</v>
      </c>
      <c r="S66" s="2">
        <f t="shared" si="16"/>
        <v>17.245454545454542</v>
      </c>
      <c r="T66" s="2">
        <f t="shared" si="9"/>
        <v>34.490909090909085</v>
      </c>
      <c r="U66" s="2">
        <f t="shared" si="17"/>
        <v>51.73636363636362</v>
      </c>
      <c r="V66" s="2">
        <f t="shared" si="18"/>
        <v>68.98181818181817</v>
      </c>
      <c r="W66" s="2">
        <f t="shared" si="19"/>
        <v>86.22727272727272</v>
      </c>
      <c r="X66" s="2">
        <f t="shared" si="20"/>
        <v>103.47272727272724</v>
      </c>
      <c r="Y66" s="5" t="str">
        <f t="shared" si="22"/>
        <v>1</v>
      </c>
      <c r="Z66" s="5" t="str">
        <f t="shared" si="22"/>
        <v>1</v>
      </c>
      <c r="AA66" s="5" t="str">
        <f t="shared" si="22"/>
        <v>1</v>
      </c>
      <c r="AB66" s="5" t="str">
        <f t="shared" si="22"/>
        <v>1</v>
      </c>
      <c r="AC66" s="5" t="str">
        <f t="shared" si="22"/>
        <v>1</v>
      </c>
      <c r="AD66" s="5" t="str">
        <f t="shared" si="22"/>
        <v>1</v>
      </c>
      <c r="AE66" s="5" t="str">
        <f t="shared" si="22"/>
        <v>1</v>
      </c>
    </row>
    <row r="67" spans="1:31" ht="14.4" x14ac:dyDescent="0.3">
      <c r="A67" s="14">
        <v>64</v>
      </c>
      <c r="B67" s="24" t="s">
        <v>178</v>
      </c>
      <c r="C67" s="10">
        <v>42</v>
      </c>
      <c r="D67" s="10">
        <v>78</v>
      </c>
      <c r="E67" s="16">
        <v>365</v>
      </c>
      <c r="F67" s="19">
        <v>5.4199999999999998E-2</v>
      </c>
      <c r="G67" s="10">
        <v>1500</v>
      </c>
      <c r="H67" s="13">
        <v>0.02</v>
      </c>
      <c r="I67" s="17">
        <v>10950</v>
      </c>
      <c r="J67" s="22">
        <v>26</v>
      </c>
      <c r="K67" s="18">
        <f t="shared" si="0"/>
        <v>0.90333333333333332</v>
      </c>
      <c r="L67" s="2">
        <f t="shared" si="21"/>
        <v>0.17371794871794871</v>
      </c>
      <c r="M67" s="2">
        <f t="shared" si="2"/>
        <v>0.34743589743589742</v>
      </c>
      <c r="N67" s="2">
        <f t="shared" si="3"/>
        <v>0.52115384615384619</v>
      </c>
      <c r="O67" s="2">
        <f t="shared" si="4"/>
        <v>0.69487179487179485</v>
      </c>
      <c r="P67" s="2">
        <f t="shared" si="5"/>
        <v>0.86858974358974361</v>
      </c>
      <c r="Q67" s="2">
        <f t="shared" si="6"/>
        <v>1.0423076923076924</v>
      </c>
      <c r="R67" s="2">
        <f t="shared" si="7"/>
        <v>45.166666666666664</v>
      </c>
      <c r="S67" s="2">
        <f t="shared" si="16"/>
        <v>8.6858974358974361</v>
      </c>
      <c r="T67" s="2">
        <f t="shared" si="9"/>
        <v>17.371794871794872</v>
      </c>
      <c r="U67" s="2">
        <f t="shared" si="17"/>
        <v>26.05769230769231</v>
      </c>
      <c r="V67" s="2">
        <f t="shared" si="18"/>
        <v>34.743589743589745</v>
      </c>
      <c r="W67" s="2">
        <f t="shared" si="19"/>
        <v>43.429487179487182</v>
      </c>
      <c r="X67" s="2">
        <f t="shared" si="20"/>
        <v>52.11538461538462</v>
      </c>
      <c r="Y67" s="5" t="str">
        <f t="shared" si="22"/>
        <v>1</v>
      </c>
      <c r="Z67" s="5" t="str">
        <f t="shared" si="22"/>
        <v>1</v>
      </c>
      <c r="AA67" s="5" t="str">
        <f t="shared" si="22"/>
        <v>1</v>
      </c>
      <c r="AB67" s="5" t="str">
        <f t="shared" si="22"/>
        <v>1</v>
      </c>
      <c r="AC67" s="5" t="str">
        <f t="shared" si="22"/>
        <v>1</v>
      </c>
      <c r="AD67" s="5" t="str">
        <f t="shared" si="22"/>
        <v>1</v>
      </c>
      <c r="AE67" s="5" t="str">
        <f t="shared" si="22"/>
        <v>1</v>
      </c>
    </row>
    <row r="68" spans="1:31" ht="14.4" x14ac:dyDescent="0.3">
      <c r="A68" s="14">
        <v>65</v>
      </c>
      <c r="B68" s="24" t="s">
        <v>144</v>
      </c>
      <c r="C68" s="10">
        <v>42</v>
      </c>
      <c r="D68" s="10">
        <v>80</v>
      </c>
      <c r="E68" s="16">
        <v>365</v>
      </c>
      <c r="F68" s="19">
        <v>1.7100000000000001E-2</v>
      </c>
      <c r="G68" s="10">
        <v>900</v>
      </c>
      <c r="H68" s="13">
        <v>0.02</v>
      </c>
      <c r="I68" s="17">
        <v>10950</v>
      </c>
      <c r="J68" s="22">
        <v>20</v>
      </c>
      <c r="K68" s="18">
        <f t="shared" ref="K68:K103" si="23">(F68*G68*E68*J68)/(D68*I68)</f>
        <v>0.12825</v>
      </c>
      <c r="L68" s="2">
        <f t="shared" si="21"/>
        <v>3.2062500000000001E-2</v>
      </c>
      <c r="M68" s="2">
        <f t="shared" ref="M68:M103" si="24">(F68*G68*E68*10)/(D68*I68)</f>
        <v>6.4125000000000001E-2</v>
      </c>
      <c r="N68" s="2">
        <f t="shared" ref="N68:N103" si="25">(F68*G68*E68*15)/(D68*I68)</f>
        <v>9.6187499999999995E-2</v>
      </c>
      <c r="O68" s="2">
        <f t="shared" ref="O68:O103" si="26">(F68*G68*E68*20)/(D68*I68)</f>
        <v>0.12825</v>
      </c>
      <c r="P68" s="2">
        <f t="shared" ref="P68:P103" si="27">(F68*G68*E68*25)/(D68*I68)</f>
        <v>0.1603125</v>
      </c>
      <c r="Q68" s="2">
        <f t="shared" ref="Q68:Q103" si="28">(F68*G68*E68*30)/(D68*I68)</f>
        <v>0.19237499999999999</v>
      </c>
      <c r="R68" s="2">
        <f t="shared" ref="R68:R103" si="29">K68/H68</f>
        <v>6.4124999999999996</v>
      </c>
      <c r="S68" s="2">
        <f t="shared" si="16"/>
        <v>1.6031249999999999</v>
      </c>
      <c r="T68" s="2">
        <f t="shared" ref="T68:T103" si="30">M68/H68</f>
        <v>3.2062499999999998</v>
      </c>
      <c r="U68" s="2">
        <f t="shared" si="17"/>
        <v>4.8093749999999993</v>
      </c>
      <c r="V68" s="2">
        <f t="shared" si="18"/>
        <v>6.4124999999999996</v>
      </c>
      <c r="W68" s="2">
        <f t="shared" si="19"/>
        <v>8.015625</v>
      </c>
      <c r="X68" s="2">
        <f t="shared" si="20"/>
        <v>9.6187499999999986</v>
      </c>
      <c r="Y68" s="5" t="str">
        <f t="shared" si="22"/>
        <v>1</v>
      </c>
      <c r="Z68" s="5" t="str">
        <f t="shared" si="22"/>
        <v>1</v>
      </c>
      <c r="AA68" s="5" t="str">
        <f t="shared" si="22"/>
        <v>1</v>
      </c>
      <c r="AB68" s="5" t="str">
        <f t="shared" si="22"/>
        <v>1</v>
      </c>
      <c r="AC68" s="5" t="str">
        <f t="shared" si="22"/>
        <v>1</v>
      </c>
      <c r="AD68" s="5" t="str">
        <f t="shared" si="22"/>
        <v>1</v>
      </c>
      <c r="AE68" s="5" t="str">
        <f t="shared" si="22"/>
        <v>1</v>
      </c>
    </row>
    <row r="69" spans="1:31" ht="14.4" x14ac:dyDescent="0.3">
      <c r="A69" s="14">
        <v>66</v>
      </c>
      <c r="B69" s="24" t="s">
        <v>179</v>
      </c>
      <c r="C69" s="10">
        <v>42</v>
      </c>
      <c r="D69" s="10">
        <v>49</v>
      </c>
      <c r="E69" s="16">
        <v>365</v>
      </c>
      <c r="F69" s="19">
        <v>6.1000000000000004E-3</v>
      </c>
      <c r="G69" s="10">
        <v>900</v>
      </c>
      <c r="H69" s="13">
        <v>0.02</v>
      </c>
      <c r="I69" s="17">
        <v>10950</v>
      </c>
      <c r="J69" s="22">
        <v>1</v>
      </c>
      <c r="K69" s="18">
        <f t="shared" si="23"/>
        <v>3.7346938775510209E-3</v>
      </c>
      <c r="L69" s="2">
        <f t="shared" si="21"/>
        <v>1.86734693877551E-2</v>
      </c>
      <c r="M69" s="2">
        <f t="shared" si="24"/>
        <v>3.7346938775510201E-2</v>
      </c>
      <c r="N69" s="2">
        <f t="shared" si="25"/>
        <v>5.6020408163265312E-2</v>
      </c>
      <c r="O69" s="2">
        <f t="shared" si="26"/>
        <v>7.4693877551020402E-2</v>
      </c>
      <c r="P69" s="2">
        <f t="shared" si="27"/>
        <v>9.3367346938775506E-2</v>
      </c>
      <c r="Q69" s="2">
        <f t="shared" si="28"/>
        <v>0.11204081632653062</v>
      </c>
      <c r="R69" s="2">
        <f t="shared" si="29"/>
        <v>0.18673469387755104</v>
      </c>
      <c r="S69" s="2">
        <f t="shared" si="16"/>
        <v>0.93367346938775497</v>
      </c>
      <c r="T69" s="2">
        <f t="shared" si="30"/>
        <v>1.8673469387755099</v>
      </c>
      <c r="U69" s="2">
        <f t="shared" si="17"/>
        <v>2.8010204081632657</v>
      </c>
      <c r="V69" s="2">
        <f t="shared" si="18"/>
        <v>3.7346938775510199</v>
      </c>
      <c r="W69" s="2">
        <f t="shared" si="19"/>
        <v>4.6683673469387754</v>
      </c>
      <c r="X69" s="2">
        <f t="shared" si="20"/>
        <v>5.6020408163265314</v>
      </c>
      <c r="Y69" s="5" t="str">
        <f t="shared" si="22"/>
        <v>2</v>
      </c>
      <c r="Z69" s="5" t="str">
        <f t="shared" si="22"/>
        <v>2</v>
      </c>
      <c r="AA69" s="5" t="str">
        <f t="shared" si="22"/>
        <v>1</v>
      </c>
      <c r="AB69" s="5" t="str">
        <f t="shared" si="22"/>
        <v>1</v>
      </c>
      <c r="AC69" s="5" t="str">
        <f t="shared" si="22"/>
        <v>1</v>
      </c>
      <c r="AD69" s="5" t="str">
        <f t="shared" si="22"/>
        <v>1</v>
      </c>
      <c r="AE69" s="5" t="str">
        <f t="shared" si="22"/>
        <v>1</v>
      </c>
    </row>
    <row r="70" spans="1:31" ht="14.4" x14ac:dyDescent="0.3">
      <c r="A70" s="14">
        <v>67</v>
      </c>
      <c r="B70" s="24" t="s">
        <v>112</v>
      </c>
      <c r="C70" s="10">
        <v>42</v>
      </c>
      <c r="D70" s="10">
        <v>78</v>
      </c>
      <c r="E70" s="16">
        <v>365</v>
      </c>
      <c r="F70" s="19">
        <v>6.1000000000000004E-3</v>
      </c>
      <c r="G70" s="10">
        <v>1500</v>
      </c>
      <c r="H70" s="13">
        <v>0.02</v>
      </c>
      <c r="I70" s="17">
        <v>10950</v>
      </c>
      <c r="J70" s="22">
        <v>26</v>
      </c>
      <c r="K70" s="18">
        <f t="shared" si="23"/>
        <v>0.10166666666666667</v>
      </c>
      <c r="L70" s="2">
        <f t="shared" si="21"/>
        <v>1.9551282051282051E-2</v>
      </c>
      <c r="M70" s="2">
        <f t="shared" si="24"/>
        <v>3.9102564102564102E-2</v>
      </c>
      <c r="N70" s="2">
        <f t="shared" si="25"/>
        <v>5.8653846153846154E-2</v>
      </c>
      <c r="O70" s="2">
        <f t="shared" si="26"/>
        <v>7.8205128205128205E-2</v>
      </c>
      <c r="P70" s="2">
        <f t="shared" si="27"/>
        <v>9.7756410256410256E-2</v>
      </c>
      <c r="Q70" s="2">
        <f t="shared" si="28"/>
        <v>0.11730769230769231</v>
      </c>
      <c r="R70" s="2">
        <f t="shared" si="29"/>
        <v>5.083333333333333</v>
      </c>
      <c r="S70" s="2">
        <f t="shared" si="16"/>
        <v>0.97756410256410253</v>
      </c>
      <c r="T70" s="2">
        <f t="shared" si="30"/>
        <v>1.9551282051282051</v>
      </c>
      <c r="U70" s="2">
        <f t="shared" si="17"/>
        <v>2.9326923076923075</v>
      </c>
      <c r="V70" s="2">
        <f t="shared" si="18"/>
        <v>3.9102564102564101</v>
      </c>
      <c r="W70" s="2">
        <f t="shared" si="19"/>
        <v>4.8878205128205128</v>
      </c>
      <c r="X70" s="2">
        <f t="shared" si="20"/>
        <v>5.865384615384615</v>
      </c>
      <c r="Y70" s="5" t="str">
        <f t="shared" si="22"/>
        <v>1</v>
      </c>
      <c r="Z70" s="5" t="str">
        <f t="shared" si="22"/>
        <v>2</v>
      </c>
      <c r="AA70" s="5" t="str">
        <f t="shared" si="22"/>
        <v>1</v>
      </c>
      <c r="AB70" s="5" t="str">
        <f t="shared" si="22"/>
        <v>1</v>
      </c>
      <c r="AC70" s="5" t="str">
        <f t="shared" si="22"/>
        <v>1</v>
      </c>
      <c r="AD70" s="5" t="str">
        <f t="shared" si="22"/>
        <v>1</v>
      </c>
      <c r="AE70" s="5" t="str">
        <f t="shared" si="22"/>
        <v>1</v>
      </c>
    </row>
    <row r="71" spans="1:31" ht="14.4" x14ac:dyDescent="0.3">
      <c r="A71" s="14">
        <v>68</v>
      </c>
      <c r="B71" s="24" t="s">
        <v>144</v>
      </c>
      <c r="C71" s="10">
        <v>42</v>
      </c>
      <c r="D71" s="10">
        <v>80</v>
      </c>
      <c r="E71" s="16">
        <v>365</v>
      </c>
      <c r="F71" s="19">
        <v>3.2300000000000002E-2</v>
      </c>
      <c r="G71" s="10">
        <v>900</v>
      </c>
      <c r="H71" s="13">
        <v>0.02</v>
      </c>
      <c r="I71" s="17">
        <v>10950</v>
      </c>
      <c r="J71" s="22">
        <v>20</v>
      </c>
      <c r="K71" s="18">
        <f t="shared" si="23"/>
        <v>0.24225000000000002</v>
      </c>
      <c r="L71" s="2">
        <f t="shared" si="21"/>
        <v>6.0562500000000005E-2</v>
      </c>
      <c r="M71" s="2">
        <f t="shared" si="24"/>
        <v>0.12112500000000001</v>
      </c>
      <c r="N71" s="2">
        <f t="shared" si="25"/>
        <v>0.18168750000000003</v>
      </c>
      <c r="O71" s="2">
        <f t="shared" si="26"/>
        <v>0.24225000000000002</v>
      </c>
      <c r="P71" s="2">
        <f t="shared" si="27"/>
        <v>0.30281249999999998</v>
      </c>
      <c r="Q71" s="2">
        <f t="shared" si="28"/>
        <v>0.36337500000000006</v>
      </c>
      <c r="R71" s="2">
        <f t="shared" si="29"/>
        <v>12.112500000000001</v>
      </c>
      <c r="S71" s="2">
        <f t="shared" si="16"/>
        <v>3.0281250000000002</v>
      </c>
      <c r="T71" s="2">
        <f t="shared" si="30"/>
        <v>6.0562500000000004</v>
      </c>
      <c r="U71" s="2">
        <f t="shared" si="17"/>
        <v>9.0843750000000014</v>
      </c>
      <c r="V71" s="2">
        <f t="shared" si="18"/>
        <v>12.112500000000001</v>
      </c>
      <c r="W71" s="2">
        <f t="shared" si="19"/>
        <v>15.140624999999998</v>
      </c>
      <c r="X71" s="2">
        <f t="shared" si="20"/>
        <v>18.168750000000003</v>
      </c>
      <c r="Y71" s="5" t="str">
        <f t="shared" si="22"/>
        <v>1</v>
      </c>
      <c r="Z71" s="5" t="str">
        <f t="shared" si="22"/>
        <v>1</v>
      </c>
      <c r="AA71" s="5" t="str">
        <f t="shared" si="22"/>
        <v>1</v>
      </c>
      <c r="AB71" s="5" t="str">
        <f t="shared" si="22"/>
        <v>1</v>
      </c>
      <c r="AC71" s="5" t="str">
        <f t="shared" si="22"/>
        <v>1</v>
      </c>
      <c r="AD71" s="5" t="str">
        <f t="shared" si="22"/>
        <v>1</v>
      </c>
      <c r="AE71" s="5" t="str">
        <f t="shared" si="22"/>
        <v>1</v>
      </c>
    </row>
    <row r="72" spans="1:31" ht="14.4" x14ac:dyDescent="0.3">
      <c r="A72" s="14">
        <v>69</v>
      </c>
      <c r="B72" s="24" t="s">
        <v>153</v>
      </c>
      <c r="C72" s="10">
        <v>42</v>
      </c>
      <c r="D72" s="10">
        <v>80</v>
      </c>
      <c r="E72" s="16">
        <v>365</v>
      </c>
      <c r="F72" s="19">
        <v>3.1099999999999999E-2</v>
      </c>
      <c r="G72" s="10">
        <v>900</v>
      </c>
      <c r="H72" s="13">
        <v>0.02</v>
      </c>
      <c r="I72" s="17">
        <v>10950</v>
      </c>
      <c r="J72" s="22">
        <v>20</v>
      </c>
      <c r="K72" s="18">
        <f t="shared" si="23"/>
        <v>0.23324999999999996</v>
      </c>
      <c r="L72" s="2">
        <f t="shared" si="21"/>
        <v>5.8312499999999989E-2</v>
      </c>
      <c r="M72" s="2">
        <f t="shared" si="24"/>
        <v>0.11662499999999998</v>
      </c>
      <c r="N72" s="2">
        <f t="shared" si="25"/>
        <v>0.17493749999999997</v>
      </c>
      <c r="O72" s="2">
        <f t="shared" si="26"/>
        <v>0.23324999999999996</v>
      </c>
      <c r="P72" s="2">
        <f t="shared" si="27"/>
        <v>0.29156249999999995</v>
      </c>
      <c r="Q72" s="2">
        <f t="shared" si="28"/>
        <v>0.34987499999999994</v>
      </c>
      <c r="R72" s="2">
        <f t="shared" si="29"/>
        <v>11.662499999999998</v>
      </c>
      <c r="S72" s="2">
        <f t="shared" si="16"/>
        <v>2.9156249999999995</v>
      </c>
      <c r="T72" s="2">
        <f t="shared" si="30"/>
        <v>5.8312499999999989</v>
      </c>
      <c r="U72" s="2">
        <f t="shared" si="17"/>
        <v>8.7468749999999975</v>
      </c>
      <c r="V72" s="2">
        <f t="shared" si="18"/>
        <v>11.662499999999998</v>
      </c>
      <c r="W72" s="2">
        <f t="shared" si="19"/>
        <v>14.578124999999996</v>
      </c>
      <c r="X72" s="2">
        <f t="shared" si="20"/>
        <v>17.493749999999995</v>
      </c>
      <c r="Y72" s="5" t="str">
        <f t="shared" si="22"/>
        <v>1</v>
      </c>
      <c r="Z72" s="5" t="str">
        <f t="shared" si="22"/>
        <v>1</v>
      </c>
      <c r="AA72" s="5" t="str">
        <f t="shared" si="22"/>
        <v>1</v>
      </c>
      <c r="AB72" s="5" t="str">
        <f t="shared" si="22"/>
        <v>1</v>
      </c>
      <c r="AC72" s="5" t="str">
        <f t="shared" si="22"/>
        <v>1</v>
      </c>
      <c r="AD72" s="5" t="str">
        <f t="shared" si="22"/>
        <v>1</v>
      </c>
      <c r="AE72" s="5" t="str">
        <f t="shared" si="22"/>
        <v>1</v>
      </c>
    </row>
    <row r="73" spans="1:31" ht="14.4" x14ac:dyDescent="0.3">
      <c r="A73" s="14">
        <v>70</v>
      </c>
      <c r="B73" s="24" t="s">
        <v>180</v>
      </c>
      <c r="C73" s="10">
        <v>43</v>
      </c>
      <c r="D73" s="10">
        <v>41</v>
      </c>
      <c r="E73" s="16">
        <v>365</v>
      </c>
      <c r="F73" s="19">
        <v>3.1099999999999999E-2</v>
      </c>
      <c r="G73" s="10">
        <v>1500</v>
      </c>
      <c r="H73" s="13">
        <v>0.02</v>
      </c>
      <c r="I73" s="17">
        <v>10950</v>
      </c>
      <c r="J73" s="22">
        <v>43</v>
      </c>
      <c r="K73" s="18">
        <f t="shared" si="23"/>
        <v>1.6308536585365854</v>
      </c>
      <c r="L73" s="2">
        <f t="shared" si="21"/>
        <v>0.18963414634146342</v>
      </c>
      <c r="M73" s="2">
        <f t="shared" si="24"/>
        <v>0.37926829268292683</v>
      </c>
      <c r="N73" s="2">
        <f t="shared" si="25"/>
        <v>0.56890243902439019</v>
      </c>
      <c r="O73" s="2">
        <f t="shared" si="26"/>
        <v>0.75853658536585367</v>
      </c>
      <c r="P73" s="2">
        <f t="shared" si="27"/>
        <v>0.94817073170731703</v>
      </c>
      <c r="Q73" s="2">
        <f t="shared" si="28"/>
        <v>1.1378048780487804</v>
      </c>
      <c r="R73" s="2">
        <f t="shared" si="29"/>
        <v>81.542682926829272</v>
      </c>
      <c r="S73" s="2">
        <f t="shared" si="16"/>
        <v>9.4817073170731714</v>
      </c>
      <c r="T73" s="2">
        <f t="shared" si="30"/>
        <v>18.963414634146343</v>
      </c>
      <c r="U73" s="2">
        <f t="shared" si="17"/>
        <v>28.445121951219509</v>
      </c>
      <c r="V73" s="2">
        <f t="shared" si="18"/>
        <v>37.926829268292686</v>
      </c>
      <c r="W73" s="2">
        <f t="shared" si="19"/>
        <v>47.408536585365852</v>
      </c>
      <c r="X73" s="2">
        <f t="shared" si="20"/>
        <v>56.890243902439018</v>
      </c>
      <c r="Y73" s="5" t="str">
        <f t="shared" si="22"/>
        <v>1</v>
      </c>
      <c r="Z73" s="5" t="str">
        <f t="shared" si="22"/>
        <v>1</v>
      </c>
      <c r="AA73" s="5" t="str">
        <f t="shared" si="22"/>
        <v>1</v>
      </c>
      <c r="AB73" s="5" t="str">
        <f t="shared" si="22"/>
        <v>1</v>
      </c>
      <c r="AC73" s="5" t="str">
        <f t="shared" si="22"/>
        <v>1</v>
      </c>
      <c r="AD73" s="5" t="str">
        <f t="shared" si="22"/>
        <v>1</v>
      </c>
      <c r="AE73" s="5" t="str">
        <f t="shared" si="22"/>
        <v>1</v>
      </c>
    </row>
    <row r="74" spans="1:31" ht="14.4" x14ac:dyDescent="0.3">
      <c r="A74" s="14">
        <v>71</v>
      </c>
      <c r="B74" s="24" t="s">
        <v>115</v>
      </c>
      <c r="C74" s="10">
        <v>43</v>
      </c>
      <c r="D74" s="10">
        <v>41</v>
      </c>
      <c r="E74" s="16">
        <v>365</v>
      </c>
      <c r="F74" s="19">
        <v>3.5700000000000003E-2</v>
      </c>
      <c r="G74" s="10">
        <v>1500</v>
      </c>
      <c r="H74" s="13">
        <v>0.02</v>
      </c>
      <c r="I74" s="17">
        <v>10950</v>
      </c>
      <c r="J74" s="22">
        <v>43</v>
      </c>
      <c r="K74" s="18">
        <f t="shared" si="23"/>
        <v>1.8720731707317073</v>
      </c>
      <c r="L74" s="2">
        <f t="shared" si="21"/>
        <v>0.21768292682926829</v>
      </c>
      <c r="M74" s="2">
        <f t="shared" si="24"/>
        <v>0.43536585365853658</v>
      </c>
      <c r="N74" s="2">
        <f t="shared" si="25"/>
        <v>0.6530487804878049</v>
      </c>
      <c r="O74" s="2">
        <f t="shared" si="26"/>
        <v>0.87073170731707317</v>
      </c>
      <c r="P74" s="2">
        <f t="shared" si="27"/>
        <v>1.0884146341463414</v>
      </c>
      <c r="Q74" s="2">
        <f t="shared" si="28"/>
        <v>1.3060975609756098</v>
      </c>
      <c r="R74" s="2">
        <f t="shared" si="29"/>
        <v>93.603658536585357</v>
      </c>
      <c r="S74" s="2">
        <f t="shared" si="16"/>
        <v>10.884146341463415</v>
      </c>
      <c r="T74" s="2">
        <f t="shared" si="30"/>
        <v>21.76829268292683</v>
      </c>
      <c r="U74" s="2">
        <f t="shared" si="17"/>
        <v>32.652439024390247</v>
      </c>
      <c r="V74" s="2">
        <f t="shared" si="18"/>
        <v>43.536585365853661</v>
      </c>
      <c r="W74" s="2">
        <f t="shared" si="19"/>
        <v>54.420731707317067</v>
      </c>
      <c r="X74" s="2">
        <f t="shared" si="20"/>
        <v>65.304878048780495</v>
      </c>
      <c r="Y74" s="5" t="str">
        <f t="shared" si="22"/>
        <v>1</v>
      </c>
      <c r="Z74" s="5" t="str">
        <f t="shared" si="22"/>
        <v>1</v>
      </c>
      <c r="AA74" s="5" t="str">
        <f t="shared" si="22"/>
        <v>1</v>
      </c>
      <c r="AB74" s="5" t="str">
        <f t="shared" si="22"/>
        <v>1</v>
      </c>
      <c r="AC74" s="5" t="str">
        <f t="shared" si="22"/>
        <v>1</v>
      </c>
      <c r="AD74" s="5" t="str">
        <f t="shared" si="22"/>
        <v>1</v>
      </c>
      <c r="AE74" s="5" t="str">
        <f t="shared" si="22"/>
        <v>1</v>
      </c>
    </row>
    <row r="75" spans="1:31" ht="14.4" x14ac:dyDescent="0.3">
      <c r="A75" s="14">
        <v>72</v>
      </c>
      <c r="B75" s="24" t="s">
        <v>133</v>
      </c>
      <c r="C75" s="10">
        <v>43</v>
      </c>
      <c r="D75" s="10">
        <v>41</v>
      </c>
      <c r="E75" s="16">
        <v>365</v>
      </c>
      <c r="F75" s="19">
        <v>3.61E-2</v>
      </c>
      <c r="G75" s="10">
        <v>1500</v>
      </c>
      <c r="H75" s="13">
        <v>0.02</v>
      </c>
      <c r="I75" s="17">
        <v>10950</v>
      </c>
      <c r="J75" s="22">
        <v>43</v>
      </c>
      <c r="K75" s="18">
        <f t="shared" si="23"/>
        <v>1.8930487804878049</v>
      </c>
      <c r="L75" s="2">
        <f t="shared" si="21"/>
        <v>0.2201219512195122</v>
      </c>
      <c r="M75" s="2">
        <f t="shared" si="24"/>
        <v>0.44024390243902439</v>
      </c>
      <c r="N75" s="2">
        <f t="shared" si="25"/>
        <v>0.66036585365853662</v>
      </c>
      <c r="O75" s="2">
        <f t="shared" si="26"/>
        <v>0.88048780487804879</v>
      </c>
      <c r="P75" s="2">
        <f t="shared" si="27"/>
        <v>1.100609756097561</v>
      </c>
      <c r="Q75" s="2">
        <f t="shared" si="28"/>
        <v>1.3207317073170732</v>
      </c>
      <c r="R75" s="2">
        <f t="shared" si="29"/>
        <v>94.652439024390247</v>
      </c>
      <c r="S75" s="2">
        <f t="shared" si="16"/>
        <v>11.00609756097561</v>
      </c>
      <c r="T75" s="2">
        <f t="shared" si="30"/>
        <v>22.012195121951219</v>
      </c>
      <c r="U75" s="2">
        <f t="shared" si="17"/>
        <v>33.018292682926827</v>
      </c>
      <c r="V75" s="2">
        <f t="shared" si="18"/>
        <v>44.024390243902438</v>
      </c>
      <c r="W75" s="2">
        <f t="shared" si="19"/>
        <v>55.030487804878049</v>
      </c>
      <c r="X75" s="2">
        <f t="shared" si="20"/>
        <v>66.036585365853654</v>
      </c>
      <c r="Y75" s="5" t="str">
        <f t="shared" si="22"/>
        <v>1</v>
      </c>
      <c r="Z75" s="5" t="str">
        <f t="shared" si="22"/>
        <v>1</v>
      </c>
      <c r="AA75" s="5" t="str">
        <f t="shared" si="22"/>
        <v>1</v>
      </c>
      <c r="AB75" s="5" t="str">
        <f t="shared" si="22"/>
        <v>1</v>
      </c>
      <c r="AC75" s="5" t="str">
        <f t="shared" si="22"/>
        <v>1</v>
      </c>
      <c r="AD75" s="5" t="str">
        <f t="shared" si="22"/>
        <v>1</v>
      </c>
      <c r="AE75" s="5" t="str">
        <f t="shared" si="22"/>
        <v>1</v>
      </c>
    </row>
    <row r="76" spans="1:31" ht="14.4" x14ac:dyDescent="0.3">
      <c r="A76" s="14">
        <v>73</v>
      </c>
      <c r="B76" s="24" t="s">
        <v>135</v>
      </c>
      <c r="C76" s="10">
        <v>43</v>
      </c>
      <c r="D76" s="10">
        <v>41</v>
      </c>
      <c r="E76" s="16">
        <v>365</v>
      </c>
      <c r="F76" s="19">
        <v>3.4599999999999999E-2</v>
      </c>
      <c r="G76" s="10">
        <v>1500</v>
      </c>
      <c r="H76" s="13">
        <v>0.02</v>
      </c>
      <c r="I76" s="17">
        <v>10950</v>
      </c>
      <c r="J76" s="22">
        <v>43</v>
      </c>
      <c r="K76" s="18">
        <f t="shared" si="23"/>
        <v>1.8143902439024391</v>
      </c>
      <c r="L76" s="2">
        <f t="shared" si="21"/>
        <v>0.21097560975609755</v>
      </c>
      <c r="M76" s="2">
        <f t="shared" si="24"/>
        <v>0.42195121951219511</v>
      </c>
      <c r="N76" s="2">
        <f t="shared" si="25"/>
        <v>0.63292682926829269</v>
      </c>
      <c r="O76" s="2">
        <f t="shared" si="26"/>
        <v>0.84390243902439022</v>
      </c>
      <c r="P76" s="2">
        <f t="shared" si="27"/>
        <v>1.0548780487804879</v>
      </c>
      <c r="Q76" s="2">
        <f t="shared" si="28"/>
        <v>1.2658536585365854</v>
      </c>
      <c r="R76" s="2">
        <f t="shared" si="29"/>
        <v>90.719512195121951</v>
      </c>
      <c r="S76" s="2">
        <f t="shared" si="16"/>
        <v>10.548780487804878</v>
      </c>
      <c r="T76" s="2">
        <f t="shared" si="30"/>
        <v>21.097560975609756</v>
      </c>
      <c r="U76" s="2">
        <f t="shared" si="17"/>
        <v>31.646341463414632</v>
      </c>
      <c r="V76" s="2">
        <f t="shared" si="18"/>
        <v>42.195121951219512</v>
      </c>
      <c r="W76" s="2">
        <f t="shared" si="19"/>
        <v>52.743902439024389</v>
      </c>
      <c r="X76" s="2">
        <f t="shared" si="20"/>
        <v>63.292682926829265</v>
      </c>
      <c r="Y76" s="5" t="str">
        <f t="shared" si="22"/>
        <v>1</v>
      </c>
      <c r="Z76" s="5" t="str">
        <f t="shared" si="22"/>
        <v>1</v>
      </c>
      <c r="AA76" s="5" t="str">
        <f t="shared" si="22"/>
        <v>1</v>
      </c>
      <c r="AB76" s="5" t="str">
        <f t="shared" si="22"/>
        <v>1</v>
      </c>
      <c r="AC76" s="5" t="str">
        <f t="shared" si="22"/>
        <v>1</v>
      </c>
      <c r="AD76" s="5" t="str">
        <f t="shared" si="22"/>
        <v>1</v>
      </c>
      <c r="AE76" s="5" t="str">
        <f t="shared" si="22"/>
        <v>1</v>
      </c>
    </row>
    <row r="77" spans="1:31" ht="14.4" x14ac:dyDescent="0.3">
      <c r="A77" s="14">
        <v>74</v>
      </c>
      <c r="B77" s="24" t="s">
        <v>156</v>
      </c>
      <c r="C77" s="10">
        <v>43</v>
      </c>
      <c r="D77" s="10">
        <v>41</v>
      </c>
      <c r="E77" s="16">
        <v>365</v>
      </c>
      <c r="F77" s="19">
        <v>3.4599999999999999E-2</v>
      </c>
      <c r="G77" s="10">
        <v>1500</v>
      </c>
      <c r="H77" s="13">
        <v>0.02</v>
      </c>
      <c r="I77" s="17">
        <v>10950</v>
      </c>
      <c r="J77" s="22">
        <v>43</v>
      </c>
      <c r="K77" s="18">
        <f t="shared" si="23"/>
        <v>1.8143902439024391</v>
      </c>
      <c r="L77" s="2">
        <f t="shared" si="21"/>
        <v>0.21097560975609755</v>
      </c>
      <c r="M77" s="2">
        <f t="shared" si="24"/>
        <v>0.42195121951219511</v>
      </c>
      <c r="N77" s="2">
        <f t="shared" si="25"/>
        <v>0.63292682926829269</v>
      </c>
      <c r="O77" s="2">
        <f t="shared" si="26"/>
        <v>0.84390243902439022</v>
      </c>
      <c r="P77" s="2">
        <f t="shared" si="27"/>
        <v>1.0548780487804879</v>
      </c>
      <c r="Q77" s="2">
        <f t="shared" si="28"/>
        <v>1.2658536585365854</v>
      </c>
      <c r="R77" s="2">
        <f t="shared" si="29"/>
        <v>90.719512195121951</v>
      </c>
      <c r="S77" s="2">
        <f t="shared" si="16"/>
        <v>10.548780487804878</v>
      </c>
      <c r="T77" s="2">
        <f t="shared" si="30"/>
        <v>21.097560975609756</v>
      </c>
      <c r="U77" s="2">
        <f t="shared" si="17"/>
        <v>31.646341463414632</v>
      </c>
      <c r="V77" s="2">
        <f t="shared" si="18"/>
        <v>42.195121951219512</v>
      </c>
      <c r="W77" s="2">
        <f t="shared" si="19"/>
        <v>52.743902439024389</v>
      </c>
      <c r="X77" s="2">
        <f t="shared" si="20"/>
        <v>63.292682926829265</v>
      </c>
      <c r="Y77" s="5" t="str">
        <f t="shared" si="22"/>
        <v>1</v>
      </c>
      <c r="Z77" s="5" t="str">
        <f t="shared" si="22"/>
        <v>1</v>
      </c>
      <c r="AA77" s="5" t="str">
        <f t="shared" si="22"/>
        <v>1</v>
      </c>
      <c r="AB77" s="5" t="str">
        <f t="shared" si="22"/>
        <v>1</v>
      </c>
      <c r="AC77" s="5" t="str">
        <f t="shared" si="22"/>
        <v>1</v>
      </c>
      <c r="AD77" s="5" t="str">
        <f t="shared" si="22"/>
        <v>1</v>
      </c>
      <c r="AE77" s="5" t="str">
        <f t="shared" si="22"/>
        <v>1</v>
      </c>
    </row>
    <row r="78" spans="1:31" ht="14.4" x14ac:dyDescent="0.3">
      <c r="A78" s="14">
        <v>75</v>
      </c>
      <c r="B78" s="24" t="s">
        <v>108</v>
      </c>
      <c r="C78" s="10">
        <v>44</v>
      </c>
      <c r="D78" s="10">
        <v>81</v>
      </c>
      <c r="E78" s="16">
        <v>365</v>
      </c>
      <c r="F78" s="19">
        <v>3.4599999999999999E-2</v>
      </c>
      <c r="G78" s="10">
        <v>1500</v>
      </c>
      <c r="H78" s="13">
        <v>0.02</v>
      </c>
      <c r="I78" s="17">
        <v>10950</v>
      </c>
      <c r="J78" s="22">
        <v>21</v>
      </c>
      <c r="K78" s="18">
        <f t="shared" si="23"/>
        <v>0.44851851851851854</v>
      </c>
      <c r="L78" s="2">
        <f t="shared" si="21"/>
        <v>0.10679012345679012</v>
      </c>
      <c r="M78" s="2">
        <f t="shared" si="24"/>
        <v>0.21358024691358024</v>
      </c>
      <c r="N78" s="2">
        <f t="shared" si="25"/>
        <v>0.32037037037037036</v>
      </c>
      <c r="O78" s="2">
        <f t="shared" si="26"/>
        <v>0.42716049382716048</v>
      </c>
      <c r="P78" s="2">
        <f t="shared" si="27"/>
        <v>0.53395061728395066</v>
      </c>
      <c r="Q78" s="2">
        <f t="shared" si="28"/>
        <v>0.64074074074074072</v>
      </c>
      <c r="R78" s="2">
        <f t="shared" si="29"/>
        <v>22.425925925925927</v>
      </c>
      <c r="S78" s="2">
        <f t="shared" si="16"/>
        <v>5.3395061728395063</v>
      </c>
      <c r="T78" s="2">
        <f t="shared" si="30"/>
        <v>10.679012345679013</v>
      </c>
      <c r="U78" s="2">
        <f t="shared" si="17"/>
        <v>16.018518518518519</v>
      </c>
      <c r="V78" s="2">
        <f t="shared" si="18"/>
        <v>21.358024691358025</v>
      </c>
      <c r="W78" s="2">
        <f t="shared" si="19"/>
        <v>26.697530864197532</v>
      </c>
      <c r="X78" s="2">
        <f t="shared" si="20"/>
        <v>32.037037037037038</v>
      </c>
      <c r="Y78" s="5" t="str">
        <f t="shared" si="22"/>
        <v>1</v>
      </c>
      <c r="Z78" s="5" t="str">
        <f t="shared" si="22"/>
        <v>1</v>
      </c>
      <c r="AA78" s="5" t="str">
        <f t="shared" si="22"/>
        <v>1</v>
      </c>
      <c r="AB78" s="5" t="str">
        <f t="shared" si="22"/>
        <v>1</v>
      </c>
      <c r="AC78" s="5" t="str">
        <f t="shared" si="22"/>
        <v>1</v>
      </c>
      <c r="AD78" s="5" t="str">
        <f t="shared" si="22"/>
        <v>1</v>
      </c>
      <c r="AE78" s="5" t="str">
        <f t="shared" si="22"/>
        <v>1</v>
      </c>
    </row>
    <row r="79" spans="1:31" ht="14.4" x14ac:dyDescent="0.3">
      <c r="A79" s="14">
        <v>76</v>
      </c>
      <c r="B79" s="24" t="s">
        <v>181</v>
      </c>
      <c r="C79" s="10">
        <v>44</v>
      </c>
      <c r="D79" s="10">
        <v>58</v>
      </c>
      <c r="E79" s="16">
        <v>365</v>
      </c>
      <c r="F79" s="19">
        <v>3.3099999999999997E-2</v>
      </c>
      <c r="G79" s="10">
        <v>3000</v>
      </c>
      <c r="H79" s="13">
        <v>0.02</v>
      </c>
      <c r="I79" s="17">
        <v>10950</v>
      </c>
      <c r="J79" s="22">
        <v>1</v>
      </c>
      <c r="K79" s="18">
        <f t="shared" si="23"/>
        <v>5.7068965517241381E-2</v>
      </c>
      <c r="L79" s="2">
        <f t="shared" si="21"/>
        <v>0.28534482758620688</v>
      </c>
      <c r="M79" s="2">
        <f t="shared" si="24"/>
        <v>0.57068965517241377</v>
      </c>
      <c r="N79" s="2">
        <f t="shared" si="25"/>
        <v>0.85603448275862071</v>
      </c>
      <c r="O79" s="2">
        <f t="shared" si="26"/>
        <v>1.1413793103448275</v>
      </c>
      <c r="P79" s="2">
        <f t="shared" si="27"/>
        <v>1.4267241379310345</v>
      </c>
      <c r="Q79" s="2">
        <f t="shared" si="28"/>
        <v>1.7120689655172414</v>
      </c>
      <c r="R79" s="2">
        <f t="shared" si="29"/>
        <v>2.853448275862069</v>
      </c>
      <c r="S79" s="2">
        <f t="shared" si="16"/>
        <v>14.267241379310343</v>
      </c>
      <c r="T79" s="2">
        <f t="shared" si="30"/>
        <v>28.534482758620687</v>
      </c>
      <c r="U79" s="2">
        <f t="shared" si="17"/>
        <v>42.801724137931032</v>
      </c>
      <c r="V79" s="2">
        <f t="shared" si="18"/>
        <v>57.068965517241374</v>
      </c>
      <c r="W79" s="2">
        <f t="shared" si="19"/>
        <v>71.336206896551715</v>
      </c>
      <c r="X79" s="2">
        <f t="shared" si="20"/>
        <v>85.603448275862064</v>
      </c>
      <c r="Y79" s="5" t="str">
        <f t="shared" si="22"/>
        <v>1</v>
      </c>
      <c r="Z79" s="5" t="str">
        <f t="shared" si="22"/>
        <v>1</v>
      </c>
      <c r="AA79" s="5" t="str">
        <f t="shared" si="22"/>
        <v>1</v>
      </c>
      <c r="AB79" s="5" t="str">
        <f t="shared" si="22"/>
        <v>1</v>
      </c>
      <c r="AC79" s="5" t="str">
        <f t="shared" si="22"/>
        <v>1</v>
      </c>
      <c r="AD79" s="5" t="str">
        <f t="shared" si="22"/>
        <v>1</v>
      </c>
      <c r="AE79" s="5" t="str">
        <f t="shared" si="22"/>
        <v>1</v>
      </c>
    </row>
    <row r="80" spans="1:31" ht="14.4" x14ac:dyDescent="0.3">
      <c r="A80" s="14">
        <v>77</v>
      </c>
      <c r="B80" s="24" t="s">
        <v>127</v>
      </c>
      <c r="C80" s="10">
        <v>44</v>
      </c>
      <c r="D80" s="10">
        <v>58</v>
      </c>
      <c r="E80" s="16">
        <v>365</v>
      </c>
      <c r="F80" s="19">
        <v>4.99E-2</v>
      </c>
      <c r="G80" s="10">
        <v>3000</v>
      </c>
      <c r="H80" s="13">
        <v>0.02</v>
      </c>
      <c r="I80" s="17">
        <v>10950</v>
      </c>
      <c r="J80" s="22">
        <v>1</v>
      </c>
      <c r="K80" s="18">
        <f t="shared" si="23"/>
        <v>8.6034482758620676E-2</v>
      </c>
      <c r="L80" s="2">
        <f t="shared" si="21"/>
        <v>0.43017241379310334</v>
      </c>
      <c r="M80" s="2">
        <f t="shared" si="24"/>
        <v>0.86034482758620667</v>
      </c>
      <c r="N80" s="2">
        <f t="shared" si="25"/>
        <v>1.2905172413793102</v>
      </c>
      <c r="O80" s="2">
        <f t="shared" si="26"/>
        <v>1.7206896551724133</v>
      </c>
      <c r="P80" s="2">
        <f t="shared" si="27"/>
        <v>2.1508620689655169</v>
      </c>
      <c r="Q80" s="2">
        <f t="shared" si="28"/>
        <v>2.5810344827586205</v>
      </c>
      <c r="R80" s="2">
        <f t="shared" si="29"/>
        <v>4.3017241379310338</v>
      </c>
      <c r="S80" s="2">
        <f t="shared" si="16"/>
        <v>21.508620689655167</v>
      </c>
      <c r="T80" s="2">
        <f t="shared" si="30"/>
        <v>43.017241379310335</v>
      </c>
      <c r="U80" s="2">
        <f t="shared" si="17"/>
        <v>64.525862068965509</v>
      </c>
      <c r="V80" s="2">
        <f t="shared" si="18"/>
        <v>86.034482758620669</v>
      </c>
      <c r="W80" s="2">
        <f t="shared" si="19"/>
        <v>107.54310344827584</v>
      </c>
      <c r="X80" s="2">
        <f t="shared" si="20"/>
        <v>129.05172413793102</v>
      </c>
      <c r="Y80" s="5" t="str">
        <f t="shared" si="22"/>
        <v>1</v>
      </c>
      <c r="Z80" s="5" t="str">
        <f t="shared" si="22"/>
        <v>1</v>
      </c>
      <c r="AA80" s="5" t="str">
        <f t="shared" si="22"/>
        <v>1</v>
      </c>
      <c r="AB80" s="5" t="str">
        <f t="shared" si="22"/>
        <v>1</v>
      </c>
      <c r="AC80" s="5" t="str">
        <f t="shared" si="22"/>
        <v>1</v>
      </c>
      <c r="AD80" s="5" t="str">
        <f t="shared" si="22"/>
        <v>1</v>
      </c>
      <c r="AE80" s="5" t="str">
        <f t="shared" si="22"/>
        <v>1</v>
      </c>
    </row>
    <row r="81" spans="1:31" ht="14.4" x14ac:dyDescent="0.3">
      <c r="A81" s="14">
        <v>78</v>
      </c>
      <c r="B81" s="24" t="s">
        <v>132</v>
      </c>
      <c r="C81" s="10">
        <v>44</v>
      </c>
      <c r="D81" s="10">
        <v>81</v>
      </c>
      <c r="E81" s="16">
        <v>365</v>
      </c>
      <c r="F81" s="19">
        <v>3.8399999999999997E-2</v>
      </c>
      <c r="G81" s="10">
        <v>1500</v>
      </c>
      <c r="H81" s="13">
        <v>0.02</v>
      </c>
      <c r="I81" s="17">
        <v>10950</v>
      </c>
      <c r="J81" s="22">
        <v>21</v>
      </c>
      <c r="K81" s="18">
        <f t="shared" si="23"/>
        <v>0.49777777777777771</v>
      </c>
      <c r="L81" s="2">
        <f t="shared" si="21"/>
        <v>0.1185185185185185</v>
      </c>
      <c r="M81" s="2">
        <f t="shared" si="24"/>
        <v>0.23703703703703699</v>
      </c>
      <c r="N81" s="2">
        <f t="shared" si="25"/>
        <v>0.35555555555555551</v>
      </c>
      <c r="O81" s="2">
        <f t="shared" si="26"/>
        <v>0.47407407407407398</v>
      </c>
      <c r="P81" s="2">
        <f t="shared" si="27"/>
        <v>0.59259259259259245</v>
      </c>
      <c r="Q81" s="2">
        <f t="shared" si="28"/>
        <v>0.71111111111111103</v>
      </c>
      <c r="R81" s="2">
        <f t="shared" si="29"/>
        <v>24.888888888888886</v>
      </c>
      <c r="S81" s="2">
        <f t="shared" si="16"/>
        <v>5.9259259259259247</v>
      </c>
      <c r="T81" s="2">
        <f t="shared" si="30"/>
        <v>11.851851851851849</v>
      </c>
      <c r="U81" s="2">
        <f t="shared" si="17"/>
        <v>17.777777777777775</v>
      </c>
      <c r="V81" s="2">
        <f t="shared" si="18"/>
        <v>23.703703703703699</v>
      </c>
      <c r="W81" s="2">
        <f t="shared" si="19"/>
        <v>29.629629629629623</v>
      </c>
      <c r="X81" s="2">
        <f t="shared" si="20"/>
        <v>35.55555555555555</v>
      </c>
      <c r="Y81" s="5" t="str">
        <f t="shared" si="22"/>
        <v>1</v>
      </c>
      <c r="Z81" s="5" t="str">
        <f t="shared" si="22"/>
        <v>1</v>
      </c>
      <c r="AA81" s="5" t="str">
        <f t="shared" si="22"/>
        <v>1</v>
      </c>
      <c r="AB81" s="5" t="str">
        <f t="shared" si="22"/>
        <v>1</v>
      </c>
      <c r="AC81" s="5" t="str">
        <f t="shared" si="22"/>
        <v>1</v>
      </c>
      <c r="AD81" s="5" t="str">
        <f t="shared" si="22"/>
        <v>1</v>
      </c>
      <c r="AE81" s="5" t="str">
        <f t="shared" si="22"/>
        <v>1</v>
      </c>
    </row>
    <row r="82" spans="1:31" ht="14.4" x14ac:dyDescent="0.3">
      <c r="A82" s="14">
        <v>79</v>
      </c>
      <c r="B82" s="24" t="s">
        <v>182</v>
      </c>
      <c r="C82" s="10">
        <v>45</v>
      </c>
      <c r="D82" s="10">
        <v>42</v>
      </c>
      <c r="E82" s="16">
        <v>365</v>
      </c>
      <c r="F82" s="19">
        <v>3.9100000000000003E-2</v>
      </c>
      <c r="G82" s="10">
        <v>1800</v>
      </c>
      <c r="H82" s="13">
        <v>0.02</v>
      </c>
      <c r="I82" s="17">
        <v>10950</v>
      </c>
      <c r="J82" s="22">
        <v>45</v>
      </c>
      <c r="K82" s="18">
        <f t="shared" si="23"/>
        <v>2.5135714285714292</v>
      </c>
      <c r="L82" s="2">
        <f t="shared" si="21"/>
        <v>0.27928571428571436</v>
      </c>
      <c r="M82" s="2">
        <f t="shared" si="24"/>
        <v>0.55857142857142872</v>
      </c>
      <c r="N82" s="2">
        <f t="shared" si="25"/>
        <v>0.83785714285714297</v>
      </c>
      <c r="O82" s="2">
        <f t="shared" si="26"/>
        <v>1.1171428571428574</v>
      </c>
      <c r="P82" s="2">
        <f t="shared" si="27"/>
        <v>1.3964285714285716</v>
      </c>
      <c r="Q82" s="2">
        <f t="shared" si="28"/>
        <v>1.6757142857142859</v>
      </c>
      <c r="R82" s="2">
        <f t="shared" si="29"/>
        <v>125.67857142857146</v>
      </c>
      <c r="S82" s="2">
        <f t="shared" si="16"/>
        <v>13.964285714285717</v>
      </c>
      <c r="T82" s="2">
        <f t="shared" si="30"/>
        <v>27.928571428571434</v>
      </c>
      <c r="U82" s="2">
        <f t="shared" si="17"/>
        <v>41.892857142857146</v>
      </c>
      <c r="V82" s="2">
        <f t="shared" si="18"/>
        <v>55.857142857142868</v>
      </c>
      <c r="W82" s="2">
        <f t="shared" si="19"/>
        <v>69.821428571428584</v>
      </c>
      <c r="X82" s="2">
        <f t="shared" si="20"/>
        <v>83.785714285714292</v>
      </c>
      <c r="Y82" s="5" t="str">
        <f t="shared" si="22"/>
        <v>1</v>
      </c>
      <c r="Z82" s="5" t="str">
        <f t="shared" si="22"/>
        <v>1</v>
      </c>
      <c r="AA82" s="5" t="str">
        <f t="shared" si="22"/>
        <v>1</v>
      </c>
      <c r="AB82" s="5" t="str">
        <f t="shared" si="22"/>
        <v>1</v>
      </c>
      <c r="AC82" s="5" t="str">
        <f t="shared" si="22"/>
        <v>1</v>
      </c>
      <c r="AD82" s="5" t="str">
        <f t="shared" si="22"/>
        <v>1</v>
      </c>
      <c r="AE82" s="5" t="str">
        <f t="shared" si="22"/>
        <v>1</v>
      </c>
    </row>
    <row r="83" spans="1:31" ht="14.4" x14ac:dyDescent="0.3">
      <c r="A83" s="14">
        <v>80</v>
      </c>
      <c r="B83" s="24" t="s">
        <v>183</v>
      </c>
      <c r="C83" s="10">
        <v>45</v>
      </c>
      <c r="D83" s="10">
        <v>50</v>
      </c>
      <c r="E83" s="16">
        <v>365</v>
      </c>
      <c r="F83" s="19">
        <v>4.1200000000000001E-2</v>
      </c>
      <c r="G83" s="10">
        <v>900</v>
      </c>
      <c r="H83" s="13">
        <v>0.02</v>
      </c>
      <c r="I83" s="17">
        <v>10950</v>
      </c>
      <c r="J83" s="22">
        <v>1</v>
      </c>
      <c r="K83" s="18">
        <f t="shared" si="23"/>
        <v>2.4719999999999999E-2</v>
      </c>
      <c r="L83" s="2">
        <f t="shared" si="21"/>
        <v>0.1236</v>
      </c>
      <c r="M83" s="2">
        <f t="shared" si="24"/>
        <v>0.2472</v>
      </c>
      <c r="N83" s="2">
        <f t="shared" si="25"/>
        <v>0.37079999999999996</v>
      </c>
      <c r="O83" s="2">
        <f t="shared" si="26"/>
        <v>0.49440000000000001</v>
      </c>
      <c r="P83" s="2">
        <f t="shared" si="27"/>
        <v>0.61799999999999999</v>
      </c>
      <c r="Q83" s="2">
        <f t="shared" si="28"/>
        <v>0.74159999999999993</v>
      </c>
      <c r="R83" s="2">
        <f t="shared" si="29"/>
        <v>1.236</v>
      </c>
      <c r="S83" s="2">
        <f t="shared" si="16"/>
        <v>6.18</v>
      </c>
      <c r="T83" s="2">
        <f t="shared" si="30"/>
        <v>12.36</v>
      </c>
      <c r="U83" s="2">
        <f t="shared" si="17"/>
        <v>18.54</v>
      </c>
      <c r="V83" s="2">
        <f t="shared" si="18"/>
        <v>24.72</v>
      </c>
      <c r="W83" s="2">
        <f t="shared" si="19"/>
        <v>30.9</v>
      </c>
      <c r="X83" s="2">
        <f t="shared" si="20"/>
        <v>37.08</v>
      </c>
      <c r="Y83" s="5" t="str">
        <f t="shared" si="22"/>
        <v>1</v>
      </c>
      <c r="Z83" s="5" t="str">
        <f t="shared" si="22"/>
        <v>1</v>
      </c>
      <c r="AA83" s="5" t="str">
        <f t="shared" si="22"/>
        <v>1</v>
      </c>
      <c r="AB83" s="5" t="str">
        <f t="shared" si="22"/>
        <v>1</v>
      </c>
      <c r="AC83" s="5" t="str">
        <f t="shared" si="22"/>
        <v>1</v>
      </c>
      <c r="AD83" s="5" t="str">
        <f t="shared" si="22"/>
        <v>1</v>
      </c>
      <c r="AE83" s="5" t="str">
        <f t="shared" si="22"/>
        <v>1</v>
      </c>
    </row>
    <row r="84" spans="1:31" ht="14.4" x14ac:dyDescent="0.3">
      <c r="A84" s="14">
        <v>81</v>
      </c>
      <c r="B84" s="24" t="s">
        <v>123</v>
      </c>
      <c r="C84" s="10">
        <v>45</v>
      </c>
      <c r="D84" s="10">
        <v>42</v>
      </c>
      <c r="E84" s="16">
        <v>365</v>
      </c>
      <c r="F84" s="19">
        <v>4.1200000000000001E-2</v>
      </c>
      <c r="G84" s="10">
        <v>1800</v>
      </c>
      <c r="H84" s="13">
        <v>0.02</v>
      </c>
      <c r="I84" s="17">
        <v>10950</v>
      </c>
      <c r="J84" s="22">
        <v>45</v>
      </c>
      <c r="K84" s="18">
        <f t="shared" si="23"/>
        <v>2.6485714285714286</v>
      </c>
      <c r="L84" s="2">
        <f t="shared" si="21"/>
        <v>0.29428571428571426</v>
      </c>
      <c r="M84" s="2">
        <f t="shared" si="24"/>
        <v>0.58857142857142852</v>
      </c>
      <c r="N84" s="2">
        <f t="shared" si="25"/>
        <v>0.88285714285714278</v>
      </c>
      <c r="O84" s="2">
        <f t="shared" si="26"/>
        <v>1.177142857142857</v>
      </c>
      <c r="P84" s="2">
        <f t="shared" si="27"/>
        <v>1.4714285714285715</v>
      </c>
      <c r="Q84" s="2">
        <f t="shared" si="28"/>
        <v>1.7657142857142856</v>
      </c>
      <c r="R84" s="2">
        <f t="shared" si="29"/>
        <v>132.42857142857142</v>
      </c>
      <c r="S84" s="2">
        <f t="shared" si="16"/>
        <v>14.714285714285714</v>
      </c>
      <c r="T84" s="2">
        <f t="shared" si="30"/>
        <v>29.428571428571427</v>
      </c>
      <c r="U84" s="2">
        <f t="shared" si="17"/>
        <v>44.142857142857139</v>
      </c>
      <c r="V84" s="2">
        <f t="shared" si="18"/>
        <v>58.857142857142854</v>
      </c>
      <c r="W84" s="2">
        <f t="shared" si="19"/>
        <v>73.571428571428569</v>
      </c>
      <c r="X84" s="2">
        <f t="shared" si="20"/>
        <v>88.285714285714278</v>
      </c>
      <c r="Y84" s="5" t="str">
        <f t="shared" si="22"/>
        <v>1</v>
      </c>
      <c r="Z84" s="5" t="str">
        <f t="shared" si="22"/>
        <v>1</v>
      </c>
      <c r="AA84" s="5" t="str">
        <f t="shared" si="22"/>
        <v>1</v>
      </c>
      <c r="AB84" s="5" t="str">
        <f t="shared" si="22"/>
        <v>1</v>
      </c>
      <c r="AC84" s="5" t="str">
        <f t="shared" si="22"/>
        <v>1</v>
      </c>
      <c r="AD84" s="5" t="str">
        <f t="shared" si="22"/>
        <v>1</v>
      </c>
      <c r="AE84" s="5" t="str">
        <f t="shared" si="22"/>
        <v>1</v>
      </c>
    </row>
    <row r="85" spans="1:31" ht="14.4" x14ac:dyDescent="0.3">
      <c r="A85" s="14">
        <v>82</v>
      </c>
      <c r="B85" s="24" t="s">
        <v>140</v>
      </c>
      <c r="C85" s="10">
        <v>45</v>
      </c>
      <c r="D85" s="10">
        <v>50</v>
      </c>
      <c r="E85" s="16">
        <v>365</v>
      </c>
      <c r="F85" s="19">
        <v>5.4199999999999998E-2</v>
      </c>
      <c r="G85" s="10">
        <v>900</v>
      </c>
      <c r="H85" s="13">
        <v>0.02</v>
      </c>
      <c r="I85" s="17">
        <v>10950</v>
      </c>
      <c r="J85" s="22">
        <v>1</v>
      </c>
      <c r="K85" s="18">
        <f t="shared" si="23"/>
        <v>3.252E-2</v>
      </c>
      <c r="L85" s="2">
        <f t="shared" si="21"/>
        <v>0.16259999999999999</v>
      </c>
      <c r="M85" s="2">
        <f t="shared" si="24"/>
        <v>0.32519999999999999</v>
      </c>
      <c r="N85" s="2">
        <f t="shared" si="25"/>
        <v>0.48780000000000001</v>
      </c>
      <c r="O85" s="2">
        <f t="shared" si="26"/>
        <v>0.65039999999999998</v>
      </c>
      <c r="P85" s="2">
        <f t="shared" si="27"/>
        <v>0.81299999999999994</v>
      </c>
      <c r="Q85" s="2">
        <f t="shared" si="28"/>
        <v>0.97560000000000002</v>
      </c>
      <c r="R85" s="2">
        <f t="shared" si="29"/>
        <v>1.6259999999999999</v>
      </c>
      <c r="S85" s="2">
        <f t="shared" si="16"/>
        <v>8.129999999999999</v>
      </c>
      <c r="T85" s="2">
        <f t="shared" si="30"/>
        <v>16.259999999999998</v>
      </c>
      <c r="U85" s="2">
        <f t="shared" si="17"/>
        <v>24.39</v>
      </c>
      <c r="V85" s="2">
        <f t="shared" si="18"/>
        <v>32.519999999999996</v>
      </c>
      <c r="W85" s="2">
        <f t="shared" si="19"/>
        <v>40.65</v>
      </c>
      <c r="X85" s="2">
        <f t="shared" si="20"/>
        <v>48.78</v>
      </c>
      <c r="Y85" s="5" t="str">
        <f t="shared" si="22"/>
        <v>1</v>
      </c>
      <c r="Z85" s="5" t="str">
        <f t="shared" si="22"/>
        <v>1</v>
      </c>
      <c r="AA85" s="5" t="str">
        <f t="shared" si="22"/>
        <v>1</v>
      </c>
      <c r="AB85" s="5" t="str">
        <f t="shared" si="22"/>
        <v>1</v>
      </c>
      <c r="AC85" s="5" t="str">
        <f t="shared" si="22"/>
        <v>1</v>
      </c>
      <c r="AD85" s="5" t="str">
        <f t="shared" si="22"/>
        <v>1</v>
      </c>
      <c r="AE85" s="5" t="str">
        <f t="shared" si="22"/>
        <v>1</v>
      </c>
    </row>
    <row r="86" spans="1:31" ht="14.4" x14ac:dyDescent="0.3">
      <c r="A86" s="14">
        <v>83</v>
      </c>
      <c r="B86" s="24" t="s">
        <v>150</v>
      </c>
      <c r="C86" s="10">
        <v>45</v>
      </c>
      <c r="D86" s="10">
        <v>50</v>
      </c>
      <c r="E86" s="16">
        <v>365</v>
      </c>
      <c r="F86" s="19">
        <v>6.2899999999999998E-2</v>
      </c>
      <c r="G86" s="10">
        <v>900</v>
      </c>
      <c r="H86" s="13">
        <v>0.02</v>
      </c>
      <c r="I86" s="17">
        <v>10950</v>
      </c>
      <c r="J86" s="22">
        <v>1</v>
      </c>
      <c r="K86" s="18">
        <f t="shared" si="23"/>
        <v>3.7740000000000003E-2</v>
      </c>
      <c r="L86" s="2">
        <f t="shared" si="21"/>
        <v>0.18870000000000001</v>
      </c>
      <c r="M86" s="2">
        <f t="shared" si="24"/>
        <v>0.37740000000000001</v>
      </c>
      <c r="N86" s="2">
        <f t="shared" si="25"/>
        <v>0.56610000000000005</v>
      </c>
      <c r="O86" s="2">
        <f t="shared" si="26"/>
        <v>0.75480000000000003</v>
      </c>
      <c r="P86" s="2">
        <f t="shared" si="27"/>
        <v>0.94350000000000012</v>
      </c>
      <c r="Q86" s="2">
        <f t="shared" si="28"/>
        <v>1.1322000000000001</v>
      </c>
      <c r="R86" s="2">
        <f t="shared" si="29"/>
        <v>1.887</v>
      </c>
      <c r="S86" s="2">
        <f t="shared" si="16"/>
        <v>9.4350000000000005</v>
      </c>
      <c r="T86" s="2">
        <f t="shared" si="30"/>
        <v>18.87</v>
      </c>
      <c r="U86" s="2">
        <f t="shared" si="17"/>
        <v>28.305000000000003</v>
      </c>
      <c r="V86" s="2">
        <f t="shared" si="18"/>
        <v>37.74</v>
      </c>
      <c r="W86" s="2">
        <f t="shared" si="19"/>
        <v>47.175000000000004</v>
      </c>
      <c r="X86" s="2">
        <f t="shared" si="20"/>
        <v>56.610000000000007</v>
      </c>
      <c r="Y86" s="5" t="str">
        <f t="shared" si="22"/>
        <v>1</v>
      </c>
      <c r="Z86" s="5" t="str">
        <f t="shared" si="22"/>
        <v>1</v>
      </c>
      <c r="AA86" s="5" t="str">
        <f t="shared" si="22"/>
        <v>1</v>
      </c>
      <c r="AB86" s="5" t="str">
        <f t="shared" si="22"/>
        <v>1</v>
      </c>
      <c r="AC86" s="5" t="str">
        <f t="shared" si="22"/>
        <v>1</v>
      </c>
      <c r="AD86" s="5" t="str">
        <f t="shared" si="22"/>
        <v>1</v>
      </c>
      <c r="AE86" s="5" t="str">
        <f t="shared" si="22"/>
        <v>1</v>
      </c>
    </row>
    <row r="87" spans="1:31" ht="14.4" x14ac:dyDescent="0.3">
      <c r="A87" s="14">
        <v>84</v>
      </c>
      <c r="B87" s="24" t="s">
        <v>184</v>
      </c>
      <c r="C87" s="10">
        <v>46</v>
      </c>
      <c r="D87" s="10">
        <v>54</v>
      </c>
      <c r="E87" s="16">
        <v>365</v>
      </c>
      <c r="F87" s="19">
        <v>1.7100000000000001E-2</v>
      </c>
      <c r="G87" s="10">
        <v>900</v>
      </c>
      <c r="H87" s="13">
        <v>0.02</v>
      </c>
      <c r="I87" s="17">
        <v>10950</v>
      </c>
      <c r="J87" s="22">
        <v>10</v>
      </c>
      <c r="K87" s="18">
        <f t="shared" si="23"/>
        <v>9.5000000000000001E-2</v>
      </c>
      <c r="L87" s="2">
        <f t="shared" si="21"/>
        <v>4.7500000000000001E-2</v>
      </c>
      <c r="M87" s="2">
        <f t="shared" si="24"/>
        <v>9.5000000000000001E-2</v>
      </c>
      <c r="N87" s="2">
        <f t="shared" si="25"/>
        <v>0.14249999999999999</v>
      </c>
      <c r="O87" s="2">
        <f t="shared" si="26"/>
        <v>0.19</v>
      </c>
      <c r="P87" s="2">
        <f t="shared" si="27"/>
        <v>0.23749999999999999</v>
      </c>
      <c r="Q87" s="2">
        <f t="shared" si="28"/>
        <v>0.28499999999999998</v>
      </c>
      <c r="R87" s="2">
        <f t="shared" si="29"/>
        <v>4.75</v>
      </c>
      <c r="S87" s="2">
        <f t="shared" si="16"/>
        <v>2.375</v>
      </c>
      <c r="T87" s="2">
        <f t="shared" si="30"/>
        <v>4.75</v>
      </c>
      <c r="U87" s="2">
        <f t="shared" si="17"/>
        <v>7.1249999999999991</v>
      </c>
      <c r="V87" s="2">
        <f t="shared" si="18"/>
        <v>9.5</v>
      </c>
      <c r="W87" s="2">
        <f t="shared" si="19"/>
        <v>11.875</v>
      </c>
      <c r="X87" s="2">
        <f t="shared" si="20"/>
        <v>14.249999999999998</v>
      </c>
      <c r="Y87" s="5" t="str">
        <f t="shared" si="22"/>
        <v>1</v>
      </c>
      <c r="Z87" s="5" t="str">
        <f t="shared" si="22"/>
        <v>1</v>
      </c>
      <c r="AA87" s="5" t="str">
        <f t="shared" si="22"/>
        <v>1</v>
      </c>
      <c r="AB87" s="5" t="str">
        <f t="shared" si="22"/>
        <v>1</v>
      </c>
      <c r="AC87" s="5" t="str">
        <f t="shared" si="22"/>
        <v>1</v>
      </c>
      <c r="AD87" s="5" t="str">
        <f t="shared" si="22"/>
        <v>1</v>
      </c>
      <c r="AE87" s="5" t="str">
        <f t="shared" si="22"/>
        <v>1</v>
      </c>
    </row>
    <row r="88" spans="1:31" ht="14.4" x14ac:dyDescent="0.3">
      <c r="A88" s="14">
        <v>85</v>
      </c>
      <c r="B88" s="24" t="s">
        <v>141</v>
      </c>
      <c r="C88" s="10">
        <v>46</v>
      </c>
      <c r="D88" s="10">
        <v>54</v>
      </c>
      <c r="E88" s="16">
        <v>365</v>
      </c>
      <c r="F88" s="19">
        <v>1.7100000000000001E-2</v>
      </c>
      <c r="G88" s="10">
        <v>900</v>
      </c>
      <c r="H88" s="13">
        <v>0.02</v>
      </c>
      <c r="I88" s="17">
        <v>10950</v>
      </c>
      <c r="J88" s="22">
        <v>10</v>
      </c>
      <c r="K88" s="18">
        <f t="shared" si="23"/>
        <v>9.5000000000000001E-2</v>
      </c>
      <c r="L88" s="2">
        <f t="shared" si="21"/>
        <v>4.7500000000000001E-2</v>
      </c>
      <c r="M88" s="2">
        <f t="shared" si="24"/>
        <v>9.5000000000000001E-2</v>
      </c>
      <c r="N88" s="2">
        <f t="shared" si="25"/>
        <v>0.14249999999999999</v>
      </c>
      <c r="O88" s="2">
        <f t="shared" si="26"/>
        <v>0.19</v>
      </c>
      <c r="P88" s="2">
        <f t="shared" si="27"/>
        <v>0.23749999999999999</v>
      </c>
      <c r="Q88" s="2">
        <f t="shared" si="28"/>
        <v>0.28499999999999998</v>
      </c>
      <c r="R88" s="2">
        <f t="shared" si="29"/>
        <v>4.75</v>
      </c>
      <c r="S88" s="2">
        <f t="shared" si="16"/>
        <v>2.375</v>
      </c>
      <c r="T88" s="2">
        <f t="shared" si="30"/>
        <v>4.75</v>
      </c>
      <c r="U88" s="2">
        <f t="shared" si="17"/>
        <v>7.1249999999999991</v>
      </c>
      <c r="V88" s="2">
        <f t="shared" si="18"/>
        <v>9.5</v>
      </c>
      <c r="W88" s="2">
        <f t="shared" si="19"/>
        <v>11.875</v>
      </c>
      <c r="X88" s="2">
        <f t="shared" si="20"/>
        <v>14.249999999999998</v>
      </c>
      <c r="Y88" s="5" t="str">
        <f t="shared" si="22"/>
        <v>1</v>
      </c>
      <c r="Z88" s="5" t="str">
        <f t="shared" si="22"/>
        <v>1</v>
      </c>
      <c r="AA88" s="5" t="str">
        <f t="shared" si="22"/>
        <v>1</v>
      </c>
      <c r="AB88" s="5" t="str">
        <f t="shared" si="22"/>
        <v>1</v>
      </c>
      <c r="AC88" s="5" t="str">
        <f t="shared" si="22"/>
        <v>1</v>
      </c>
      <c r="AD88" s="5" t="str">
        <f t="shared" si="22"/>
        <v>1</v>
      </c>
      <c r="AE88" s="5" t="str">
        <f t="shared" si="22"/>
        <v>1</v>
      </c>
    </row>
    <row r="89" spans="1:31" ht="14.4" x14ac:dyDescent="0.3">
      <c r="A89" s="14">
        <v>86</v>
      </c>
      <c r="B89" s="24" t="s">
        <v>151</v>
      </c>
      <c r="C89" s="10">
        <v>46</v>
      </c>
      <c r="D89" s="10">
        <v>54</v>
      </c>
      <c r="E89" s="16">
        <v>365</v>
      </c>
      <c r="F89" s="19">
        <v>1.7100000000000001E-2</v>
      </c>
      <c r="G89" s="10">
        <v>900</v>
      </c>
      <c r="H89" s="13">
        <v>0.02</v>
      </c>
      <c r="I89" s="17">
        <v>10950</v>
      </c>
      <c r="J89" s="22">
        <v>10</v>
      </c>
      <c r="K89" s="18">
        <f t="shared" si="23"/>
        <v>9.5000000000000001E-2</v>
      </c>
      <c r="L89" s="2">
        <f t="shared" si="21"/>
        <v>4.7500000000000001E-2</v>
      </c>
      <c r="M89" s="2">
        <f t="shared" si="24"/>
        <v>9.5000000000000001E-2</v>
      </c>
      <c r="N89" s="2">
        <f t="shared" si="25"/>
        <v>0.14249999999999999</v>
      </c>
      <c r="O89" s="2">
        <f t="shared" si="26"/>
        <v>0.19</v>
      </c>
      <c r="P89" s="2">
        <f t="shared" si="27"/>
        <v>0.23749999999999999</v>
      </c>
      <c r="Q89" s="2">
        <f t="shared" si="28"/>
        <v>0.28499999999999998</v>
      </c>
      <c r="R89" s="2">
        <f t="shared" si="29"/>
        <v>4.75</v>
      </c>
      <c r="S89" s="2">
        <f t="shared" si="16"/>
        <v>2.375</v>
      </c>
      <c r="T89" s="2">
        <f t="shared" si="30"/>
        <v>4.75</v>
      </c>
      <c r="U89" s="2">
        <f t="shared" si="17"/>
        <v>7.1249999999999991</v>
      </c>
      <c r="V89" s="2">
        <f t="shared" si="18"/>
        <v>9.5</v>
      </c>
      <c r="W89" s="2">
        <f t="shared" si="19"/>
        <v>11.875</v>
      </c>
      <c r="X89" s="2">
        <f t="shared" si="20"/>
        <v>14.249999999999998</v>
      </c>
      <c r="Y89" s="5" t="str">
        <f t="shared" si="22"/>
        <v>1</v>
      </c>
      <c r="Z89" s="5" t="str">
        <f t="shared" si="22"/>
        <v>1</v>
      </c>
      <c r="AA89" s="5" t="str">
        <f t="shared" si="22"/>
        <v>1</v>
      </c>
      <c r="AB89" s="5" t="str">
        <f t="shared" si="22"/>
        <v>1</v>
      </c>
      <c r="AC89" s="5" t="str">
        <f t="shared" si="22"/>
        <v>1</v>
      </c>
      <c r="AD89" s="5" t="str">
        <f t="shared" si="22"/>
        <v>1</v>
      </c>
      <c r="AE89" s="5" t="str">
        <f t="shared" si="22"/>
        <v>1</v>
      </c>
    </row>
    <row r="90" spans="1:31" ht="14.4" x14ac:dyDescent="0.3">
      <c r="A90" s="14">
        <v>87</v>
      </c>
      <c r="B90" s="24" t="s">
        <v>185</v>
      </c>
      <c r="C90" s="10">
        <v>47</v>
      </c>
      <c r="D90" s="10">
        <v>60</v>
      </c>
      <c r="E90" s="16">
        <v>365</v>
      </c>
      <c r="F90" s="19">
        <v>4.1999999999999997E-3</v>
      </c>
      <c r="G90" s="10">
        <v>900</v>
      </c>
      <c r="H90" s="13">
        <v>0.02</v>
      </c>
      <c r="I90" s="17">
        <v>10950</v>
      </c>
      <c r="J90" s="22">
        <v>10</v>
      </c>
      <c r="K90" s="18">
        <f t="shared" si="23"/>
        <v>2.0999999999999998E-2</v>
      </c>
      <c r="L90" s="2">
        <f t="shared" si="21"/>
        <v>1.0499999999999999E-2</v>
      </c>
      <c r="M90" s="2">
        <f t="shared" si="24"/>
        <v>2.0999999999999998E-2</v>
      </c>
      <c r="N90" s="2">
        <f t="shared" si="25"/>
        <v>3.1499999999999993E-2</v>
      </c>
      <c r="O90" s="2">
        <f t="shared" si="26"/>
        <v>4.1999999999999996E-2</v>
      </c>
      <c r="P90" s="2">
        <f t="shared" si="27"/>
        <v>5.2499999999999991E-2</v>
      </c>
      <c r="Q90" s="2">
        <f t="shared" si="28"/>
        <v>6.2999999999999987E-2</v>
      </c>
      <c r="R90" s="2">
        <f t="shared" si="29"/>
        <v>1.0499999999999998</v>
      </c>
      <c r="S90" s="2">
        <f t="shared" si="16"/>
        <v>0.52499999999999991</v>
      </c>
      <c r="T90" s="2">
        <f t="shared" si="30"/>
        <v>1.0499999999999998</v>
      </c>
      <c r="U90" s="2">
        <f t="shared" si="17"/>
        <v>1.5749999999999997</v>
      </c>
      <c r="V90" s="2">
        <f t="shared" si="18"/>
        <v>2.0999999999999996</v>
      </c>
      <c r="W90" s="2">
        <f t="shared" si="19"/>
        <v>2.6249999999999996</v>
      </c>
      <c r="X90" s="2">
        <f t="shared" si="20"/>
        <v>3.1499999999999995</v>
      </c>
      <c r="Y90" s="5" t="str">
        <f t="shared" si="22"/>
        <v>1</v>
      </c>
      <c r="Z90" s="5" t="str">
        <f t="shared" si="22"/>
        <v>2</v>
      </c>
      <c r="AA90" s="5" t="str">
        <f t="shared" si="22"/>
        <v>1</v>
      </c>
      <c r="AB90" s="5" t="str">
        <f t="shared" ref="AB90:AB103" si="31">IF(U90&gt;1,"1","2")</f>
        <v>1</v>
      </c>
      <c r="AC90" s="5" t="str">
        <f t="shared" ref="AC90:AC103" si="32">IF(V90&gt;1,"1","2")</f>
        <v>1</v>
      </c>
      <c r="AD90" s="5" t="str">
        <f t="shared" ref="AD90:AD103" si="33">IF(W90&gt;1,"1","2")</f>
        <v>1</v>
      </c>
      <c r="AE90" s="5" t="str">
        <f t="shared" ref="AE90:AE103" si="34">IF(X90&gt;1,"1","2")</f>
        <v>1</v>
      </c>
    </row>
    <row r="91" spans="1:31" ht="14.4" x14ac:dyDescent="0.3">
      <c r="A91" s="14">
        <v>88</v>
      </c>
      <c r="B91" s="24" t="s">
        <v>186</v>
      </c>
      <c r="C91" s="10">
        <v>49</v>
      </c>
      <c r="D91" s="10">
        <v>58</v>
      </c>
      <c r="E91" s="16">
        <v>365</v>
      </c>
      <c r="F91" s="19">
        <v>9.9000000000000008E-3</v>
      </c>
      <c r="G91" s="10">
        <v>900</v>
      </c>
      <c r="H91" s="13">
        <v>0.02</v>
      </c>
      <c r="I91" s="17">
        <v>10950</v>
      </c>
      <c r="J91" s="22">
        <v>40</v>
      </c>
      <c r="K91" s="18">
        <f t="shared" si="23"/>
        <v>0.20482758620689656</v>
      </c>
      <c r="L91" s="2">
        <f t="shared" si="21"/>
        <v>2.560344827586207E-2</v>
      </c>
      <c r="M91" s="2">
        <f t="shared" si="24"/>
        <v>5.120689655172414E-2</v>
      </c>
      <c r="N91" s="2">
        <f t="shared" si="25"/>
        <v>7.6810344827586211E-2</v>
      </c>
      <c r="O91" s="2">
        <f t="shared" si="26"/>
        <v>0.10241379310344828</v>
      </c>
      <c r="P91" s="2">
        <f t="shared" si="27"/>
        <v>0.12801724137931034</v>
      </c>
      <c r="Q91" s="2">
        <f t="shared" si="28"/>
        <v>0.15362068965517242</v>
      </c>
      <c r="R91" s="2">
        <f t="shared" si="29"/>
        <v>10.241379310344827</v>
      </c>
      <c r="S91" s="2">
        <f t="shared" si="16"/>
        <v>1.2801724137931034</v>
      </c>
      <c r="T91" s="2">
        <f t="shared" si="30"/>
        <v>2.5603448275862069</v>
      </c>
      <c r="U91" s="2">
        <f t="shared" si="17"/>
        <v>3.8405172413793105</v>
      </c>
      <c r="V91" s="2">
        <f t="shared" si="18"/>
        <v>5.1206896551724137</v>
      </c>
      <c r="W91" s="2">
        <f t="shared" si="19"/>
        <v>6.4008620689655169</v>
      </c>
      <c r="X91" s="2">
        <f t="shared" si="20"/>
        <v>7.681034482758621</v>
      </c>
      <c r="Y91" s="5" t="str">
        <f t="shared" ref="Y91:Y103" si="35">IF(R91&gt;1,"1","2")</f>
        <v>1</v>
      </c>
      <c r="Z91" s="5" t="str">
        <f t="shared" ref="Z91:Z103" si="36">IF(S91&gt;1,"1","2")</f>
        <v>1</v>
      </c>
      <c r="AA91" s="5" t="str">
        <f t="shared" ref="AA91:AA103" si="37">IF(T91&gt;1,"1","2")</f>
        <v>1</v>
      </c>
      <c r="AB91" s="5" t="str">
        <f t="shared" si="31"/>
        <v>1</v>
      </c>
      <c r="AC91" s="5" t="str">
        <f t="shared" si="32"/>
        <v>1</v>
      </c>
      <c r="AD91" s="5" t="str">
        <f t="shared" si="33"/>
        <v>1</v>
      </c>
      <c r="AE91" s="5" t="str">
        <f t="shared" si="34"/>
        <v>1</v>
      </c>
    </row>
    <row r="92" spans="1:31" ht="14.4" x14ac:dyDescent="0.3">
      <c r="A92" s="14">
        <v>89</v>
      </c>
      <c r="B92" s="24" t="s">
        <v>187</v>
      </c>
      <c r="C92" s="10">
        <v>52</v>
      </c>
      <c r="D92" s="10">
        <v>61</v>
      </c>
      <c r="E92" s="16">
        <v>365</v>
      </c>
      <c r="F92" s="19">
        <v>9.9000000000000008E-3</v>
      </c>
      <c r="G92" s="10">
        <v>900</v>
      </c>
      <c r="H92" s="13">
        <v>0.02</v>
      </c>
      <c r="I92" s="17">
        <v>10950</v>
      </c>
      <c r="J92" s="22">
        <v>25</v>
      </c>
      <c r="K92" s="18">
        <f t="shared" si="23"/>
        <v>0.12172131147540984</v>
      </c>
      <c r="L92" s="2">
        <f t="shared" si="21"/>
        <v>2.4344262295081968E-2</v>
      </c>
      <c r="M92" s="2">
        <f t="shared" si="24"/>
        <v>4.8688524590163935E-2</v>
      </c>
      <c r="N92" s="2">
        <f t="shared" si="25"/>
        <v>7.3032786885245907E-2</v>
      </c>
      <c r="O92" s="2">
        <f t="shared" si="26"/>
        <v>9.7377049180327871E-2</v>
      </c>
      <c r="P92" s="2">
        <f t="shared" si="27"/>
        <v>0.12172131147540984</v>
      </c>
      <c r="Q92" s="2">
        <f t="shared" si="28"/>
        <v>0.14606557377049181</v>
      </c>
      <c r="R92" s="2">
        <f t="shared" si="29"/>
        <v>6.0860655737704921</v>
      </c>
      <c r="S92" s="2">
        <f t="shared" si="16"/>
        <v>1.2172131147540983</v>
      </c>
      <c r="T92" s="2">
        <f t="shared" si="30"/>
        <v>2.4344262295081966</v>
      </c>
      <c r="U92" s="2">
        <f t="shared" si="17"/>
        <v>3.6516393442622954</v>
      </c>
      <c r="V92" s="2">
        <f t="shared" si="18"/>
        <v>4.8688524590163933</v>
      </c>
      <c r="W92" s="2">
        <f t="shared" si="19"/>
        <v>6.0860655737704921</v>
      </c>
      <c r="X92" s="2">
        <f t="shared" si="20"/>
        <v>7.3032786885245908</v>
      </c>
      <c r="Y92" s="5" t="str">
        <f t="shared" si="35"/>
        <v>1</v>
      </c>
      <c r="Z92" s="5" t="str">
        <f t="shared" si="36"/>
        <v>1</v>
      </c>
      <c r="AA92" s="5" t="str">
        <f t="shared" si="37"/>
        <v>1</v>
      </c>
      <c r="AB92" s="5" t="str">
        <f t="shared" si="31"/>
        <v>1</v>
      </c>
      <c r="AC92" s="5" t="str">
        <f t="shared" si="32"/>
        <v>1</v>
      </c>
      <c r="AD92" s="5" t="str">
        <f t="shared" si="33"/>
        <v>1</v>
      </c>
      <c r="AE92" s="5" t="str">
        <f t="shared" si="34"/>
        <v>1</v>
      </c>
    </row>
    <row r="93" spans="1:31" ht="14.4" x14ac:dyDescent="0.3">
      <c r="A93" s="14">
        <v>90</v>
      </c>
      <c r="B93" s="24" t="s">
        <v>122</v>
      </c>
      <c r="C93" s="10">
        <v>54</v>
      </c>
      <c r="D93" s="10">
        <v>57</v>
      </c>
      <c r="E93" s="16">
        <v>365</v>
      </c>
      <c r="F93" s="19">
        <v>6.1000000000000004E-3</v>
      </c>
      <c r="G93" s="10">
        <v>1200</v>
      </c>
      <c r="H93" s="13">
        <v>0.02</v>
      </c>
      <c r="I93" s="17">
        <v>10950</v>
      </c>
      <c r="J93" s="22">
        <v>54</v>
      </c>
      <c r="K93" s="18">
        <f t="shared" si="23"/>
        <v>0.23115789473684212</v>
      </c>
      <c r="L93" s="2">
        <f t="shared" si="21"/>
        <v>2.1403508771929824E-2</v>
      </c>
      <c r="M93" s="2">
        <f t="shared" si="24"/>
        <v>4.2807017543859648E-2</v>
      </c>
      <c r="N93" s="2">
        <f t="shared" si="25"/>
        <v>6.4210526315789468E-2</v>
      </c>
      <c r="O93" s="2">
        <f t="shared" si="26"/>
        <v>8.5614035087719295E-2</v>
      </c>
      <c r="P93" s="2">
        <f t="shared" si="27"/>
        <v>0.10701754385964912</v>
      </c>
      <c r="Q93" s="2">
        <f t="shared" si="28"/>
        <v>0.12842105263157894</v>
      </c>
      <c r="R93" s="2">
        <f t="shared" si="29"/>
        <v>11.557894736842105</v>
      </c>
      <c r="S93" s="2">
        <f t="shared" si="16"/>
        <v>1.0701754385964912</v>
      </c>
      <c r="T93" s="2">
        <f t="shared" si="30"/>
        <v>2.1403508771929824</v>
      </c>
      <c r="U93" s="2">
        <f t="shared" si="17"/>
        <v>3.2105263157894735</v>
      </c>
      <c r="V93" s="2">
        <f t="shared" si="18"/>
        <v>4.2807017543859649</v>
      </c>
      <c r="W93" s="2">
        <f t="shared" si="19"/>
        <v>5.3508771929824563</v>
      </c>
      <c r="X93" s="2">
        <f t="shared" si="20"/>
        <v>6.4210526315789469</v>
      </c>
      <c r="Y93" s="5" t="str">
        <f t="shared" si="35"/>
        <v>1</v>
      </c>
      <c r="Z93" s="5" t="str">
        <f t="shared" si="36"/>
        <v>1</v>
      </c>
      <c r="AA93" s="5" t="str">
        <f t="shared" si="37"/>
        <v>1</v>
      </c>
      <c r="AB93" s="5" t="str">
        <f t="shared" si="31"/>
        <v>1</v>
      </c>
      <c r="AC93" s="5" t="str">
        <f t="shared" si="32"/>
        <v>1</v>
      </c>
      <c r="AD93" s="5" t="str">
        <f t="shared" si="33"/>
        <v>1</v>
      </c>
      <c r="AE93" s="5" t="str">
        <f t="shared" si="34"/>
        <v>1</v>
      </c>
    </row>
    <row r="94" spans="1:31" ht="14.4" x14ac:dyDescent="0.3">
      <c r="A94" s="14">
        <v>91</v>
      </c>
      <c r="B94" s="24" t="s">
        <v>122</v>
      </c>
      <c r="C94" s="10">
        <v>54</v>
      </c>
      <c r="D94" s="10">
        <v>57</v>
      </c>
      <c r="E94" s="16">
        <v>365</v>
      </c>
      <c r="F94" s="19">
        <v>3.2500000000000001E-2</v>
      </c>
      <c r="G94" s="10">
        <v>1200</v>
      </c>
      <c r="H94" s="13">
        <v>0.02</v>
      </c>
      <c r="I94" s="17">
        <v>10950</v>
      </c>
      <c r="J94" s="22">
        <v>54</v>
      </c>
      <c r="K94" s="18">
        <f t="shared" si="23"/>
        <v>1.2315789473684211</v>
      </c>
      <c r="L94" s="2">
        <f t="shared" si="21"/>
        <v>0.11403508771929824</v>
      </c>
      <c r="M94" s="2">
        <f t="shared" si="24"/>
        <v>0.22807017543859648</v>
      </c>
      <c r="N94" s="2">
        <f t="shared" si="25"/>
        <v>0.34210526315789475</v>
      </c>
      <c r="O94" s="2">
        <f t="shared" si="26"/>
        <v>0.45614035087719296</v>
      </c>
      <c r="P94" s="2">
        <f t="shared" si="27"/>
        <v>0.57017543859649122</v>
      </c>
      <c r="Q94" s="2">
        <f t="shared" si="28"/>
        <v>0.68421052631578949</v>
      </c>
      <c r="R94" s="2">
        <f t="shared" si="29"/>
        <v>61.578947368421055</v>
      </c>
      <c r="S94" s="2">
        <f t="shared" si="16"/>
        <v>5.7017543859649118</v>
      </c>
      <c r="T94" s="2">
        <f t="shared" si="30"/>
        <v>11.403508771929824</v>
      </c>
      <c r="U94" s="2">
        <f t="shared" si="17"/>
        <v>17.105263157894736</v>
      </c>
      <c r="V94" s="2">
        <f t="shared" si="18"/>
        <v>22.807017543859647</v>
      </c>
      <c r="W94" s="2">
        <f t="shared" si="19"/>
        <v>28.508771929824562</v>
      </c>
      <c r="X94" s="2">
        <f t="shared" si="20"/>
        <v>34.210526315789473</v>
      </c>
      <c r="Y94" s="5" t="str">
        <f t="shared" si="35"/>
        <v>1</v>
      </c>
      <c r="Z94" s="5" t="str">
        <f t="shared" si="36"/>
        <v>1</v>
      </c>
      <c r="AA94" s="5" t="str">
        <f t="shared" si="37"/>
        <v>1</v>
      </c>
      <c r="AB94" s="5" t="str">
        <f t="shared" si="31"/>
        <v>1</v>
      </c>
      <c r="AC94" s="5" t="str">
        <f t="shared" si="32"/>
        <v>1</v>
      </c>
      <c r="AD94" s="5" t="str">
        <f t="shared" si="33"/>
        <v>1</v>
      </c>
      <c r="AE94" s="5" t="str">
        <f t="shared" si="34"/>
        <v>1</v>
      </c>
    </row>
    <row r="95" spans="1:31" ht="14.4" x14ac:dyDescent="0.3">
      <c r="A95" s="14">
        <v>92</v>
      </c>
      <c r="B95" s="24" t="s">
        <v>188</v>
      </c>
      <c r="C95" s="10">
        <v>55</v>
      </c>
      <c r="D95" s="10">
        <v>70</v>
      </c>
      <c r="E95" s="16">
        <v>365</v>
      </c>
      <c r="F95" s="19">
        <v>3.2500000000000001E-2</v>
      </c>
      <c r="G95" s="10">
        <v>900</v>
      </c>
      <c r="H95" s="13">
        <v>0.02</v>
      </c>
      <c r="I95" s="17">
        <v>10950</v>
      </c>
      <c r="J95" s="22">
        <v>10</v>
      </c>
      <c r="K95" s="18">
        <f t="shared" si="23"/>
        <v>0.13928571428571429</v>
      </c>
      <c r="L95" s="2">
        <f t="shared" si="21"/>
        <v>6.9642857142857145E-2</v>
      </c>
      <c r="M95" s="2">
        <f t="shared" si="24"/>
        <v>0.13928571428571429</v>
      </c>
      <c r="N95" s="2">
        <f t="shared" si="25"/>
        <v>0.20892857142857144</v>
      </c>
      <c r="O95" s="2">
        <f t="shared" si="26"/>
        <v>0.27857142857142858</v>
      </c>
      <c r="P95" s="2">
        <f t="shared" si="27"/>
        <v>0.3482142857142857</v>
      </c>
      <c r="Q95" s="2">
        <f t="shared" si="28"/>
        <v>0.41785714285714287</v>
      </c>
      <c r="R95" s="2">
        <f t="shared" si="29"/>
        <v>6.9642857142857144</v>
      </c>
      <c r="S95" s="2">
        <f t="shared" si="16"/>
        <v>3.4821428571428572</v>
      </c>
      <c r="T95" s="2">
        <f t="shared" si="30"/>
        <v>6.9642857142857144</v>
      </c>
      <c r="U95" s="2">
        <f t="shared" si="17"/>
        <v>10.446428571428571</v>
      </c>
      <c r="V95" s="2">
        <f t="shared" si="18"/>
        <v>13.928571428571429</v>
      </c>
      <c r="W95" s="2">
        <f t="shared" si="19"/>
        <v>17.410714285714285</v>
      </c>
      <c r="X95" s="2">
        <f t="shared" si="20"/>
        <v>20.892857142857142</v>
      </c>
      <c r="Y95" s="5" t="str">
        <f t="shared" si="35"/>
        <v>1</v>
      </c>
      <c r="Z95" s="5" t="str">
        <f t="shared" si="36"/>
        <v>1</v>
      </c>
      <c r="AA95" s="5" t="str">
        <f t="shared" si="37"/>
        <v>1</v>
      </c>
      <c r="AB95" s="5" t="str">
        <f t="shared" si="31"/>
        <v>1</v>
      </c>
      <c r="AC95" s="5" t="str">
        <f t="shared" si="32"/>
        <v>1</v>
      </c>
      <c r="AD95" s="5" t="str">
        <f t="shared" si="33"/>
        <v>1</v>
      </c>
      <c r="AE95" s="5" t="str">
        <f t="shared" si="34"/>
        <v>1</v>
      </c>
    </row>
    <row r="96" spans="1:31" ht="14.4" x14ac:dyDescent="0.3">
      <c r="A96" s="14">
        <v>93</v>
      </c>
      <c r="B96" s="24" t="s">
        <v>143</v>
      </c>
      <c r="C96" s="10">
        <v>55</v>
      </c>
      <c r="D96" s="10">
        <v>70</v>
      </c>
      <c r="E96" s="16">
        <v>365</v>
      </c>
      <c r="F96" s="19">
        <v>5.21E-2</v>
      </c>
      <c r="G96" s="10">
        <v>900</v>
      </c>
      <c r="H96" s="13">
        <v>0.02</v>
      </c>
      <c r="I96" s="17">
        <v>10950</v>
      </c>
      <c r="J96" s="22">
        <v>10</v>
      </c>
      <c r="K96" s="18">
        <f t="shared" si="23"/>
        <v>0.22328571428571428</v>
      </c>
      <c r="L96" s="2">
        <f t="shared" si="21"/>
        <v>0.11164285714285714</v>
      </c>
      <c r="M96" s="2">
        <f t="shared" si="24"/>
        <v>0.22328571428571428</v>
      </c>
      <c r="N96" s="2">
        <f t="shared" si="25"/>
        <v>0.33492857142857141</v>
      </c>
      <c r="O96" s="2">
        <f t="shared" si="26"/>
        <v>0.44657142857142856</v>
      </c>
      <c r="P96" s="2">
        <f t="shared" si="27"/>
        <v>0.55821428571428566</v>
      </c>
      <c r="Q96" s="2">
        <f t="shared" si="28"/>
        <v>0.66985714285714282</v>
      </c>
      <c r="R96" s="2">
        <f t="shared" si="29"/>
        <v>11.164285714285715</v>
      </c>
      <c r="S96" s="2">
        <f t="shared" si="16"/>
        <v>5.5821428571428573</v>
      </c>
      <c r="T96" s="2">
        <f t="shared" si="30"/>
        <v>11.164285714285715</v>
      </c>
      <c r="U96" s="2">
        <f t="shared" si="17"/>
        <v>16.74642857142857</v>
      </c>
      <c r="V96" s="2">
        <f t="shared" si="18"/>
        <v>22.328571428571429</v>
      </c>
      <c r="W96" s="2">
        <f t="shared" si="19"/>
        <v>27.910714285714281</v>
      </c>
      <c r="X96" s="2">
        <f t="shared" si="20"/>
        <v>33.49285714285714</v>
      </c>
      <c r="Y96" s="5" t="str">
        <f t="shared" si="35"/>
        <v>1</v>
      </c>
      <c r="Z96" s="5" t="str">
        <f t="shared" si="36"/>
        <v>1</v>
      </c>
      <c r="AA96" s="5" t="str">
        <f t="shared" si="37"/>
        <v>1</v>
      </c>
      <c r="AB96" s="5" t="str">
        <f t="shared" si="31"/>
        <v>1</v>
      </c>
      <c r="AC96" s="5" t="str">
        <f t="shared" si="32"/>
        <v>1</v>
      </c>
      <c r="AD96" s="5" t="str">
        <f t="shared" si="33"/>
        <v>1</v>
      </c>
      <c r="AE96" s="5" t="str">
        <f t="shared" si="34"/>
        <v>1</v>
      </c>
    </row>
    <row r="97" spans="1:31" ht="14.4" x14ac:dyDescent="0.3">
      <c r="A97" s="14">
        <v>94</v>
      </c>
      <c r="B97" s="24" t="s">
        <v>152</v>
      </c>
      <c r="C97" s="10">
        <v>55</v>
      </c>
      <c r="D97" s="10">
        <v>70</v>
      </c>
      <c r="E97" s="16">
        <v>365</v>
      </c>
      <c r="F97" s="19">
        <v>4.99E-2</v>
      </c>
      <c r="G97" s="10">
        <v>900</v>
      </c>
      <c r="H97" s="13">
        <v>0.02</v>
      </c>
      <c r="I97" s="17">
        <v>10950</v>
      </c>
      <c r="J97" s="22">
        <v>10</v>
      </c>
      <c r="K97" s="18">
        <f t="shared" si="23"/>
        <v>0.21385714285714283</v>
      </c>
      <c r="L97" s="2">
        <f t="shared" si="21"/>
        <v>0.10692857142857141</v>
      </c>
      <c r="M97" s="2">
        <f t="shared" si="24"/>
        <v>0.21385714285714283</v>
      </c>
      <c r="N97" s="2">
        <f t="shared" si="25"/>
        <v>0.32078571428571423</v>
      </c>
      <c r="O97" s="2">
        <f t="shared" si="26"/>
        <v>0.42771428571428566</v>
      </c>
      <c r="P97" s="2">
        <f t="shared" si="27"/>
        <v>0.53464285714285709</v>
      </c>
      <c r="Q97" s="2">
        <f t="shared" si="28"/>
        <v>0.64157142857142846</v>
      </c>
      <c r="R97" s="2">
        <f t="shared" si="29"/>
        <v>10.692857142857141</v>
      </c>
      <c r="S97" s="2">
        <f t="shared" si="16"/>
        <v>5.3464285714285706</v>
      </c>
      <c r="T97" s="2">
        <f t="shared" si="30"/>
        <v>10.692857142857141</v>
      </c>
      <c r="U97" s="2">
        <f t="shared" si="17"/>
        <v>16.039285714285711</v>
      </c>
      <c r="V97" s="2">
        <f t="shared" si="18"/>
        <v>21.385714285714283</v>
      </c>
      <c r="W97" s="2">
        <f t="shared" si="19"/>
        <v>26.732142857142854</v>
      </c>
      <c r="X97" s="2">
        <f t="shared" si="20"/>
        <v>32.078571428571422</v>
      </c>
      <c r="Y97" s="5" t="str">
        <f t="shared" si="35"/>
        <v>1</v>
      </c>
      <c r="Z97" s="5" t="str">
        <f t="shared" si="36"/>
        <v>1</v>
      </c>
      <c r="AA97" s="5" t="str">
        <f t="shared" si="37"/>
        <v>1</v>
      </c>
      <c r="AB97" s="5" t="str">
        <f t="shared" si="31"/>
        <v>1</v>
      </c>
      <c r="AC97" s="5" t="str">
        <f t="shared" si="32"/>
        <v>1</v>
      </c>
      <c r="AD97" s="5" t="str">
        <f t="shared" si="33"/>
        <v>1</v>
      </c>
      <c r="AE97" s="5" t="str">
        <f t="shared" si="34"/>
        <v>1</v>
      </c>
    </row>
    <row r="98" spans="1:31" ht="14.4" x14ac:dyDescent="0.3">
      <c r="A98" s="14">
        <v>95</v>
      </c>
      <c r="B98" s="24" t="s">
        <v>189</v>
      </c>
      <c r="C98" s="10">
        <v>60</v>
      </c>
      <c r="D98" s="10">
        <v>64</v>
      </c>
      <c r="E98" s="16">
        <v>365</v>
      </c>
      <c r="F98" s="19">
        <v>3.8399999999999997E-2</v>
      </c>
      <c r="G98" s="10">
        <v>1500</v>
      </c>
      <c r="H98" s="13">
        <v>0.02</v>
      </c>
      <c r="I98" s="17">
        <v>10950</v>
      </c>
      <c r="J98" s="22">
        <v>30</v>
      </c>
      <c r="K98" s="18">
        <f t="shared" si="23"/>
        <v>0.8999999999999998</v>
      </c>
      <c r="L98" s="2">
        <f t="shared" si="21"/>
        <v>0.14999999999999997</v>
      </c>
      <c r="M98" s="2">
        <f t="shared" si="24"/>
        <v>0.29999999999999993</v>
      </c>
      <c r="N98" s="2">
        <f t="shared" si="25"/>
        <v>0.4499999999999999</v>
      </c>
      <c r="O98" s="2">
        <f t="shared" si="26"/>
        <v>0.59999999999999987</v>
      </c>
      <c r="P98" s="2">
        <f t="shared" si="27"/>
        <v>0.74999999999999989</v>
      </c>
      <c r="Q98" s="2">
        <f t="shared" si="28"/>
        <v>0.8999999999999998</v>
      </c>
      <c r="R98" s="2">
        <f t="shared" si="29"/>
        <v>44.999999999999986</v>
      </c>
      <c r="S98" s="2">
        <f t="shared" si="16"/>
        <v>7.4999999999999982</v>
      </c>
      <c r="T98" s="2">
        <f t="shared" si="30"/>
        <v>14.999999999999996</v>
      </c>
      <c r="U98" s="2">
        <f t="shared" si="17"/>
        <v>22.499999999999993</v>
      </c>
      <c r="V98" s="2">
        <f t="shared" si="18"/>
        <v>29.999999999999993</v>
      </c>
      <c r="W98" s="2">
        <f t="shared" si="19"/>
        <v>37.499999999999993</v>
      </c>
      <c r="X98" s="2">
        <f t="shared" si="20"/>
        <v>44.999999999999986</v>
      </c>
      <c r="Y98" s="5" t="str">
        <f t="shared" si="35"/>
        <v>1</v>
      </c>
      <c r="Z98" s="5" t="str">
        <f t="shared" si="36"/>
        <v>1</v>
      </c>
      <c r="AA98" s="5" t="str">
        <f t="shared" si="37"/>
        <v>1</v>
      </c>
      <c r="AB98" s="5" t="str">
        <f t="shared" si="31"/>
        <v>1</v>
      </c>
      <c r="AC98" s="5" t="str">
        <f t="shared" si="32"/>
        <v>1</v>
      </c>
      <c r="AD98" s="5" t="str">
        <f t="shared" si="33"/>
        <v>1</v>
      </c>
      <c r="AE98" s="5" t="str">
        <f t="shared" si="34"/>
        <v>1</v>
      </c>
    </row>
    <row r="99" spans="1:31" ht="14.4" x14ac:dyDescent="0.3">
      <c r="A99" s="14">
        <v>96</v>
      </c>
      <c r="B99" s="24" t="s">
        <v>190</v>
      </c>
      <c r="C99" s="10">
        <v>60</v>
      </c>
      <c r="D99" s="10">
        <v>64</v>
      </c>
      <c r="E99" s="16">
        <v>365</v>
      </c>
      <c r="F99" s="19">
        <v>3.8399999999999997E-2</v>
      </c>
      <c r="G99" s="10">
        <v>1500</v>
      </c>
      <c r="H99" s="13">
        <v>0.02</v>
      </c>
      <c r="I99" s="17">
        <v>10950</v>
      </c>
      <c r="J99" s="22">
        <v>30</v>
      </c>
      <c r="K99" s="18">
        <f t="shared" si="23"/>
        <v>0.8999999999999998</v>
      </c>
      <c r="L99" s="2">
        <f t="shared" si="21"/>
        <v>0.14999999999999997</v>
      </c>
      <c r="M99" s="2">
        <f t="shared" si="24"/>
        <v>0.29999999999999993</v>
      </c>
      <c r="N99" s="2">
        <f t="shared" si="25"/>
        <v>0.4499999999999999</v>
      </c>
      <c r="O99" s="2">
        <f t="shared" si="26"/>
        <v>0.59999999999999987</v>
      </c>
      <c r="P99" s="2">
        <f t="shared" si="27"/>
        <v>0.74999999999999989</v>
      </c>
      <c r="Q99" s="2">
        <f t="shared" si="28"/>
        <v>0.8999999999999998</v>
      </c>
      <c r="R99" s="2">
        <f t="shared" si="29"/>
        <v>44.999999999999986</v>
      </c>
      <c r="S99" s="2">
        <f t="shared" si="16"/>
        <v>7.4999999999999982</v>
      </c>
      <c r="T99" s="2">
        <f t="shared" si="30"/>
        <v>14.999999999999996</v>
      </c>
      <c r="U99" s="2">
        <f t="shared" si="17"/>
        <v>22.499999999999993</v>
      </c>
      <c r="V99" s="2">
        <f t="shared" si="18"/>
        <v>29.999999999999993</v>
      </c>
      <c r="W99" s="2">
        <f t="shared" si="19"/>
        <v>37.499999999999993</v>
      </c>
      <c r="X99" s="2">
        <f t="shared" si="20"/>
        <v>44.999999999999986</v>
      </c>
      <c r="Y99" s="5" t="str">
        <f t="shared" si="35"/>
        <v>1</v>
      </c>
      <c r="Z99" s="5" t="str">
        <f t="shared" si="36"/>
        <v>1</v>
      </c>
      <c r="AA99" s="5" t="str">
        <f t="shared" si="37"/>
        <v>1</v>
      </c>
      <c r="AB99" s="5" t="str">
        <f t="shared" si="31"/>
        <v>1</v>
      </c>
      <c r="AC99" s="5" t="str">
        <f t="shared" si="32"/>
        <v>1</v>
      </c>
      <c r="AD99" s="5" t="str">
        <f t="shared" si="33"/>
        <v>1</v>
      </c>
      <c r="AE99" s="5" t="str">
        <f t="shared" si="34"/>
        <v>1</v>
      </c>
    </row>
    <row r="100" spans="1:31" ht="14.4" x14ac:dyDescent="0.3">
      <c r="A100" s="14">
        <v>97</v>
      </c>
      <c r="B100" s="24" t="s">
        <v>117</v>
      </c>
      <c r="C100" s="10">
        <v>60</v>
      </c>
      <c r="D100" s="10">
        <v>64</v>
      </c>
      <c r="E100" s="16">
        <v>365</v>
      </c>
      <c r="F100" s="19">
        <v>3.8399999999999997E-2</v>
      </c>
      <c r="G100" s="10">
        <v>1500</v>
      </c>
      <c r="H100" s="13">
        <v>0.02</v>
      </c>
      <c r="I100" s="17">
        <v>10950</v>
      </c>
      <c r="J100" s="22">
        <v>30</v>
      </c>
      <c r="K100" s="18">
        <f t="shared" si="23"/>
        <v>0.8999999999999998</v>
      </c>
      <c r="L100" s="2">
        <f t="shared" si="21"/>
        <v>0.14999999999999997</v>
      </c>
      <c r="M100" s="2">
        <f t="shared" si="24"/>
        <v>0.29999999999999993</v>
      </c>
      <c r="N100" s="2">
        <f t="shared" si="25"/>
        <v>0.4499999999999999</v>
      </c>
      <c r="O100" s="2">
        <f t="shared" si="26"/>
        <v>0.59999999999999987</v>
      </c>
      <c r="P100" s="2">
        <f t="shared" si="27"/>
        <v>0.74999999999999989</v>
      </c>
      <c r="Q100" s="2">
        <f t="shared" si="28"/>
        <v>0.8999999999999998</v>
      </c>
      <c r="R100" s="2">
        <f t="shared" si="29"/>
        <v>44.999999999999986</v>
      </c>
      <c r="S100" s="2">
        <f t="shared" si="16"/>
        <v>7.4999999999999982</v>
      </c>
      <c r="T100" s="2">
        <f t="shared" si="30"/>
        <v>14.999999999999996</v>
      </c>
      <c r="U100" s="2">
        <f t="shared" si="17"/>
        <v>22.499999999999993</v>
      </c>
      <c r="V100" s="2">
        <f t="shared" si="18"/>
        <v>29.999999999999993</v>
      </c>
      <c r="W100" s="2">
        <f t="shared" si="19"/>
        <v>37.499999999999993</v>
      </c>
      <c r="X100" s="2">
        <f t="shared" si="20"/>
        <v>44.999999999999986</v>
      </c>
      <c r="Y100" s="5" t="str">
        <f t="shared" si="35"/>
        <v>1</v>
      </c>
      <c r="Z100" s="5" t="str">
        <f t="shared" si="36"/>
        <v>1</v>
      </c>
      <c r="AA100" s="5" t="str">
        <f t="shared" si="37"/>
        <v>1</v>
      </c>
      <c r="AB100" s="5" t="str">
        <f t="shared" si="31"/>
        <v>1</v>
      </c>
      <c r="AC100" s="5" t="str">
        <f t="shared" si="32"/>
        <v>1</v>
      </c>
      <c r="AD100" s="5" t="str">
        <f t="shared" si="33"/>
        <v>1</v>
      </c>
      <c r="AE100" s="5" t="str">
        <f t="shared" si="34"/>
        <v>1</v>
      </c>
    </row>
    <row r="101" spans="1:31" ht="14.4" x14ac:dyDescent="0.3">
      <c r="A101" s="14">
        <v>98</v>
      </c>
      <c r="B101" s="24" t="s">
        <v>120</v>
      </c>
      <c r="C101" s="10">
        <v>60</v>
      </c>
      <c r="D101" s="10">
        <v>64</v>
      </c>
      <c r="E101" s="16">
        <v>365</v>
      </c>
      <c r="F101" s="19">
        <v>3.9100000000000003E-2</v>
      </c>
      <c r="G101" s="10">
        <v>1500</v>
      </c>
      <c r="H101" s="13">
        <v>0.02</v>
      </c>
      <c r="I101" s="17">
        <v>10950</v>
      </c>
      <c r="J101" s="22">
        <v>30</v>
      </c>
      <c r="K101" s="18">
        <f t="shared" si="23"/>
        <v>0.9164062500000002</v>
      </c>
      <c r="L101" s="2">
        <f t="shared" si="21"/>
        <v>0.15273437500000003</v>
      </c>
      <c r="M101" s="2">
        <f t="shared" si="24"/>
        <v>0.30546875000000007</v>
      </c>
      <c r="N101" s="2">
        <f t="shared" si="25"/>
        <v>0.4582031250000001</v>
      </c>
      <c r="O101" s="2">
        <f t="shared" si="26"/>
        <v>0.61093750000000013</v>
      </c>
      <c r="P101" s="2">
        <f t="shared" si="27"/>
        <v>0.76367187500000011</v>
      </c>
      <c r="Q101" s="2">
        <f t="shared" si="28"/>
        <v>0.9164062500000002</v>
      </c>
      <c r="R101" s="2">
        <f t="shared" si="29"/>
        <v>45.820312500000007</v>
      </c>
      <c r="S101" s="2">
        <f t="shared" si="16"/>
        <v>7.6367187500000018</v>
      </c>
      <c r="T101" s="2">
        <f t="shared" si="30"/>
        <v>15.273437500000004</v>
      </c>
      <c r="U101" s="2">
        <f t="shared" si="17"/>
        <v>22.910156250000004</v>
      </c>
      <c r="V101" s="2">
        <f t="shared" si="18"/>
        <v>30.546875000000007</v>
      </c>
      <c r="W101" s="2">
        <f t="shared" si="19"/>
        <v>38.183593750000007</v>
      </c>
      <c r="X101" s="2">
        <f t="shared" si="20"/>
        <v>45.820312500000007</v>
      </c>
      <c r="Y101" s="5" t="str">
        <f t="shared" si="35"/>
        <v>1</v>
      </c>
      <c r="Z101" s="5" t="str">
        <f t="shared" si="36"/>
        <v>1</v>
      </c>
      <c r="AA101" s="5" t="str">
        <f t="shared" si="37"/>
        <v>1</v>
      </c>
      <c r="AB101" s="5" t="str">
        <f t="shared" si="31"/>
        <v>1</v>
      </c>
      <c r="AC101" s="5" t="str">
        <f t="shared" si="32"/>
        <v>1</v>
      </c>
      <c r="AD101" s="5" t="str">
        <f t="shared" si="33"/>
        <v>1</v>
      </c>
      <c r="AE101" s="5" t="str">
        <f t="shared" si="34"/>
        <v>1</v>
      </c>
    </row>
    <row r="102" spans="1:31" ht="14.4" x14ac:dyDescent="0.3">
      <c r="A102" s="14">
        <v>99</v>
      </c>
      <c r="B102" s="24" t="s">
        <v>137</v>
      </c>
      <c r="C102" s="10">
        <v>60</v>
      </c>
      <c r="D102" s="10">
        <v>64</v>
      </c>
      <c r="E102" s="16">
        <v>365</v>
      </c>
      <c r="F102" s="19">
        <v>4.1200000000000001E-2</v>
      </c>
      <c r="G102" s="10">
        <v>1500</v>
      </c>
      <c r="H102" s="13">
        <v>0.02</v>
      </c>
      <c r="I102" s="17">
        <v>10950</v>
      </c>
      <c r="J102" s="22">
        <v>30</v>
      </c>
      <c r="K102" s="18">
        <f t="shared" si="23"/>
        <v>0.96562499999999996</v>
      </c>
      <c r="L102" s="2">
        <f t="shared" si="21"/>
        <v>0.16093750000000001</v>
      </c>
      <c r="M102" s="2">
        <f t="shared" si="24"/>
        <v>0.32187500000000002</v>
      </c>
      <c r="N102" s="2">
        <f t="shared" si="25"/>
        <v>0.48281249999999998</v>
      </c>
      <c r="O102" s="2">
        <f t="shared" si="26"/>
        <v>0.64375000000000004</v>
      </c>
      <c r="P102" s="2">
        <f t="shared" si="27"/>
        <v>0.8046875</v>
      </c>
      <c r="Q102" s="2">
        <f t="shared" si="28"/>
        <v>0.96562499999999996</v>
      </c>
      <c r="R102" s="2">
        <f t="shared" si="29"/>
        <v>48.28125</v>
      </c>
      <c r="S102" s="2">
        <f t="shared" si="16"/>
        <v>8.046875</v>
      </c>
      <c r="T102" s="2">
        <f t="shared" si="30"/>
        <v>16.09375</v>
      </c>
      <c r="U102" s="2">
        <f t="shared" si="17"/>
        <v>24.140625</v>
      </c>
      <c r="V102" s="2">
        <f t="shared" si="18"/>
        <v>32.1875</v>
      </c>
      <c r="W102" s="2">
        <f t="shared" si="19"/>
        <v>40.234375</v>
      </c>
      <c r="X102" s="2">
        <f t="shared" si="20"/>
        <v>48.28125</v>
      </c>
      <c r="Y102" s="5" t="str">
        <f t="shared" si="35"/>
        <v>1</v>
      </c>
      <c r="Z102" s="5" t="str">
        <f t="shared" si="36"/>
        <v>1</v>
      </c>
      <c r="AA102" s="5" t="str">
        <f t="shared" si="37"/>
        <v>1</v>
      </c>
      <c r="AB102" s="5" t="str">
        <f t="shared" si="31"/>
        <v>1</v>
      </c>
      <c r="AC102" s="5" t="str">
        <f t="shared" si="32"/>
        <v>1</v>
      </c>
      <c r="AD102" s="5" t="str">
        <f t="shared" si="33"/>
        <v>1</v>
      </c>
      <c r="AE102" s="5" t="str">
        <f t="shared" si="34"/>
        <v>1</v>
      </c>
    </row>
    <row r="103" spans="1:31" ht="14.4" x14ac:dyDescent="0.3">
      <c r="A103" s="14">
        <v>100</v>
      </c>
      <c r="B103" s="24" t="s">
        <v>135</v>
      </c>
      <c r="C103" s="10">
        <v>67</v>
      </c>
      <c r="D103" s="10">
        <v>57</v>
      </c>
      <c r="E103" s="16">
        <v>365</v>
      </c>
      <c r="F103" s="19">
        <v>6.2899999999999998E-2</v>
      </c>
      <c r="G103" s="10">
        <v>1500</v>
      </c>
      <c r="H103" s="13">
        <v>0.02</v>
      </c>
      <c r="I103" s="17">
        <v>10950</v>
      </c>
      <c r="J103" s="22">
        <v>8</v>
      </c>
      <c r="K103" s="18">
        <f t="shared" si="23"/>
        <v>0.4414035087719298</v>
      </c>
      <c r="L103" s="2">
        <f t="shared" si="21"/>
        <v>0.27587719298245617</v>
      </c>
      <c r="M103" s="2">
        <f t="shared" si="24"/>
        <v>0.55175438596491233</v>
      </c>
      <c r="N103" s="2">
        <f t="shared" si="25"/>
        <v>0.82763157894736838</v>
      </c>
      <c r="O103" s="2">
        <f t="shared" si="26"/>
        <v>1.1035087719298247</v>
      </c>
      <c r="P103" s="2">
        <f t="shared" si="27"/>
        <v>1.3793859649122806</v>
      </c>
      <c r="Q103" s="2">
        <f t="shared" si="28"/>
        <v>1.6552631578947368</v>
      </c>
      <c r="R103" s="2">
        <f t="shared" si="29"/>
        <v>22.07017543859649</v>
      </c>
      <c r="S103" s="2">
        <f t="shared" si="16"/>
        <v>13.793859649122808</v>
      </c>
      <c r="T103" s="2">
        <f t="shared" si="30"/>
        <v>27.587719298245617</v>
      </c>
      <c r="U103" s="2">
        <f t="shared" si="17"/>
        <v>41.381578947368418</v>
      </c>
      <c r="V103" s="2">
        <f t="shared" si="18"/>
        <v>55.175438596491233</v>
      </c>
      <c r="W103" s="2">
        <f t="shared" si="19"/>
        <v>68.969298245614027</v>
      </c>
      <c r="X103" s="2">
        <f t="shared" si="20"/>
        <v>82.763157894736835</v>
      </c>
      <c r="Y103" s="5" t="str">
        <f t="shared" si="35"/>
        <v>1</v>
      </c>
      <c r="Z103" s="5" t="str">
        <f t="shared" si="36"/>
        <v>1</v>
      </c>
      <c r="AA103" s="5" t="str">
        <f t="shared" si="37"/>
        <v>1</v>
      </c>
      <c r="AB103" s="5" t="str">
        <f t="shared" si="31"/>
        <v>1</v>
      </c>
      <c r="AC103" s="5" t="str">
        <f t="shared" si="32"/>
        <v>1</v>
      </c>
      <c r="AD103" s="5" t="str">
        <f t="shared" si="33"/>
        <v>1</v>
      </c>
      <c r="AE103" s="5" t="str">
        <f t="shared" si="34"/>
        <v>1</v>
      </c>
    </row>
    <row r="105" spans="1:31" x14ac:dyDescent="0.25">
      <c r="A105" s="3" t="s">
        <v>76</v>
      </c>
    </row>
    <row r="106" spans="1:31" x14ac:dyDescent="0.25">
      <c r="A106" s="3" t="s">
        <v>6</v>
      </c>
    </row>
    <row r="107" spans="1:31" x14ac:dyDescent="0.25">
      <c r="A107" s="3" t="s">
        <v>7</v>
      </c>
    </row>
  </sheetData>
  <mergeCells count="31">
    <mergeCell ref="AE1:AE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S1:S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G1:G2"/>
    <mergeCell ref="C1:C2"/>
    <mergeCell ref="A1:A2"/>
    <mergeCell ref="B1:B2"/>
    <mergeCell ref="D1:D2"/>
    <mergeCell ref="E1:E2"/>
    <mergeCell ref="F1:F2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AE107"/>
  <sheetViews>
    <sheetView workbookViewId="0">
      <selection activeCell="B21" sqref="B21"/>
    </sheetView>
  </sheetViews>
  <sheetFormatPr defaultColWidth="9.109375" defaultRowHeight="13.8" x14ac:dyDescent="0.25"/>
  <cols>
    <col min="1" max="1" width="5.33203125" style="3" customWidth="1"/>
    <col min="2" max="2" width="13" style="3" customWidth="1"/>
    <col min="3" max="3" width="8.44140625" style="3" customWidth="1"/>
    <col min="4" max="4" width="8.5546875" style="3" customWidth="1"/>
    <col min="5" max="5" width="5" style="6" customWidth="1"/>
    <col min="6" max="6" width="10.6640625" style="3" customWidth="1"/>
    <col min="7" max="10" width="9.109375" style="3"/>
    <col min="11" max="11" width="10" style="3" bestFit="1" customWidth="1"/>
    <col min="12" max="25" width="10.88671875" style="3" customWidth="1"/>
    <col min="26" max="26" width="9.5546875" style="3" bestFit="1" customWidth="1"/>
    <col min="27" max="16384" width="9.109375" style="3"/>
  </cols>
  <sheetData>
    <row r="1" spans="1:31" ht="15" customHeight="1" x14ac:dyDescent="0.25">
      <c r="A1" s="42" t="s">
        <v>104</v>
      </c>
      <c r="B1" s="44" t="s">
        <v>4</v>
      </c>
      <c r="C1" s="45" t="s">
        <v>109</v>
      </c>
      <c r="D1" s="44" t="s">
        <v>0</v>
      </c>
      <c r="E1" s="44" t="s">
        <v>3</v>
      </c>
      <c r="F1" s="41" t="s">
        <v>52</v>
      </c>
      <c r="G1" s="41" t="s">
        <v>1</v>
      </c>
      <c r="H1" s="41" t="s">
        <v>53</v>
      </c>
      <c r="I1" s="44" t="s">
        <v>2</v>
      </c>
      <c r="J1" s="41" t="s">
        <v>96</v>
      </c>
      <c r="K1" s="41" t="s">
        <v>97</v>
      </c>
      <c r="L1" s="41" t="s">
        <v>59</v>
      </c>
      <c r="M1" s="41" t="s">
        <v>60</v>
      </c>
      <c r="N1" s="41" t="s">
        <v>61</v>
      </c>
      <c r="O1" s="41" t="s">
        <v>62</v>
      </c>
      <c r="P1" s="41" t="s">
        <v>63</v>
      </c>
      <c r="Q1" s="41" t="s">
        <v>64</v>
      </c>
      <c r="R1" s="41" t="s">
        <v>95</v>
      </c>
      <c r="S1" s="41" t="s">
        <v>65</v>
      </c>
      <c r="T1" s="41" t="s">
        <v>66</v>
      </c>
      <c r="U1" s="41" t="s">
        <v>67</v>
      </c>
      <c r="V1" s="41" t="s">
        <v>68</v>
      </c>
      <c r="W1" s="41" t="s">
        <v>69</v>
      </c>
      <c r="X1" s="41" t="s">
        <v>70</v>
      </c>
      <c r="Y1" s="41" t="s">
        <v>98</v>
      </c>
      <c r="Z1" s="41" t="s">
        <v>75</v>
      </c>
      <c r="AA1" s="41" t="s">
        <v>71</v>
      </c>
      <c r="AB1" s="41" t="s">
        <v>72</v>
      </c>
      <c r="AC1" s="41" t="s">
        <v>73</v>
      </c>
      <c r="AD1" s="41" t="s">
        <v>74</v>
      </c>
      <c r="AE1" s="41" t="s">
        <v>54</v>
      </c>
    </row>
    <row r="2" spans="1:31" ht="30.75" customHeight="1" x14ac:dyDescent="0.25">
      <c r="A2" s="43"/>
      <c r="B2" s="44"/>
      <c r="C2" s="46"/>
      <c r="D2" s="44"/>
      <c r="E2" s="44"/>
      <c r="F2" s="41"/>
      <c r="G2" s="41"/>
      <c r="H2" s="41"/>
      <c r="I2" s="44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</row>
    <row r="3" spans="1:31" s="9" customFormat="1" ht="13.2" x14ac:dyDescent="0.25">
      <c r="A3" s="7">
        <v>1</v>
      </c>
      <c r="B3" s="8">
        <v>2</v>
      </c>
      <c r="C3" s="7">
        <v>3</v>
      </c>
      <c r="D3" s="8">
        <v>4</v>
      </c>
      <c r="E3" s="7">
        <v>5</v>
      </c>
      <c r="F3" s="8">
        <v>6</v>
      </c>
      <c r="G3" s="7">
        <v>7</v>
      </c>
      <c r="H3" s="8">
        <v>8</v>
      </c>
      <c r="I3" s="7">
        <v>9</v>
      </c>
      <c r="J3" s="8">
        <v>10</v>
      </c>
      <c r="K3" s="7">
        <v>11</v>
      </c>
      <c r="L3" s="8">
        <v>12</v>
      </c>
      <c r="M3" s="7">
        <v>13</v>
      </c>
      <c r="N3" s="8">
        <v>14</v>
      </c>
      <c r="O3" s="7">
        <v>15</v>
      </c>
      <c r="P3" s="8">
        <v>16</v>
      </c>
      <c r="Q3" s="7">
        <v>17</v>
      </c>
      <c r="R3" s="8">
        <v>18</v>
      </c>
      <c r="S3" s="7">
        <v>19</v>
      </c>
      <c r="T3" s="8">
        <v>20</v>
      </c>
      <c r="U3" s="7">
        <v>21</v>
      </c>
      <c r="V3" s="8">
        <v>22</v>
      </c>
      <c r="W3" s="7">
        <v>23</v>
      </c>
      <c r="X3" s="8">
        <v>24</v>
      </c>
      <c r="Y3" s="7">
        <v>25</v>
      </c>
      <c r="Z3" s="8">
        <v>26</v>
      </c>
      <c r="AA3" s="7">
        <v>27</v>
      </c>
      <c r="AB3" s="8">
        <v>28</v>
      </c>
      <c r="AC3" s="7">
        <v>29</v>
      </c>
      <c r="AD3" s="8">
        <v>30</v>
      </c>
      <c r="AE3" s="7">
        <v>31</v>
      </c>
    </row>
    <row r="4" spans="1:31" ht="14.4" x14ac:dyDescent="0.3">
      <c r="A4" s="14">
        <v>1</v>
      </c>
      <c r="B4" s="24" t="s">
        <v>191</v>
      </c>
      <c r="C4" s="10">
        <v>20</v>
      </c>
      <c r="D4" s="10">
        <v>53</v>
      </c>
      <c r="E4" s="15">
        <v>365</v>
      </c>
      <c r="F4" s="26">
        <v>2.0000000000000001E-4</v>
      </c>
      <c r="G4" s="10">
        <v>900</v>
      </c>
      <c r="H4" s="12">
        <v>2.9999999999999997E-4</v>
      </c>
      <c r="I4" s="17">
        <v>10950</v>
      </c>
      <c r="J4" s="22">
        <v>20</v>
      </c>
      <c r="K4" s="18">
        <f t="shared" ref="K4:K28" si="0">(F4*G4*E4*J4)/(D4*I4)</f>
        <v>2.2641509433962265E-3</v>
      </c>
      <c r="L4" s="2">
        <f t="shared" ref="L4:L27" si="1">(F4*G4*E4*5)/(D4*I4)</f>
        <v>5.6603773584905663E-4</v>
      </c>
      <c r="M4" s="2">
        <f t="shared" ref="M4:M27" si="2">(F4*G4*E4*10)/(D4*I4)</f>
        <v>1.1320754716981133E-3</v>
      </c>
      <c r="N4" s="2">
        <f t="shared" ref="N4:N27" si="3">(F4*G4*E4*15)/(D4*I4)</f>
        <v>1.6981132075471698E-3</v>
      </c>
      <c r="O4" s="2">
        <f t="shared" ref="O4:O27" si="4">(F4*G4*E4*20)/(D4*I4)</f>
        <v>2.2641509433962265E-3</v>
      </c>
      <c r="P4" s="2">
        <f t="shared" ref="P4:P27" si="5">(F4*G4*E4*25)/(D4*I4)</f>
        <v>2.8301886792452828E-3</v>
      </c>
      <c r="Q4" s="2">
        <f t="shared" ref="Q4:Q27" si="6">(F4*G4*E4*30)/(D4*I4)</f>
        <v>3.3962264150943396E-3</v>
      </c>
      <c r="R4" s="2">
        <f t="shared" ref="R4:R28" si="7">K4/H4</f>
        <v>7.5471698113207557</v>
      </c>
      <c r="S4" s="2">
        <f t="shared" ref="S4:S28" si="8">L4/H4</f>
        <v>1.8867924528301889</v>
      </c>
      <c r="T4" s="2">
        <f t="shared" ref="T4:T28" si="9">M4/H4</f>
        <v>3.7735849056603779</v>
      </c>
      <c r="U4" s="2">
        <f t="shared" ref="U4:U28" si="10">N4/H4</f>
        <v>5.6603773584905666</v>
      </c>
      <c r="V4" s="2">
        <f t="shared" ref="V4:V28" si="11">O4/H4</f>
        <v>7.5471698113207557</v>
      </c>
      <c r="W4" s="2">
        <f t="shared" ref="W4:W28" si="12">P4/H4</f>
        <v>9.433962264150944</v>
      </c>
      <c r="X4" s="2">
        <f t="shared" ref="X4:X28" si="13">Q4/H4</f>
        <v>11.320754716981133</v>
      </c>
      <c r="Y4" s="5" t="str">
        <f t="shared" ref="Y4:Y28" si="14">IF(R4&gt;1,"1","2")</f>
        <v>1</v>
      </c>
      <c r="Z4" s="5" t="str">
        <f t="shared" ref="Z4:Z28" si="15">IF(S4&gt;1,"1","2")</f>
        <v>1</v>
      </c>
      <c r="AA4" s="5" t="str">
        <f t="shared" ref="AA4:AE28" si="16">IF(T4&gt;1,"1","2")</f>
        <v>1</v>
      </c>
      <c r="AB4" s="5" t="str">
        <f t="shared" si="16"/>
        <v>1</v>
      </c>
      <c r="AC4" s="5" t="str">
        <f t="shared" si="16"/>
        <v>1</v>
      </c>
      <c r="AD4" s="5" t="str">
        <f t="shared" si="16"/>
        <v>1</v>
      </c>
      <c r="AE4" s="5" t="str">
        <f t="shared" si="16"/>
        <v>1</v>
      </c>
    </row>
    <row r="5" spans="1:31" ht="14.4" x14ac:dyDescent="0.3">
      <c r="A5" s="14">
        <v>2</v>
      </c>
      <c r="B5" s="24" t="s">
        <v>192</v>
      </c>
      <c r="C5" s="10">
        <v>25</v>
      </c>
      <c r="D5" s="10">
        <v>68</v>
      </c>
      <c r="E5" s="15">
        <v>365</v>
      </c>
      <c r="F5" s="26">
        <v>2.0000000000000001E-4</v>
      </c>
      <c r="G5" s="10">
        <v>1500</v>
      </c>
      <c r="H5" s="12">
        <v>2.9999999999999997E-4</v>
      </c>
      <c r="I5" s="17">
        <v>10950</v>
      </c>
      <c r="J5" s="22">
        <v>22</v>
      </c>
      <c r="K5" s="18">
        <f t="shared" si="0"/>
        <v>3.2352941176470589E-3</v>
      </c>
      <c r="L5" s="2">
        <f t="shared" si="1"/>
        <v>7.3529411764705881E-4</v>
      </c>
      <c r="M5" s="2">
        <f t="shared" si="2"/>
        <v>1.4705882352941176E-3</v>
      </c>
      <c r="N5" s="2">
        <f t="shared" si="3"/>
        <v>2.2058823529411764E-3</v>
      </c>
      <c r="O5" s="2">
        <f t="shared" si="4"/>
        <v>2.9411764705882353E-3</v>
      </c>
      <c r="P5" s="2">
        <f t="shared" si="5"/>
        <v>3.6764705882352941E-3</v>
      </c>
      <c r="Q5" s="2">
        <f t="shared" si="6"/>
        <v>4.4117647058823529E-3</v>
      </c>
      <c r="R5" s="2">
        <f t="shared" si="7"/>
        <v>10.784313725490197</v>
      </c>
      <c r="S5" s="2">
        <f t="shared" si="8"/>
        <v>2.4509803921568629</v>
      </c>
      <c r="T5" s="2">
        <f t="shared" si="9"/>
        <v>4.9019607843137258</v>
      </c>
      <c r="U5" s="2">
        <f t="shared" si="10"/>
        <v>7.3529411764705888</v>
      </c>
      <c r="V5" s="2">
        <f t="shared" si="11"/>
        <v>9.8039215686274517</v>
      </c>
      <c r="W5" s="2">
        <f t="shared" si="12"/>
        <v>12.254901960784315</v>
      </c>
      <c r="X5" s="2">
        <f t="shared" si="13"/>
        <v>14.705882352941178</v>
      </c>
      <c r="Y5" s="5" t="str">
        <f t="shared" si="14"/>
        <v>1</v>
      </c>
      <c r="Z5" s="5" t="str">
        <f t="shared" si="15"/>
        <v>1</v>
      </c>
      <c r="AA5" s="5" t="str">
        <f t="shared" si="16"/>
        <v>1</v>
      </c>
      <c r="AB5" s="5" t="str">
        <f t="shared" si="16"/>
        <v>1</v>
      </c>
      <c r="AC5" s="5" t="str">
        <f t="shared" si="16"/>
        <v>1</v>
      </c>
      <c r="AD5" s="5" t="str">
        <f t="shared" si="16"/>
        <v>1</v>
      </c>
      <c r="AE5" s="5" t="str">
        <f t="shared" si="16"/>
        <v>1</v>
      </c>
    </row>
    <row r="6" spans="1:31" ht="14.4" x14ac:dyDescent="0.3">
      <c r="A6" s="14">
        <v>3</v>
      </c>
      <c r="B6" s="24" t="s">
        <v>124</v>
      </c>
      <c r="C6" s="10">
        <v>25</v>
      </c>
      <c r="D6" s="10">
        <v>68</v>
      </c>
      <c r="E6" s="15">
        <v>365</v>
      </c>
      <c r="F6" s="26">
        <v>2.0000000000000001E-4</v>
      </c>
      <c r="G6" s="10">
        <v>1500</v>
      </c>
      <c r="H6" s="12">
        <v>2.9999999999999997E-4</v>
      </c>
      <c r="I6" s="17">
        <v>10950</v>
      </c>
      <c r="J6" s="22">
        <v>22</v>
      </c>
      <c r="K6" s="18">
        <f t="shared" si="0"/>
        <v>3.2352941176470589E-3</v>
      </c>
      <c r="L6" s="2">
        <f t="shared" si="1"/>
        <v>7.3529411764705881E-4</v>
      </c>
      <c r="M6" s="2">
        <f t="shared" si="2"/>
        <v>1.4705882352941176E-3</v>
      </c>
      <c r="N6" s="2">
        <f t="shared" si="3"/>
        <v>2.2058823529411764E-3</v>
      </c>
      <c r="O6" s="2">
        <f t="shared" si="4"/>
        <v>2.9411764705882353E-3</v>
      </c>
      <c r="P6" s="2">
        <f t="shared" si="5"/>
        <v>3.6764705882352941E-3</v>
      </c>
      <c r="Q6" s="2">
        <f t="shared" si="6"/>
        <v>4.4117647058823529E-3</v>
      </c>
      <c r="R6" s="2">
        <f t="shared" si="7"/>
        <v>10.784313725490197</v>
      </c>
      <c r="S6" s="2">
        <f t="shared" si="8"/>
        <v>2.4509803921568629</v>
      </c>
      <c r="T6" s="2">
        <f t="shared" si="9"/>
        <v>4.9019607843137258</v>
      </c>
      <c r="U6" s="2">
        <f t="shared" si="10"/>
        <v>7.3529411764705888</v>
      </c>
      <c r="V6" s="2">
        <f t="shared" si="11"/>
        <v>9.8039215686274517</v>
      </c>
      <c r="W6" s="2">
        <f t="shared" si="12"/>
        <v>12.254901960784315</v>
      </c>
      <c r="X6" s="2">
        <f t="shared" si="13"/>
        <v>14.705882352941178</v>
      </c>
      <c r="Y6" s="5" t="str">
        <f t="shared" si="14"/>
        <v>1</v>
      </c>
      <c r="Z6" s="5" t="str">
        <f t="shared" si="15"/>
        <v>1</v>
      </c>
      <c r="AA6" s="5" t="str">
        <f t="shared" si="16"/>
        <v>1</v>
      </c>
      <c r="AB6" s="5" t="str">
        <f t="shared" si="16"/>
        <v>1</v>
      </c>
      <c r="AC6" s="5" t="str">
        <f t="shared" si="16"/>
        <v>1</v>
      </c>
      <c r="AD6" s="5" t="str">
        <f t="shared" si="16"/>
        <v>1</v>
      </c>
      <c r="AE6" s="5" t="str">
        <f t="shared" si="16"/>
        <v>1</v>
      </c>
    </row>
    <row r="7" spans="1:31" ht="14.4" x14ac:dyDescent="0.3">
      <c r="A7" s="14">
        <v>4</v>
      </c>
      <c r="B7" s="24" t="s">
        <v>193</v>
      </c>
      <c r="C7" s="10">
        <v>26</v>
      </c>
      <c r="D7" s="10">
        <v>50</v>
      </c>
      <c r="E7" s="15">
        <v>365</v>
      </c>
      <c r="F7" s="26">
        <v>2.0000000000000001E-4</v>
      </c>
      <c r="G7" s="10">
        <v>900</v>
      </c>
      <c r="H7" s="12">
        <v>2.9999999999999997E-4</v>
      </c>
      <c r="I7" s="17">
        <v>10950</v>
      </c>
      <c r="J7" s="22">
        <v>26</v>
      </c>
      <c r="K7" s="18">
        <f t="shared" si="0"/>
        <v>3.1199999999999999E-3</v>
      </c>
      <c r="L7" s="2">
        <f t="shared" si="1"/>
        <v>5.9999999999999995E-4</v>
      </c>
      <c r="M7" s="2">
        <f t="shared" si="2"/>
        <v>1.1999999999999999E-3</v>
      </c>
      <c r="N7" s="2">
        <f t="shared" si="3"/>
        <v>1.8E-3</v>
      </c>
      <c r="O7" s="2">
        <f t="shared" si="4"/>
        <v>2.3999999999999998E-3</v>
      </c>
      <c r="P7" s="2">
        <f t="shared" si="5"/>
        <v>3.0000000000000001E-3</v>
      </c>
      <c r="Q7" s="2">
        <f t="shared" si="6"/>
        <v>3.5999999999999999E-3</v>
      </c>
      <c r="R7" s="2">
        <f t="shared" si="7"/>
        <v>10.4</v>
      </c>
      <c r="S7" s="2">
        <f t="shared" si="8"/>
        <v>2</v>
      </c>
      <c r="T7" s="2">
        <f t="shared" si="9"/>
        <v>4</v>
      </c>
      <c r="U7" s="2">
        <f t="shared" si="10"/>
        <v>6</v>
      </c>
      <c r="V7" s="2">
        <f t="shared" si="11"/>
        <v>8</v>
      </c>
      <c r="W7" s="2">
        <f t="shared" si="12"/>
        <v>10.000000000000002</v>
      </c>
      <c r="X7" s="2">
        <f t="shared" si="13"/>
        <v>12</v>
      </c>
      <c r="Y7" s="5" t="str">
        <f t="shared" si="14"/>
        <v>1</v>
      </c>
      <c r="Z7" s="5" t="str">
        <f t="shared" si="15"/>
        <v>1</v>
      </c>
      <c r="AA7" s="5" t="str">
        <f t="shared" si="16"/>
        <v>1</v>
      </c>
      <c r="AB7" s="5" t="str">
        <f t="shared" si="16"/>
        <v>1</v>
      </c>
      <c r="AC7" s="5" t="str">
        <f t="shared" si="16"/>
        <v>1</v>
      </c>
      <c r="AD7" s="5" t="str">
        <f t="shared" si="16"/>
        <v>1</v>
      </c>
      <c r="AE7" s="5" t="str">
        <f t="shared" si="16"/>
        <v>1</v>
      </c>
    </row>
    <row r="8" spans="1:31" ht="14.4" x14ac:dyDescent="0.3">
      <c r="A8" s="14">
        <v>5</v>
      </c>
      <c r="B8" s="24" t="s">
        <v>194</v>
      </c>
      <c r="C8" s="10">
        <v>27</v>
      </c>
      <c r="D8" s="10">
        <v>43</v>
      </c>
      <c r="E8" s="15">
        <v>365</v>
      </c>
      <c r="F8" s="26">
        <v>2.0000000000000001E-4</v>
      </c>
      <c r="G8" s="10">
        <v>1200</v>
      </c>
      <c r="H8" s="12">
        <v>2.9999999999999997E-4</v>
      </c>
      <c r="I8" s="17">
        <v>10950</v>
      </c>
      <c r="J8" s="22">
        <v>27</v>
      </c>
      <c r="K8" s="18">
        <f t="shared" si="0"/>
        <v>5.0232558139534887E-3</v>
      </c>
      <c r="L8" s="2">
        <f t="shared" si="1"/>
        <v>9.3023255813953504E-4</v>
      </c>
      <c r="M8" s="2">
        <f t="shared" si="2"/>
        <v>1.8604651162790701E-3</v>
      </c>
      <c r="N8" s="2">
        <f t="shared" si="3"/>
        <v>2.7906976744186051E-3</v>
      </c>
      <c r="O8" s="2">
        <f t="shared" si="4"/>
        <v>3.7209302325581402E-3</v>
      </c>
      <c r="P8" s="2">
        <f t="shared" si="5"/>
        <v>4.6511627906976744E-3</v>
      </c>
      <c r="Q8" s="2">
        <f t="shared" si="6"/>
        <v>5.5813953488372103E-3</v>
      </c>
      <c r="R8" s="2">
        <f t="shared" si="7"/>
        <v>16.744186046511629</v>
      </c>
      <c r="S8" s="2">
        <f t="shared" si="8"/>
        <v>3.1007751937984502</v>
      </c>
      <c r="T8" s="2">
        <f t="shared" si="9"/>
        <v>6.2015503875969005</v>
      </c>
      <c r="U8" s="2">
        <f t="shared" si="10"/>
        <v>9.3023255813953512</v>
      </c>
      <c r="V8" s="2">
        <f t="shared" si="11"/>
        <v>12.403100775193801</v>
      </c>
      <c r="W8" s="2">
        <f t="shared" si="12"/>
        <v>15.503875968992249</v>
      </c>
      <c r="X8" s="2">
        <f t="shared" si="13"/>
        <v>18.604651162790702</v>
      </c>
      <c r="Y8" s="5" t="str">
        <f t="shared" si="14"/>
        <v>1</v>
      </c>
      <c r="Z8" s="5" t="str">
        <f t="shared" si="15"/>
        <v>1</v>
      </c>
      <c r="AA8" s="5" t="str">
        <f t="shared" si="16"/>
        <v>1</v>
      </c>
      <c r="AB8" s="5" t="str">
        <f t="shared" si="16"/>
        <v>1</v>
      </c>
      <c r="AC8" s="5" t="str">
        <f t="shared" si="16"/>
        <v>1</v>
      </c>
      <c r="AD8" s="5" t="str">
        <f t="shared" si="16"/>
        <v>1</v>
      </c>
      <c r="AE8" s="5" t="str">
        <f t="shared" si="16"/>
        <v>1</v>
      </c>
    </row>
    <row r="9" spans="1:31" ht="14.4" x14ac:dyDescent="0.3">
      <c r="A9" s="14">
        <v>6</v>
      </c>
      <c r="B9" s="24" t="s">
        <v>114</v>
      </c>
      <c r="C9" s="10">
        <v>27</v>
      </c>
      <c r="D9" s="10">
        <v>43</v>
      </c>
      <c r="E9" s="15">
        <v>365</v>
      </c>
      <c r="F9" s="26">
        <v>2.0000000000000001E-4</v>
      </c>
      <c r="G9" s="10">
        <v>1200</v>
      </c>
      <c r="H9" s="12">
        <v>2.9999999999999997E-4</v>
      </c>
      <c r="I9" s="17">
        <v>10950</v>
      </c>
      <c r="J9" s="22">
        <v>27</v>
      </c>
      <c r="K9" s="18">
        <f t="shared" si="0"/>
        <v>5.0232558139534887E-3</v>
      </c>
      <c r="L9" s="2">
        <f t="shared" si="1"/>
        <v>9.3023255813953504E-4</v>
      </c>
      <c r="M9" s="2">
        <f t="shared" si="2"/>
        <v>1.8604651162790701E-3</v>
      </c>
      <c r="N9" s="2">
        <f t="shared" si="3"/>
        <v>2.7906976744186051E-3</v>
      </c>
      <c r="O9" s="2">
        <f t="shared" si="4"/>
        <v>3.7209302325581402E-3</v>
      </c>
      <c r="P9" s="2">
        <f t="shared" si="5"/>
        <v>4.6511627906976744E-3</v>
      </c>
      <c r="Q9" s="2">
        <f t="shared" si="6"/>
        <v>5.5813953488372103E-3</v>
      </c>
      <c r="R9" s="2">
        <f t="shared" si="7"/>
        <v>16.744186046511629</v>
      </c>
      <c r="S9" s="2">
        <f t="shared" si="8"/>
        <v>3.1007751937984502</v>
      </c>
      <c r="T9" s="2">
        <f t="shared" si="9"/>
        <v>6.2015503875969005</v>
      </c>
      <c r="U9" s="2">
        <f t="shared" si="10"/>
        <v>9.3023255813953512</v>
      </c>
      <c r="V9" s="2">
        <f t="shared" si="11"/>
        <v>12.403100775193801</v>
      </c>
      <c r="W9" s="2">
        <f t="shared" si="12"/>
        <v>15.503875968992249</v>
      </c>
      <c r="X9" s="2">
        <f t="shared" si="13"/>
        <v>18.604651162790702</v>
      </c>
      <c r="Y9" s="5" t="str">
        <f t="shared" si="14"/>
        <v>1</v>
      </c>
      <c r="Z9" s="5" t="str">
        <f t="shared" si="15"/>
        <v>1</v>
      </c>
      <c r="AA9" s="5" t="str">
        <f t="shared" si="16"/>
        <v>1</v>
      </c>
      <c r="AB9" s="5" t="str">
        <f t="shared" si="16"/>
        <v>1</v>
      </c>
      <c r="AC9" s="5" t="str">
        <f t="shared" si="16"/>
        <v>1</v>
      </c>
      <c r="AD9" s="5" t="str">
        <f t="shared" si="16"/>
        <v>1</v>
      </c>
      <c r="AE9" s="5" t="str">
        <f t="shared" si="16"/>
        <v>1</v>
      </c>
    </row>
    <row r="10" spans="1:31" ht="14.4" x14ac:dyDescent="0.3">
      <c r="A10" s="14">
        <v>7</v>
      </c>
      <c r="B10" s="24" t="s">
        <v>195</v>
      </c>
      <c r="C10" s="10">
        <v>27</v>
      </c>
      <c r="D10" s="10">
        <v>65</v>
      </c>
      <c r="E10" s="15">
        <v>365</v>
      </c>
      <c r="F10" s="26">
        <v>2.0000000000000001E-4</v>
      </c>
      <c r="G10" s="10">
        <v>1200</v>
      </c>
      <c r="H10" s="12">
        <v>2.9999999999999997E-4</v>
      </c>
      <c r="I10" s="17">
        <v>10950</v>
      </c>
      <c r="J10" s="22">
        <v>27</v>
      </c>
      <c r="K10" s="18">
        <f t="shared" si="0"/>
        <v>3.3230769230769234E-3</v>
      </c>
      <c r="L10" s="2">
        <f t="shared" si="1"/>
        <v>6.1538461538461551E-4</v>
      </c>
      <c r="M10" s="2">
        <f t="shared" si="2"/>
        <v>1.230769230769231E-3</v>
      </c>
      <c r="N10" s="2">
        <f t="shared" si="3"/>
        <v>1.8461538461538465E-3</v>
      </c>
      <c r="O10" s="2">
        <f t="shared" si="4"/>
        <v>2.4615384615384621E-3</v>
      </c>
      <c r="P10" s="2">
        <f t="shared" si="5"/>
        <v>3.0769230769230769E-3</v>
      </c>
      <c r="Q10" s="2">
        <f t="shared" si="6"/>
        <v>3.6923076923076931E-3</v>
      </c>
      <c r="R10" s="2">
        <f t="shared" si="7"/>
        <v>11.076923076923078</v>
      </c>
      <c r="S10" s="2">
        <f t="shared" si="8"/>
        <v>2.051282051282052</v>
      </c>
      <c r="T10" s="2">
        <f t="shared" si="9"/>
        <v>4.102564102564104</v>
      </c>
      <c r="U10" s="2">
        <f t="shared" si="10"/>
        <v>6.153846153846156</v>
      </c>
      <c r="V10" s="2">
        <f t="shared" si="11"/>
        <v>8.205128205128208</v>
      </c>
      <c r="W10" s="2">
        <f t="shared" si="12"/>
        <v>10.256410256410257</v>
      </c>
      <c r="X10" s="2">
        <f t="shared" si="13"/>
        <v>12.307692307692312</v>
      </c>
      <c r="Y10" s="5" t="str">
        <f t="shared" si="14"/>
        <v>1</v>
      </c>
      <c r="Z10" s="5" t="str">
        <f t="shared" si="15"/>
        <v>1</v>
      </c>
      <c r="AA10" s="5" t="str">
        <f t="shared" si="16"/>
        <v>1</v>
      </c>
      <c r="AB10" s="5" t="str">
        <f t="shared" si="16"/>
        <v>1</v>
      </c>
      <c r="AC10" s="5" t="str">
        <f t="shared" si="16"/>
        <v>1</v>
      </c>
      <c r="AD10" s="5" t="str">
        <f t="shared" si="16"/>
        <v>1</v>
      </c>
      <c r="AE10" s="5" t="str">
        <f t="shared" si="16"/>
        <v>1</v>
      </c>
    </row>
    <row r="11" spans="1:31" ht="14.4" x14ac:dyDescent="0.3">
      <c r="A11" s="14">
        <v>8</v>
      </c>
      <c r="B11" s="24" t="s">
        <v>196</v>
      </c>
      <c r="C11" s="10">
        <v>27</v>
      </c>
      <c r="D11" s="10">
        <v>59</v>
      </c>
      <c r="E11" s="15">
        <v>365</v>
      </c>
      <c r="F11" s="26">
        <v>2.0000000000000001E-4</v>
      </c>
      <c r="G11" s="10">
        <v>900</v>
      </c>
      <c r="H11" s="12">
        <v>2.9999999999999997E-4</v>
      </c>
      <c r="I11" s="17">
        <v>10950</v>
      </c>
      <c r="J11" s="22">
        <v>10</v>
      </c>
      <c r="K11" s="18">
        <f t="shared" si="0"/>
        <v>1.0169491525423729E-3</v>
      </c>
      <c r="L11" s="2">
        <f t="shared" si="1"/>
        <v>5.0847457627118645E-4</v>
      </c>
      <c r="M11" s="2">
        <f t="shared" si="2"/>
        <v>1.0169491525423729E-3</v>
      </c>
      <c r="N11" s="2">
        <f t="shared" si="3"/>
        <v>1.5254237288135593E-3</v>
      </c>
      <c r="O11" s="2">
        <f t="shared" si="4"/>
        <v>2.0338983050847458E-3</v>
      </c>
      <c r="P11" s="2">
        <f t="shared" si="5"/>
        <v>2.542372881355932E-3</v>
      </c>
      <c r="Q11" s="2">
        <f t="shared" si="6"/>
        <v>3.0508474576271187E-3</v>
      </c>
      <c r="R11" s="2">
        <f t="shared" si="7"/>
        <v>3.3898305084745766</v>
      </c>
      <c r="S11" s="2">
        <f t="shared" si="8"/>
        <v>1.6949152542372883</v>
      </c>
      <c r="T11" s="2">
        <f t="shared" si="9"/>
        <v>3.3898305084745766</v>
      </c>
      <c r="U11" s="2">
        <f t="shared" si="10"/>
        <v>5.0847457627118651</v>
      </c>
      <c r="V11" s="2">
        <f t="shared" si="11"/>
        <v>6.7796610169491531</v>
      </c>
      <c r="W11" s="2">
        <f t="shared" si="12"/>
        <v>8.4745762711864412</v>
      </c>
      <c r="X11" s="2">
        <f t="shared" si="13"/>
        <v>10.16949152542373</v>
      </c>
      <c r="Y11" s="5" t="str">
        <f t="shared" si="14"/>
        <v>1</v>
      </c>
      <c r="Z11" s="5" t="str">
        <f t="shared" si="15"/>
        <v>1</v>
      </c>
      <c r="AA11" s="5" t="str">
        <f t="shared" si="16"/>
        <v>1</v>
      </c>
      <c r="AB11" s="5" t="str">
        <f t="shared" si="16"/>
        <v>1</v>
      </c>
      <c r="AC11" s="5" t="str">
        <f t="shared" si="16"/>
        <v>1</v>
      </c>
      <c r="AD11" s="5" t="str">
        <f t="shared" si="16"/>
        <v>1</v>
      </c>
      <c r="AE11" s="5" t="str">
        <f t="shared" si="16"/>
        <v>1</v>
      </c>
    </row>
    <row r="12" spans="1:31" ht="14.4" x14ac:dyDescent="0.3">
      <c r="A12" s="14">
        <v>9</v>
      </c>
      <c r="B12" s="24" t="s">
        <v>114</v>
      </c>
      <c r="C12" s="10">
        <v>27</v>
      </c>
      <c r="D12" s="10">
        <v>43</v>
      </c>
      <c r="E12" s="15">
        <v>365</v>
      </c>
      <c r="F12" s="26">
        <v>2.0000000000000001E-4</v>
      </c>
      <c r="G12" s="10">
        <v>1200</v>
      </c>
      <c r="H12" s="12">
        <v>2.9999999999999997E-4</v>
      </c>
      <c r="I12" s="17">
        <v>10950</v>
      </c>
      <c r="J12" s="22">
        <v>27</v>
      </c>
      <c r="K12" s="18">
        <f t="shared" si="0"/>
        <v>5.0232558139534887E-3</v>
      </c>
      <c r="L12" s="2">
        <f t="shared" si="1"/>
        <v>9.3023255813953504E-4</v>
      </c>
      <c r="M12" s="2">
        <f t="shared" si="2"/>
        <v>1.8604651162790701E-3</v>
      </c>
      <c r="N12" s="2">
        <f t="shared" si="3"/>
        <v>2.7906976744186051E-3</v>
      </c>
      <c r="O12" s="2">
        <f t="shared" si="4"/>
        <v>3.7209302325581402E-3</v>
      </c>
      <c r="P12" s="2">
        <f t="shared" si="5"/>
        <v>4.6511627906976744E-3</v>
      </c>
      <c r="Q12" s="2">
        <f t="shared" si="6"/>
        <v>5.5813953488372103E-3</v>
      </c>
      <c r="R12" s="2">
        <f t="shared" si="7"/>
        <v>16.744186046511629</v>
      </c>
      <c r="S12" s="2">
        <f t="shared" si="8"/>
        <v>3.1007751937984502</v>
      </c>
      <c r="T12" s="2">
        <f t="shared" si="9"/>
        <v>6.2015503875969005</v>
      </c>
      <c r="U12" s="2">
        <f t="shared" si="10"/>
        <v>9.3023255813953512</v>
      </c>
      <c r="V12" s="2">
        <f t="shared" si="11"/>
        <v>12.403100775193801</v>
      </c>
      <c r="W12" s="2">
        <f t="shared" si="12"/>
        <v>15.503875968992249</v>
      </c>
      <c r="X12" s="2">
        <f t="shared" si="13"/>
        <v>18.604651162790702</v>
      </c>
      <c r="Y12" s="5" t="str">
        <f t="shared" si="14"/>
        <v>1</v>
      </c>
      <c r="Z12" s="5" t="str">
        <f t="shared" si="15"/>
        <v>1</v>
      </c>
      <c r="AA12" s="5" t="str">
        <f t="shared" si="16"/>
        <v>1</v>
      </c>
      <c r="AB12" s="5" t="str">
        <f t="shared" si="16"/>
        <v>1</v>
      </c>
      <c r="AC12" s="5" t="str">
        <f t="shared" si="16"/>
        <v>1</v>
      </c>
      <c r="AD12" s="5" t="str">
        <f t="shared" si="16"/>
        <v>1</v>
      </c>
      <c r="AE12" s="5" t="str">
        <f t="shared" si="16"/>
        <v>1</v>
      </c>
    </row>
    <row r="13" spans="1:31" ht="14.4" x14ac:dyDescent="0.3">
      <c r="A13" s="14">
        <v>10</v>
      </c>
      <c r="B13" s="24" t="s">
        <v>116</v>
      </c>
      <c r="C13" s="10">
        <v>27</v>
      </c>
      <c r="D13" s="10">
        <v>43</v>
      </c>
      <c r="E13" s="15">
        <v>365</v>
      </c>
      <c r="F13" s="26">
        <v>2.0000000000000001E-4</v>
      </c>
      <c r="G13" s="10">
        <v>1200</v>
      </c>
      <c r="H13" s="12">
        <v>2.9999999999999997E-4</v>
      </c>
      <c r="I13" s="17">
        <v>10950</v>
      </c>
      <c r="J13" s="22">
        <v>27</v>
      </c>
      <c r="K13" s="18">
        <f t="shared" si="0"/>
        <v>5.0232558139534887E-3</v>
      </c>
      <c r="L13" s="2">
        <f t="shared" si="1"/>
        <v>9.3023255813953504E-4</v>
      </c>
      <c r="M13" s="2">
        <f t="shared" si="2"/>
        <v>1.8604651162790701E-3</v>
      </c>
      <c r="N13" s="2">
        <f t="shared" si="3"/>
        <v>2.7906976744186051E-3</v>
      </c>
      <c r="O13" s="2">
        <f t="shared" si="4"/>
        <v>3.7209302325581402E-3</v>
      </c>
      <c r="P13" s="2">
        <f t="shared" si="5"/>
        <v>4.6511627906976744E-3</v>
      </c>
      <c r="Q13" s="2">
        <f t="shared" si="6"/>
        <v>5.5813953488372103E-3</v>
      </c>
      <c r="R13" s="2">
        <f t="shared" si="7"/>
        <v>16.744186046511629</v>
      </c>
      <c r="S13" s="2">
        <f t="shared" si="8"/>
        <v>3.1007751937984502</v>
      </c>
      <c r="T13" s="2">
        <f t="shared" si="9"/>
        <v>6.2015503875969005</v>
      </c>
      <c r="U13" s="2">
        <f t="shared" si="10"/>
        <v>9.3023255813953512</v>
      </c>
      <c r="V13" s="2">
        <f t="shared" si="11"/>
        <v>12.403100775193801</v>
      </c>
      <c r="W13" s="2">
        <f t="shared" si="12"/>
        <v>15.503875968992249</v>
      </c>
      <c r="X13" s="2">
        <f t="shared" si="13"/>
        <v>18.604651162790702</v>
      </c>
      <c r="Y13" s="5" t="str">
        <f t="shared" si="14"/>
        <v>1</v>
      </c>
      <c r="Z13" s="5" t="str">
        <f t="shared" si="15"/>
        <v>1</v>
      </c>
      <c r="AA13" s="5" t="str">
        <f t="shared" si="16"/>
        <v>1</v>
      </c>
      <c r="AB13" s="5" t="str">
        <f t="shared" si="16"/>
        <v>1</v>
      </c>
      <c r="AC13" s="5" t="str">
        <f t="shared" si="16"/>
        <v>1</v>
      </c>
      <c r="AD13" s="5" t="str">
        <f t="shared" si="16"/>
        <v>1</v>
      </c>
      <c r="AE13" s="5" t="str">
        <f t="shared" si="16"/>
        <v>1</v>
      </c>
    </row>
    <row r="14" spans="1:31" ht="14.4" x14ac:dyDescent="0.3">
      <c r="A14" s="14">
        <v>11</v>
      </c>
      <c r="B14" s="24" t="s">
        <v>134</v>
      </c>
      <c r="C14" s="10">
        <v>27</v>
      </c>
      <c r="D14" s="10">
        <v>43</v>
      </c>
      <c r="E14" s="15">
        <v>365</v>
      </c>
      <c r="F14" s="26">
        <v>2.0000000000000001E-4</v>
      </c>
      <c r="G14" s="10">
        <v>1200</v>
      </c>
      <c r="H14" s="12">
        <v>2.9999999999999997E-4</v>
      </c>
      <c r="I14" s="17">
        <v>10950</v>
      </c>
      <c r="J14" s="22">
        <v>27</v>
      </c>
      <c r="K14" s="18">
        <f t="shared" si="0"/>
        <v>5.0232558139534887E-3</v>
      </c>
      <c r="L14" s="2">
        <f t="shared" si="1"/>
        <v>9.3023255813953504E-4</v>
      </c>
      <c r="M14" s="2">
        <f t="shared" si="2"/>
        <v>1.8604651162790701E-3</v>
      </c>
      <c r="N14" s="2">
        <f t="shared" si="3"/>
        <v>2.7906976744186051E-3</v>
      </c>
      <c r="O14" s="2">
        <f t="shared" si="4"/>
        <v>3.7209302325581402E-3</v>
      </c>
      <c r="P14" s="2">
        <f t="shared" si="5"/>
        <v>4.6511627906976744E-3</v>
      </c>
      <c r="Q14" s="2">
        <f t="shared" si="6"/>
        <v>5.5813953488372103E-3</v>
      </c>
      <c r="R14" s="2">
        <f t="shared" si="7"/>
        <v>16.744186046511629</v>
      </c>
      <c r="S14" s="2">
        <f t="shared" si="8"/>
        <v>3.1007751937984502</v>
      </c>
      <c r="T14" s="2">
        <f t="shared" si="9"/>
        <v>6.2015503875969005</v>
      </c>
      <c r="U14" s="2">
        <f t="shared" si="10"/>
        <v>9.3023255813953512</v>
      </c>
      <c r="V14" s="2">
        <f t="shared" si="11"/>
        <v>12.403100775193801</v>
      </c>
      <c r="W14" s="2">
        <f t="shared" si="12"/>
        <v>15.503875968992249</v>
      </c>
      <c r="X14" s="2">
        <f t="shared" si="13"/>
        <v>18.604651162790702</v>
      </c>
      <c r="Y14" s="5" t="str">
        <f t="shared" si="14"/>
        <v>1</v>
      </c>
      <c r="Z14" s="5" t="str">
        <f t="shared" si="15"/>
        <v>1</v>
      </c>
      <c r="AA14" s="5" t="str">
        <f t="shared" si="16"/>
        <v>1</v>
      </c>
      <c r="AB14" s="5" t="str">
        <f t="shared" si="16"/>
        <v>1</v>
      </c>
      <c r="AC14" s="5" t="str">
        <f t="shared" si="16"/>
        <v>1</v>
      </c>
      <c r="AD14" s="5" t="str">
        <f t="shared" si="16"/>
        <v>1</v>
      </c>
      <c r="AE14" s="5" t="str">
        <f t="shared" si="16"/>
        <v>1</v>
      </c>
    </row>
    <row r="15" spans="1:31" ht="14.4" x14ac:dyDescent="0.3">
      <c r="A15" s="14">
        <v>12</v>
      </c>
      <c r="B15" s="24" t="s">
        <v>136</v>
      </c>
      <c r="C15" s="10">
        <v>27</v>
      </c>
      <c r="D15" s="10">
        <v>43</v>
      </c>
      <c r="E15" s="15">
        <v>365</v>
      </c>
      <c r="F15" s="26">
        <v>2.0000000000000001E-4</v>
      </c>
      <c r="G15" s="10">
        <v>1200</v>
      </c>
      <c r="H15" s="12">
        <v>2.9999999999999997E-4</v>
      </c>
      <c r="I15" s="17">
        <v>10950</v>
      </c>
      <c r="J15" s="22">
        <v>27</v>
      </c>
      <c r="K15" s="18">
        <f t="shared" si="0"/>
        <v>5.0232558139534887E-3</v>
      </c>
      <c r="L15" s="2">
        <f t="shared" si="1"/>
        <v>9.3023255813953504E-4</v>
      </c>
      <c r="M15" s="2">
        <f t="shared" si="2"/>
        <v>1.8604651162790701E-3</v>
      </c>
      <c r="N15" s="2">
        <f t="shared" si="3"/>
        <v>2.7906976744186051E-3</v>
      </c>
      <c r="O15" s="2">
        <f t="shared" si="4"/>
        <v>3.7209302325581402E-3</v>
      </c>
      <c r="P15" s="2">
        <f t="shared" si="5"/>
        <v>4.6511627906976744E-3</v>
      </c>
      <c r="Q15" s="2">
        <f t="shared" si="6"/>
        <v>5.5813953488372103E-3</v>
      </c>
      <c r="R15" s="2">
        <f t="shared" si="7"/>
        <v>16.744186046511629</v>
      </c>
      <c r="S15" s="2">
        <f t="shared" si="8"/>
        <v>3.1007751937984502</v>
      </c>
      <c r="T15" s="2">
        <f t="shared" si="9"/>
        <v>6.2015503875969005</v>
      </c>
      <c r="U15" s="2">
        <f t="shared" si="10"/>
        <v>9.3023255813953512</v>
      </c>
      <c r="V15" s="2">
        <f t="shared" si="11"/>
        <v>12.403100775193801</v>
      </c>
      <c r="W15" s="2">
        <f t="shared" si="12"/>
        <v>15.503875968992249</v>
      </c>
      <c r="X15" s="2">
        <f t="shared" si="13"/>
        <v>18.604651162790702</v>
      </c>
      <c r="Y15" s="5" t="str">
        <f t="shared" si="14"/>
        <v>1</v>
      </c>
      <c r="Z15" s="5" t="str">
        <f t="shared" si="15"/>
        <v>1</v>
      </c>
      <c r="AA15" s="5" t="str">
        <f t="shared" si="16"/>
        <v>1</v>
      </c>
      <c r="AB15" s="5" t="str">
        <f t="shared" si="16"/>
        <v>1</v>
      </c>
      <c r="AC15" s="5" t="str">
        <f t="shared" si="16"/>
        <v>1</v>
      </c>
      <c r="AD15" s="5" t="str">
        <f t="shared" si="16"/>
        <v>1</v>
      </c>
      <c r="AE15" s="5" t="str">
        <f t="shared" si="16"/>
        <v>1</v>
      </c>
    </row>
    <row r="16" spans="1:31" ht="14.4" x14ac:dyDescent="0.3">
      <c r="A16" s="14">
        <v>13</v>
      </c>
      <c r="B16" s="24" t="s">
        <v>145</v>
      </c>
      <c r="C16" s="10">
        <v>27</v>
      </c>
      <c r="D16" s="10">
        <v>65</v>
      </c>
      <c r="E16" s="15">
        <v>365</v>
      </c>
      <c r="F16" s="26">
        <v>2.0000000000000001E-4</v>
      </c>
      <c r="G16" s="10">
        <v>1200</v>
      </c>
      <c r="H16" s="12">
        <v>2.9999999999999997E-4</v>
      </c>
      <c r="I16" s="17">
        <v>10950</v>
      </c>
      <c r="J16" s="22">
        <v>27</v>
      </c>
      <c r="K16" s="18">
        <f t="shared" si="0"/>
        <v>3.3230769230769234E-3</v>
      </c>
      <c r="L16" s="2">
        <f t="shared" si="1"/>
        <v>6.1538461538461551E-4</v>
      </c>
      <c r="M16" s="2">
        <f t="shared" si="2"/>
        <v>1.230769230769231E-3</v>
      </c>
      <c r="N16" s="2">
        <f t="shared" si="3"/>
        <v>1.8461538461538465E-3</v>
      </c>
      <c r="O16" s="2">
        <f t="shared" si="4"/>
        <v>2.4615384615384621E-3</v>
      </c>
      <c r="P16" s="2">
        <f t="shared" si="5"/>
        <v>3.0769230769230769E-3</v>
      </c>
      <c r="Q16" s="2">
        <f t="shared" si="6"/>
        <v>3.6923076923076931E-3</v>
      </c>
      <c r="R16" s="2">
        <f t="shared" si="7"/>
        <v>11.076923076923078</v>
      </c>
      <c r="S16" s="2">
        <f t="shared" si="8"/>
        <v>2.051282051282052</v>
      </c>
      <c r="T16" s="2">
        <f t="shared" si="9"/>
        <v>4.102564102564104</v>
      </c>
      <c r="U16" s="2">
        <f t="shared" si="10"/>
        <v>6.153846153846156</v>
      </c>
      <c r="V16" s="2">
        <f t="shared" si="11"/>
        <v>8.205128205128208</v>
      </c>
      <c r="W16" s="2">
        <f t="shared" si="12"/>
        <v>10.256410256410257</v>
      </c>
      <c r="X16" s="2">
        <f t="shared" si="13"/>
        <v>12.307692307692312</v>
      </c>
      <c r="Y16" s="5" t="str">
        <f t="shared" si="14"/>
        <v>1</v>
      </c>
      <c r="Z16" s="5" t="str">
        <f t="shared" si="15"/>
        <v>1</v>
      </c>
      <c r="AA16" s="5" t="str">
        <f t="shared" si="16"/>
        <v>1</v>
      </c>
      <c r="AB16" s="5" t="str">
        <f t="shared" si="16"/>
        <v>1</v>
      </c>
      <c r="AC16" s="5" t="str">
        <f t="shared" si="16"/>
        <v>1</v>
      </c>
      <c r="AD16" s="5" t="str">
        <f t="shared" si="16"/>
        <v>1</v>
      </c>
      <c r="AE16" s="5" t="str">
        <f t="shared" si="16"/>
        <v>1</v>
      </c>
    </row>
    <row r="17" spans="1:31" ht="14.4" x14ac:dyDescent="0.3">
      <c r="A17" s="14">
        <v>14</v>
      </c>
      <c r="B17" s="24" t="s">
        <v>155</v>
      </c>
      <c r="C17" s="10">
        <v>27</v>
      </c>
      <c r="D17" s="10">
        <v>43</v>
      </c>
      <c r="E17" s="15">
        <v>365</v>
      </c>
      <c r="F17" s="26">
        <v>2.0000000000000001E-4</v>
      </c>
      <c r="G17" s="10">
        <v>1200</v>
      </c>
      <c r="H17" s="12">
        <v>2.9999999999999997E-4</v>
      </c>
      <c r="I17" s="17">
        <v>10950</v>
      </c>
      <c r="J17" s="22">
        <v>27</v>
      </c>
      <c r="K17" s="18">
        <f t="shared" si="0"/>
        <v>5.0232558139534887E-3</v>
      </c>
      <c r="L17" s="2">
        <f t="shared" si="1"/>
        <v>9.3023255813953504E-4</v>
      </c>
      <c r="M17" s="2">
        <f t="shared" si="2"/>
        <v>1.8604651162790701E-3</v>
      </c>
      <c r="N17" s="2">
        <f t="shared" si="3"/>
        <v>2.7906976744186051E-3</v>
      </c>
      <c r="O17" s="2">
        <f t="shared" si="4"/>
        <v>3.7209302325581402E-3</v>
      </c>
      <c r="P17" s="2">
        <f t="shared" si="5"/>
        <v>4.6511627906976744E-3</v>
      </c>
      <c r="Q17" s="2">
        <f t="shared" si="6"/>
        <v>5.5813953488372103E-3</v>
      </c>
      <c r="R17" s="2">
        <f t="shared" si="7"/>
        <v>16.744186046511629</v>
      </c>
      <c r="S17" s="2">
        <f t="shared" si="8"/>
        <v>3.1007751937984502</v>
      </c>
      <c r="T17" s="2">
        <f t="shared" si="9"/>
        <v>6.2015503875969005</v>
      </c>
      <c r="U17" s="2">
        <f t="shared" si="10"/>
        <v>9.3023255813953512</v>
      </c>
      <c r="V17" s="2">
        <f t="shared" si="11"/>
        <v>12.403100775193801</v>
      </c>
      <c r="W17" s="2">
        <f t="shared" si="12"/>
        <v>15.503875968992249</v>
      </c>
      <c r="X17" s="2">
        <f t="shared" si="13"/>
        <v>18.604651162790702</v>
      </c>
      <c r="Y17" s="5" t="str">
        <f t="shared" si="14"/>
        <v>1</v>
      </c>
      <c r="Z17" s="5" t="str">
        <f t="shared" si="15"/>
        <v>1</v>
      </c>
      <c r="AA17" s="5" t="str">
        <f t="shared" si="16"/>
        <v>1</v>
      </c>
      <c r="AB17" s="5" t="str">
        <f t="shared" si="16"/>
        <v>1</v>
      </c>
      <c r="AC17" s="5" t="str">
        <f t="shared" si="16"/>
        <v>1</v>
      </c>
      <c r="AD17" s="5" t="str">
        <f t="shared" si="16"/>
        <v>1</v>
      </c>
      <c r="AE17" s="5" t="str">
        <f t="shared" si="16"/>
        <v>1</v>
      </c>
    </row>
    <row r="18" spans="1:31" ht="14.4" x14ac:dyDescent="0.3">
      <c r="A18" s="14">
        <v>15</v>
      </c>
      <c r="B18" s="24" t="s">
        <v>105</v>
      </c>
      <c r="C18" s="10">
        <v>28</v>
      </c>
      <c r="D18" s="10">
        <v>70</v>
      </c>
      <c r="E18" s="15">
        <v>365</v>
      </c>
      <c r="F18" s="26">
        <v>2.0000000000000001E-4</v>
      </c>
      <c r="G18" s="10">
        <v>900</v>
      </c>
      <c r="H18" s="12">
        <v>2.9999999999999997E-4</v>
      </c>
      <c r="I18" s="17">
        <v>10950</v>
      </c>
      <c r="J18" s="22">
        <v>28</v>
      </c>
      <c r="K18" s="18">
        <f t="shared" si="0"/>
        <v>2.4000000000000002E-3</v>
      </c>
      <c r="L18" s="2">
        <f t="shared" si="1"/>
        <v>4.2857142857142855E-4</v>
      </c>
      <c r="M18" s="2">
        <f t="shared" si="2"/>
        <v>8.571428571428571E-4</v>
      </c>
      <c r="N18" s="2">
        <f t="shared" si="3"/>
        <v>1.2857142857142856E-3</v>
      </c>
      <c r="O18" s="2">
        <f t="shared" si="4"/>
        <v>1.7142857142857142E-3</v>
      </c>
      <c r="P18" s="2">
        <f t="shared" si="5"/>
        <v>2.142857142857143E-3</v>
      </c>
      <c r="Q18" s="2">
        <f t="shared" si="6"/>
        <v>2.5714285714285713E-3</v>
      </c>
      <c r="R18" s="2">
        <f t="shared" si="7"/>
        <v>8.0000000000000018</v>
      </c>
      <c r="S18" s="2">
        <f t="shared" si="8"/>
        <v>1.4285714285714286</v>
      </c>
      <c r="T18" s="2">
        <f t="shared" si="9"/>
        <v>2.8571428571428572</v>
      </c>
      <c r="U18" s="2">
        <f t="shared" si="10"/>
        <v>4.2857142857142856</v>
      </c>
      <c r="V18" s="2">
        <f t="shared" si="11"/>
        <v>5.7142857142857144</v>
      </c>
      <c r="W18" s="2">
        <f t="shared" si="12"/>
        <v>7.1428571428571441</v>
      </c>
      <c r="X18" s="2">
        <f t="shared" si="13"/>
        <v>8.5714285714285712</v>
      </c>
      <c r="Y18" s="5" t="str">
        <f t="shared" si="14"/>
        <v>1</v>
      </c>
      <c r="Z18" s="5" t="str">
        <f t="shared" si="15"/>
        <v>1</v>
      </c>
      <c r="AA18" s="5" t="str">
        <f t="shared" si="16"/>
        <v>1</v>
      </c>
      <c r="AB18" s="5" t="str">
        <f t="shared" si="16"/>
        <v>1</v>
      </c>
      <c r="AC18" s="5" t="str">
        <f t="shared" si="16"/>
        <v>1</v>
      </c>
      <c r="AD18" s="5" t="str">
        <f t="shared" si="16"/>
        <v>1</v>
      </c>
      <c r="AE18" s="5" t="str">
        <f t="shared" si="16"/>
        <v>1</v>
      </c>
    </row>
    <row r="19" spans="1:31" ht="14.4" x14ac:dyDescent="0.3">
      <c r="A19" s="14">
        <v>16</v>
      </c>
      <c r="B19" s="24" t="s">
        <v>149</v>
      </c>
      <c r="C19" s="10">
        <v>28</v>
      </c>
      <c r="D19" s="10">
        <v>70</v>
      </c>
      <c r="E19" s="15">
        <v>365</v>
      </c>
      <c r="F19" s="26">
        <v>2.0000000000000001E-4</v>
      </c>
      <c r="G19" s="10">
        <v>900</v>
      </c>
      <c r="H19" s="12">
        <v>2.9999999999999997E-4</v>
      </c>
      <c r="I19" s="17">
        <v>10950</v>
      </c>
      <c r="J19" s="22">
        <v>28</v>
      </c>
      <c r="K19" s="18">
        <f t="shared" si="0"/>
        <v>2.4000000000000002E-3</v>
      </c>
      <c r="L19" s="2">
        <f t="shared" si="1"/>
        <v>4.2857142857142855E-4</v>
      </c>
      <c r="M19" s="2">
        <f t="shared" si="2"/>
        <v>8.571428571428571E-4</v>
      </c>
      <c r="N19" s="2">
        <f t="shared" si="3"/>
        <v>1.2857142857142856E-3</v>
      </c>
      <c r="O19" s="2">
        <f t="shared" si="4"/>
        <v>1.7142857142857142E-3</v>
      </c>
      <c r="P19" s="2">
        <f t="shared" si="5"/>
        <v>2.142857142857143E-3</v>
      </c>
      <c r="Q19" s="2">
        <f t="shared" si="6"/>
        <v>2.5714285714285713E-3</v>
      </c>
      <c r="R19" s="2">
        <f t="shared" si="7"/>
        <v>8.0000000000000018</v>
      </c>
      <c r="S19" s="2">
        <f t="shared" si="8"/>
        <v>1.4285714285714286</v>
      </c>
      <c r="T19" s="2">
        <f t="shared" si="9"/>
        <v>2.8571428571428572</v>
      </c>
      <c r="U19" s="2">
        <f t="shared" si="10"/>
        <v>4.2857142857142856</v>
      </c>
      <c r="V19" s="2">
        <f t="shared" si="11"/>
        <v>5.7142857142857144</v>
      </c>
      <c r="W19" s="2">
        <f t="shared" si="12"/>
        <v>7.1428571428571441</v>
      </c>
      <c r="X19" s="2">
        <f t="shared" si="13"/>
        <v>8.5714285714285712</v>
      </c>
      <c r="Y19" s="5" t="str">
        <f t="shared" si="14"/>
        <v>1</v>
      </c>
      <c r="Z19" s="5" t="str">
        <f t="shared" si="15"/>
        <v>1</v>
      </c>
      <c r="AA19" s="5" t="str">
        <f t="shared" si="16"/>
        <v>1</v>
      </c>
      <c r="AB19" s="5" t="str">
        <f t="shared" si="16"/>
        <v>1</v>
      </c>
      <c r="AC19" s="5" t="str">
        <f t="shared" si="16"/>
        <v>1</v>
      </c>
      <c r="AD19" s="5" t="str">
        <f t="shared" si="16"/>
        <v>1</v>
      </c>
      <c r="AE19" s="5" t="str">
        <f t="shared" si="16"/>
        <v>1</v>
      </c>
    </row>
    <row r="20" spans="1:31" s="35" customFormat="1" ht="14.4" x14ac:dyDescent="0.3">
      <c r="A20" s="36">
        <v>17</v>
      </c>
      <c r="B20" s="28" t="s">
        <v>110</v>
      </c>
      <c r="C20" s="29">
        <v>29</v>
      </c>
      <c r="D20" s="29">
        <v>69</v>
      </c>
      <c r="E20" s="37">
        <v>365</v>
      </c>
      <c r="F20" s="26">
        <v>2.0000000000000001E-4</v>
      </c>
      <c r="G20" s="29">
        <v>1200</v>
      </c>
      <c r="H20" s="30">
        <v>2.9999999999999997E-4</v>
      </c>
      <c r="I20" s="40">
        <v>10950</v>
      </c>
      <c r="J20" s="26">
        <v>30</v>
      </c>
      <c r="K20" s="32">
        <f t="shared" si="0"/>
        <v>3.478260869565218E-3</v>
      </c>
      <c r="L20" s="33">
        <f t="shared" si="1"/>
        <v>5.7971014492753633E-4</v>
      </c>
      <c r="M20" s="33">
        <f t="shared" si="2"/>
        <v>1.1594202898550727E-3</v>
      </c>
      <c r="N20" s="33">
        <f t="shared" si="3"/>
        <v>1.739130434782609E-3</v>
      </c>
      <c r="O20" s="33">
        <f t="shared" si="4"/>
        <v>2.3188405797101453E-3</v>
      </c>
      <c r="P20" s="33">
        <f t="shared" si="5"/>
        <v>2.8985507246376812E-3</v>
      </c>
      <c r="Q20" s="33">
        <f t="shared" si="6"/>
        <v>3.478260869565218E-3</v>
      </c>
      <c r="R20" s="33">
        <f t="shared" si="7"/>
        <v>11.594202898550728</v>
      </c>
      <c r="S20" s="33">
        <f t="shared" si="8"/>
        <v>1.9323671497584547</v>
      </c>
      <c r="T20" s="33">
        <f t="shared" si="9"/>
        <v>3.8647342995169094</v>
      </c>
      <c r="U20" s="33">
        <f t="shared" si="10"/>
        <v>5.7971014492753641</v>
      </c>
      <c r="V20" s="33">
        <f t="shared" si="11"/>
        <v>7.7294685990338188</v>
      </c>
      <c r="W20" s="33">
        <f t="shared" si="12"/>
        <v>9.6618357487922708</v>
      </c>
      <c r="X20" s="33">
        <f t="shared" si="13"/>
        <v>11.594202898550728</v>
      </c>
      <c r="Y20" s="34" t="str">
        <f t="shared" si="14"/>
        <v>1</v>
      </c>
      <c r="Z20" s="34" t="str">
        <f t="shared" si="15"/>
        <v>1</v>
      </c>
      <c r="AA20" s="34" t="str">
        <f t="shared" si="16"/>
        <v>1</v>
      </c>
      <c r="AB20" s="34" t="str">
        <f t="shared" si="16"/>
        <v>1</v>
      </c>
      <c r="AC20" s="34" t="str">
        <f t="shared" si="16"/>
        <v>1</v>
      </c>
      <c r="AD20" s="34" t="str">
        <f t="shared" si="16"/>
        <v>1</v>
      </c>
      <c r="AE20" s="34" t="str">
        <f t="shared" si="16"/>
        <v>1</v>
      </c>
    </row>
    <row r="21" spans="1:31" s="35" customFormat="1" ht="14.4" x14ac:dyDescent="0.3">
      <c r="A21" s="36">
        <v>18</v>
      </c>
      <c r="B21" s="28" t="s">
        <v>197</v>
      </c>
      <c r="C21" s="29">
        <v>29</v>
      </c>
      <c r="D21" s="29">
        <v>69</v>
      </c>
      <c r="E21" s="37">
        <v>365</v>
      </c>
      <c r="F21" s="26">
        <v>2.0000000000000001E-4</v>
      </c>
      <c r="G21" s="29">
        <v>1200</v>
      </c>
      <c r="H21" s="30">
        <v>2.9999999999999997E-4</v>
      </c>
      <c r="I21" s="40">
        <v>10950</v>
      </c>
      <c r="J21" s="26">
        <v>30</v>
      </c>
      <c r="K21" s="32">
        <f t="shared" si="0"/>
        <v>3.478260869565218E-3</v>
      </c>
      <c r="L21" s="33">
        <f t="shared" si="1"/>
        <v>5.7971014492753633E-4</v>
      </c>
      <c r="M21" s="33">
        <f t="shared" si="2"/>
        <v>1.1594202898550727E-3</v>
      </c>
      <c r="N21" s="33">
        <f t="shared" si="3"/>
        <v>1.739130434782609E-3</v>
      </c>
      <c r="O21" s="33">
        <f t="shared" si="4"/>
        <v>2.3188405797101453E-3</v>
      </c>
      <c r="P21" s="33">
        <f t="shared" si="5"/>
        <v>2.8985507246376812E-3</v>
      </c>
      <c r="Q21" s="33">
        <f t="shared" si="6"/>
        <v>3.478260869565218E-3</v>
      </c>
      <c r="R21" s="33">
        <f t="shared" si="7"/>
        <v>11.594202898550728</v>
      </c>
      <c r="S21" s="33">
        <f t="shared" si="8"/>
        <v>1.9323671497584547</v>
      </c>
      <c r="T21" s="33">
        <f t="shared" si="9"/>
        <v>3.8647342995169094</v>
      </c>
      <c r="U21" s="33">
        <f t="shared" si="10"/>
        <v>5.7971014492753641</v>
      </c>
      <c r="V21" s="33">
        <f t="shared" si="11"/>
        <v>7.7294685990338188</v>
      </c>
      <c r="W21" s="33">
        <f t="shared" si="12"/>
        <v>9.6618357487922708</v>
      </c>
      <c r="X21" s="33">
        <f t="shared" si="13"/>
        <v>11.594202898550728</v>
      </c>
      <c r="Y21" s="34" t="str">
        <f t="shared" si="14"/>
        <v>1</v>
      </c>
      <c r="Z21" s="34" t="str">
        <f t="shared" si="15"/>
        <v>1</v>
      </c>
      <c r="AA21" s="34" t="str">
        <f t="shared" si="16"/>
        <v>1</v>
      </c>
      <c r="AB21" s="34" t="str">
        <f t="shared" si="16"/>
        <v>1</v>
      </c>
      <c r="AC21" s="34" t="str">
        <f t="shared" si="16"/>
        <v>1</v>
      </c>
      <c r="AD21" s="34" t="str">
        <f t="shared" si="16"/>
        <v>1</v>
      </c>
      <c r="AE21" s="34" t="str">
        <f t="shared" si="16"/>
        <v>1</v>
      </c>
    </row>
    <row r="22" spans="1:31" ht="14.4" x14ac:dyDescent="0.3">
      <c r="A22" s="14">
        <v>19</v>
      </c>
      <c r="B22" s="24" t="s">
        <v>113</v>
      </c>
      <c r="C22" s="10">
        <v>30</v>
      </c>
      <c r="D22" s="10">
        <v>58</v>
      </c>
      <c r="E22" s="15">
        <v>365</v>
      </c>
      <c r="F22" s="26">
        <v>2.0000000000000001E-4</v>
      </c>
      <c r="G22" s="10">
        <v>1200</v>
      </c>
      <c r="H22" s="12">
        <v>2.9999999999999997E-4</v>
      </c>
      <c r="I22" s="17">
        <v>10950</v>
      </c>
      <c r="J22" s="22">
        <v>30</v>
      </c>
      <c r="K22" s="18">
        <f t="shared" si="0"/>
        <v>4.1379310344827596E-3</v>
      </c>
      <c r="L22" s="2">
        <f t="shared" si="1"/>
        <v>6.8965517241379316E-4</v>
      </c>
      <c r="M22" s="2">
        <f t="shared" si="2"/>
        <v>1.3793103448275863E-3</v>
      </c>
      <c r="N22" s="2">
        <f t="shared" si="3"/>
        <v>2.0689655172413798E-3</v>
      </c>
      <c r="O22" s="2">
        <f t="shared" si="4"/>
        <v>2.7586206896551726E-3</v>
      </c>
      <c r="P22" s="2">
        <f t="shared" si="5"/>
        <v>3.4482758620689655E-3</v>
      </c>
      <c r="Q22" s="2">
        <f t="shared" si="6"/>
        <v>4.1379310344827596E-3</v>
      </c>
      <c r="R22" s="2">
        <f t="shared" si="7"/>
        <v>13.793103448275867</v>
      </c>
      <c r="S22" s="2">
        <f t="shared" si="8"/>
        <v>2.298850574712644</v>
      </c>
      <c r="T22" s="2">
        <f t="shared" si="9"/>
        <v>4.597701149425288</v>
      </c>
      <c r="U22" s="2">
        <f t="shared" si="10"/>
        <v>6.8965517241379333</v>
      </c>
      <c r="V22" s="2">
        <f t="shared" si="11"/>
        <v>9.1954022988505759</v>
      </c>
      <c r="W22" s="2">
        <f t="shared" si="12"/>
        <v>11.494252873563219</v>
      </c>
      <c r="X22" s="2">
        <f t="shared" si="13"/>
        <v>13.793103448275867</v>
      </c>
      <c r="Y22" s="5" t="str">
        <f t="shared" si="14"/>
        <v>1</v>
      </c>
      <c r="Z22" s="5" t="str">
        <f t="shared" si="15"/>
        <v>1</v>
      </c>
      <c r="AA22" s="5" t="str">
        <f t="shared" si="16"/>
        <v>1</v>
      </c>
      <c r="AB22" s="5" t="str">
        <f t="shared" si="16"/>
        <v>1</v>
      </c>
      <c r="AC22" s="5" t="str">
        <f t="shared" si="16"/>
        <v>1</v>
      </c>
      <c r="AD22" s="5" t="str">
        <f t="shared" si="16"/>
        <v>1</v>
      </c>
      <c r="AE22" s="5" t="str">
        <f t="shared" si="16"/>
        <v>1</v>
      </c>
    </row>
    <row r="23" spans="1:31" ht="14.4" x14ac:dyDescent="0.3">
      <c r="A23" s="14">
        <v>20</v>
      </c>
      <c r="B23" s="24" t="s">
        <v>157</v>
      </c>
      <c r="C23" s="10">
        <v>30</v>
      </c>
      <c r="D23" s="10">
        <v>62</v>
      </c>
      <c r="E23" s="15">
        <v>365</v>
      </c>
      <c r="F23" s="26">
        <v>2.0000000000000001E-4</v>
      </c>
      <c r="G23" s="10">
        <v>900</v>
      </c>
      <c r="H23" s="12">
        <v>2.9999999999999997E-4</v>
      </c>
      <c r="I23" s="17">
        <v>10950</v>
      </c>
      <c r="J23" s="22">
        <v>30</v>
      </c>
      <c r="K23" s="18">
        <f t="shared" si="0"/>
        <v>2.9032258064516131E-3</v>
      </c>
      <c r="L23" s="2">
        <f t="shared" si="1"/>
        <v>4.8387096774193548E-4</v>
      </c>
      <c r="M23" s="2">
        <f t="shared" si="2"/>
        <v>9.6774193548387097E-4</v>
      </c>
      <c r="N23" s="2">
        <f t="shared" si="3"/>
        <v>1.4516129032258066E-3</v>
      </c>
      <c r="O23" s="2">
        <f t="shared" si="4"/>
        <v>1.9354838709677419E-3</v>
      </c>
      <c r="P23" s="2">
        <f t="shared" si="5"/>
        <v>2.4193548387096775E-3</v>
      </c>
      <c r="Q23" s="2">
        <f t="shared" si="6"/>
        <v>2.9032258064516131E-3</v>
      </c>
      <c r="R23" s="2">
        <f t="shared" si="7"/>
        <v>9.6774193548387117</v>
      </c>
      <c r="S23" s="2">
        <f t="shared" si="8"/>
        <v>1.6129032258064517</v>
      </c>
      <c r="T23" s="2">
        <f t="shared" si="9"/>
        <v>3.2258064516129035</v>
      </c>
      <c r="U23" s="2">
        <f t="shared" si="10"/>
        <v>4.8387096774193559</v>
      </c>
      <c r="V23" s="2">
        <f t="shared" si="11"/>
        <v>6.4516129032258069</v>
      </c>
      <c r="W23" s="2">
        <f t="shared" si="12"/>
        <v>8.0645161290322598</v>
      </c>
      <c r="X23" s="2">
        <f t="shared" si="13"/>
        <v>9.6774193548387117</v>
      </c>
      <c r="Y23" s="5" t="str">
        <f t="shared" si="14"/>
        <v>1</v>
      </c>
      <c r="Z23" s="5" t="str">
        <f t="shared" si="15"/>
        <v>1</v>
      </c>
      <c r="AA23" s="5" t="str">
        <f t="shared" si="16"/>
        <v>1</v>
      </c>
      <c r="AB23" s="5" t="str">
        <f t="shared" si="16"/>
        <v>1</v>
      </c>
      <c r="AC23" s="5" t="str">
        <f t="shared" si="16"/>
        <v>1</v>
      </c>
      <c r="AD23" s="5" t="str">
        <f t="shared" si="16"/>
        <v>1</v>
      </c>
      <c r="AE23" s="5" t="str">
        <f t="shared" si="16"/>
        <v>1</v>
      </c>
    </row>
    <row r="24" spans="1:31" ht="14.4" x14ac:dyDescent="0.3">
      <c r="A24" s="14">
        <v>21</v>
      </c>
      <c r="B24" s="24" t="s">
        <v>158</v>
      </c>
      <c r="C24" s="10">
        <v>30</v>
      </c>
      <c r="D24" s="10">
        <v>70</v>
      </c>
      <c r="E24" s="15">
        <v>365</v>
      </c>
      <c r="F24" s="26">
        <v>2.0000000000000001E-4</v>
      </c>
      <c r="G24" s="10">
        <v>900</v>
      </c>
      <c r="H24" s="12">
        <v>2.9999999999999997E-4</v>
      </c>
      <c r="I24" s="17">
        <v>10950</v>
      </c>
      <c r="J24" s="22">
        <v>15</v>
      </c>
      <c r="K24" s="18">
        <f t="shared" si="0"/>
        <v>1.2857142857142856E-3</v>
      </c>
      <c r="L24" s="2">
        <f t="shared" si="1"/>
        <v>4.2857142857142855E-4</v>
      </c>
      <c r="M24" s="2">
        <f t="shared" si="2"/>
        <v>8.571428571428571E-4</v>
      </c>
      <c r="N24" s="2">
        <f t="shared" si="3"/>
        <v>1.2857142857142856E-3</v>
      </c>
      <c r="O24" s="2">
        <f t="shared" si="4"/>
        <v>1.7142857142857142E-3</v>
      </c>
      <c r="P24" s="2">
        <f t="shared" si="5"/>
        <v>2.142857142857143E-3</v>
      </c>
      <c r="Q24" s="2">
        <f t="shared" si="6"/>
        <v>2.5714285714285713E-3</v>
      </c>
      <c r="R24" s="2">
        <f t="shared" si="7"/>
        <v>4.2857142857142856</v>
      </c>
      <c r="S24" s="2">
        <f t="shared" si="8"/>
        <v>1.4285714285714286</v>
      </c>
      <c r="T24" s="2">
        <f t="shared" si="9"/>
        <v>2.8571428571428572</v>
      </c>
      <c r="U24" s="2">
        <f t="shared" si="10"/>
        <v>4.2857142857142856</v>
      </c>
      <c r="V24" s="2">
        <f t="shared" si="11"/>
        <v>5.7142857142857144</v>
      </c>
      <c r="W24" s="2">
        <f t="shared" si="12"/>
        <v>7.1428571428571441</v>
      </c>
      <c r="X24" s="2">
        <f t="shared" si="13"/>
        <v>8.5714285714285712</v>
      </c>
      <c r="Y24" s="5" t="str">
        <f t="shared" si="14"/>
        <v>1</v>
      </c>
      <c r="Z24" s="5" t="str">
        <f t="shared" si="15"/>
        <v>1</v>
      </c>
      <c r="AA24" s="5" t="str">
        <f t="shared" si="16"/>
        <v>1</v>
      </c>
      <c r="AB24" s="5" t="str">
        <f t="shared" si="16"/>
        <v>1</v>
      </c>
      <c r="AC24" s="5" t="str">
        <f t="shared" si="16"/>
        <v>1</v>
      </c>
      <c r="AD24" s="5" t="str">
        <f t="shared" si="16"/>
        <v>1</v>
      </c>
      <c r="AE24" s="5" t="str">
        <f t="shared" ref="AE24:AE43" si="17">IF(X24&gt;1,"1","2")</f>
        <v>1</v>
      </c>
    </row>
    <row r="25" spans="1:31" ht="14.4" x14ac:dyDescent="0.3">
      <c r="A25" s="14">
        <v>22</v>
      </c>
      <c r="B25" s="24" t="s">
        <v>113</v>
      </c>
      <c r="C25" s="10">
        <v>30</v>
      </c>
      <c r="D25" s="10">
        <v>58</v>
      </c>
      <c r="E25" s="15">
        <v>365</v>
      </c>
      <c r="F25" s="26">
        <v>2.0000000000000001E-4</v>
      </c>
      <c r="G25" s="10">
        <v>1200</v>
      </c>
      <c r="H25" s="12">
        <v>2.9999999999999997E-4</v>
      </c>
      <c r="I25" s="17">
        <v>10950</v>
      </c>
      <c r="J25" s="22">
        <v>30</v>
      </c>
      <c r="K25" s="18">
        <f t="shared" si="0"/>
        <v>4.1379310344827596E-3</v>
      </c>
      <c r="L25" s="2">
        <f t="shared" si="1"/>
        <v>6.8965517241379316E-4</v>
      </c>
      <c r="M25" s="2">
        <f t="shared" si="2"/>
        <v>1.3793103448275863E-3</v>
      </c>
      <c r="N25" s="2">
        <f t="shared" si="3"/>
        <v>2.0689655172413798E-3</v>
      </c>
      <c r="O25" s="2">
        <f t="shared" si="4"/>
        <v>2.7586206896551726E-3</v>
      </c>
      <c r="P25" s="2">
        <f t="shared" si="5"/>
        <v>3.4482758620689655E-3</v>
      </c>
      <c r="Q25" s="2">
        <f t="shared" si="6"/>
        <v>4.1379310344827596E-3</v>
      </c>
      <c r="R25" s="2">
        <f t="shared" si="7"/>
        <v>13.793103448275867</v>
      </c>
      <c r="S25" s="2">
        <f t="shared" si="8"/>
        <v>2.298850574712644</v>
      </c>
      <c r="T25" s="2">
        <f t="shared" si="9"/>
        <v>4.597701149425288</v>
      </c>
      <c r="U25" s="2">
        <f t="shared" si="10"/>
        <v>6.8965517241379333</v>
      </c>
      <c r="V25" s="2">
        <f t="shared" si="11"/>
        <v>9.1954022988505759</v>
      </c>
      <c r="W25" s="2">
        <f t="shared" si="12"/>
        <v>11.494252873563219</v>
      </c>
      <c r="X25" s="2">
        <f t="shared" si="13"/>
        <v>13.793103448275867</v>
      </c>
      <c r="Y25" s="5" t="str">
        <f t="shared" si="14"/>
        <v>1</v>
      </c>
      <c r="Z25" s="5" t="str">
        <f t="shared" si="15"/>
        <v>1</v>
      </c>
      <c r="AA25" s="5" t="str">
        <f t="shared" si="16"/>
        <v>1</v>
      </c>
      <c r="AB25" s="5" t="str">
        <f t="shared" si="16"/>
        <v>1</v>
      </c>
      <c r="AC25" s="5" t="str">
        <f t="shared" si="16"/>
        <v>1</v>
      </c>
      <c r="AD25" s="5" t="str">
        <f t="shared" si="16"/>
        <v>1</v>
      </c>
      <c r="AE25" s="5" t="str">
        <f t="shared" si="17"/>
        <v>1</v>
      </c>
    </row>
    <row r="26" spans="1:31" ht="14.4" x14ac:dyDescent="0.3">
      <c r="A26" s="14">
        <v>23</v>
      </c>
      <c r="B26" s="24" t="s">
        <v>129</v>
      </c>
      <c r="C26" s="10">
        <v>30</v>
      </c>
      <c r="D26" s="10">
        <v>70</v>
      </c>
      <c r="E26" s="15">
        <v>365</v>
      </c>
      <c r="F26" s="26">
        <v>2.0000000000000001E-4</v>
      </c>
      <c r="G26" s="10">
        <v>900</v>
      </c>
      <c r="H26" s="12">
        <v>2.9999999999999997E-4</v>
      </c>
      <c r="I26" s="17">
        <v>10950</v>
      </c>
      <c r="J26" s="22">
        <v>15</v>
      </c>
      <c r="K26" s="18">
        <f t="shared" si="0"/>
        <v>1.2857142857142856E-3</v>
      </c>
      <c r="L26" s="2">
        <f t="shared" si="1"/>
        <v>4.2857142857142855E-4</v>
      </c>
      <c r="M26" s="2">
        <f t="shared" si="2"/>
        <v>8.571428571428571E-4</v>
      </c>
      <c r="N26" s="2">
        <f t="shared" si="3"/>
        <v>1.2857142857142856E-3</v>
      </c>
      <c r="O26" s="2">
        <f t="shared" si="4"/>
        <v>1.7142857142857142E-3</v>
      </c>
      <c r="P26" s="2">
        <f t="shared" si="5"/>
        <v>2.142857142857143E-3</v>
      </c>
      <c r="Q26" s="2">
        <f t="shared" si="6"/>
        <v>2.5714285714285713E-3</v>
      </c>
      <c r="R26" s="2">
        <f t="shared" si="7"/>
        <v>4.2857142857142856</v>
      </c>
      <c r="S26" s="2">
        <f t="shared" si="8"/>
        <v>1.4285714285714286</v>
      </c>
      <c r="T26" s="2">
        <f t="shared" si="9"/>
        <v>2.8571428571428572</v>
      </c>
      <c r="U26" s="2">
        <f t="shared" si="10"/>
        <v>4.2857142857142856</v>
      </c>
      <c r="V26" s="2">
        <f t="shared" si="11"/>
        <v>5.7142857142857144</v>
      </c>
      <c r="W26" s="2">
        <f t="shared" si="12"/>
        <v>7.1428571428571441</v>
      </c>
      <c r="X26" s="2">
        <f t="shared" si="13"/>
        <v>8.5714285714285712</v>
      </c>
      <c r="Y26" s="5" t="str">
        <f t="shared" si="14"/>
        <v>1</v>
      </c>
      <c r="Z26" s="5" t="str">
        <f t="shared" si="15"/>
        <v>1</v>
      </c>
      <c r="AA26" s="5" t="str">
        <f t="shared" si="16"/>
        <v>1</v>
      </c>
      <c r="AB26" s="5" t="str">
        <f t="shared" si="16"/>
        <v>1</v>
      </c>
      <c r="AC26" s="5" t="str">
        <f t="shared" si="16"/>
        <v>1</v>
      </c>
      <c r="AD26" s="5" t="str">
        <f t="shared" si="16"/>
        <v>1</v>
      </c>
      <c r="AE26" s="5" t="str">
        <f t="shared" si="17"/>
        <v>1</v>
      </c>
    </row>
    <row r="27" spans="1:31" ht="14.4" x14ac:dyDescent="0.3">
      <c r="A27" s="14">
        <v>24</v>
      </c>
      <c r="B27" s="24" t="s">
        <v>154</v>
      </c>
      <c r="C27" s="10">
        <v>30</v>
      </c>
      <c r="D27" s="10">
        <v>58</v>
      </c>
      <c r="E27" s="15">
        <v>365</v>
      </c>
      <c r="F27" s="26">
        <v>2.0000000000000001E-4</v>
      </c>
      <c r="G27" s="10">
        <v>1200</v>
      </c>
      <c r="H27" s="12">
        <v>2.9999999999999997E-4</v>
      </c>
      <c r="I27" s="17">
        <v>10950</v>
      </c>
      <c r="J27" s="22">
        <v>30</v>
      </c>
      <c r="K27" s="18">
        <f t="shared" si="0"/>
        <v>4.1379310344827596E-3</v>
      </c>
      <c r="L27" s="2">
        <f t="shared" si="1"/>
        <v>6.8965517241379316E-4</v>
      </c>
      <c r="M27" s="2">
        <f t="shared" si="2"/>
        <v>1.3793103448275863E-3</v>
      </c>
      <c r="N27" s="2">
        <f t="shared" si="3"/>
        <v>2.0689655172413798E-3</v>
      </c>
      <c r="O27" s="2">
        <f t="shared" si="4"/>
        <v>2.7586206896551726E-3</v>
      </c>
      <c r="P27" s="2">
        <f t="shared" si="5"/>
        <v>3.4482758620689655E-3</v>
      </c>
      <c r="Q27" s="2">
        <f t="shared" si="6"/>
        <v>4.1379310344827596E-3</v>
      </c>
      <c r="R27" s="2">
        <f t="shared" si="7"/>
        <v>13.793103448275867</v>
      </c>
      <c r="S27" s="2">
        <f t="shared" si="8"/>
        <v>2.298850574712644</v>
      </c>
      <c r="T27" s="2">
        <f t="shared" si="9"/>
        <v>4.597701149425288</v>
      </c>
      <c r="U27" s="2">
        <f t="shared" si="10"/>
        <v>6.8965517241379333</v>
      </c>
      <c r="V27" s="2">
        <f t="shared" si="11"/>
        <v>9.1954022988505759</v>
      </c>
      <c r="W27" s="2">
        <f t="shared" si="12"/>
        <v>11.494252873563219</v>
      </c>
      <c r="X27" s="2">
        <f t="shared" si="13"/>
        <v>13.793103448275867</v>
      </c>
      <c r="Y27" s="5" t="str">
        <f t="shared" si="14"/>
        <v>1</v>
      </c>
      <c r="Z27" s="5" t="str">
        <f t="shared" si="15"/>
        <v>1</v>
      </c>
      <c r="AA27" s="5" t="str">
        <f t="shared" si="16"/>
        <v>1</v>
      </c>
      <c r="AB27" s="5" t="str">
        <f t="shared" si="16"/>
        <v>1</v>
      </c>
      <c r="AC27" s="5" t="str">
        <f t="shared" si="16"/>
        <v>1</v>
      </c>
      <c r="AD27" s="5" t="str">
        <f t="shared" si="16"/>
        <v>1</v>
      </c>
      <c r="AE27" s="5" t="str">
        <f t="shared" si="17"/>
        <v>1</v>
      </c>
    </row>
    <row r="28" spans="1:31" ht="14.4" x14ac:dyDescent="0.3">
      <c r="A28" s="14">
        <v>25</v>
      </c>
      <c r="B28" s="24" t="s">
        <v>138</v>
      </c>
      <c r="C28" s="10">
        <v>32</v>
      </c>
      <c r="D28" s="10">
        <v>40</v>
      </c>
      <c r="E28" s="15">
        <v>365</v>
      </c>
      <c r="F28" s="26">
        <v>2.0000000000000001E-4</v>
      </c>
      <c r="G28" s="10">
        <v>900</v>
      </c>
      <c r="H28" s="12">
        <v>2.9999999999999997E-4</v>
      </c>
      <c r="I28" s="17">
        <v>10950</v>
      </c>
      <c r="J28" s="22">
        <v>22</v>
      </c>
      <c r="K28" s="18">
        <f t="shared" si="0"/>
        <v>3.3000000000000004E-3</v>
      </c>
      <c r="L28" s="2">
        <f t="shared" ref="L28:L45" si="18">(F28*G28*E28*5)/(D28*I28)</f>
        <v>7.5000000000000002E-4</v>
      </c>
      <c r="M28" s="2">
        <f t="shared" ref="M28:M53" si="19">(F28*G28*E28*10)/(D28*I28)</f>
        <v>1.5E-3</v>
      </c>
      <c r="N28" s="2">
        <f t="shared" ref="N28:N53" si="20">(F28*G28*E28*15)/(D28*I28)</f>
        <v>2.2499999999999998E-3</v>
      </c>
      <c r="O28" s="2">
        <f t="shared" ref="O28:O53" si="21">(F28*G28*E28*20)/(D28*I28)</f>
        <v>3.0000000000000001E-3</v>
      </c>
      <c r="P28" s="2">
        <f t="shared" ref="P28:P53" si="22">(F28*G28*E28*25)/(D28*I28)</f>
        <v>3.7499999999999999E-3</v>
      </c>
      <c r="Q28" s="2">
        <f t="shared" ref="Q28:Q53" si="23">(F28*G28*E28*30)/(D28*I28)</f>
        <v>4.4999999999999997E-3</v>
      </c>
      <c r="R28" s="2">
        <f t="shared" si="7"/>
        <v>11.000000000000002</v>
      </c>
      <c r="S28" s="2">
        <f t="shared" si="8"/>
        <v>2.5000000000000004</v>
      </c>
      <c r="T28" s="2">
        <f t="shared" si="9"/>
        <v>5.0000000000000009</v>
      </c>
      <c r="U28" s="2">
        <f t="shared" si="10"/>
        <v>7.5</v>
      </c>
      <c r="V28" s="2">
        <f t="shared" si="11"/>
        <v>10.000000000000002</v>
      </c>
      <c r="W28" s="2">
        <f t="shared" si="12"/>
        <v>12.5</v>
      </c>
      <c r="X28" s="2">
        <f t="shared" si="13"/>
        <v>15</v>
      </c>
      <c r="Y28" s="5" t="str">
        <f t="shared" si="14"/>
        <v>1</v>
      </c>
      <c r="Z28" s="5" t="str">
        <f t="shared" si="15"/>
        <v>1</v>
      </c>
      <c r="AA28" s="5" t="str">
        <f t="shared" si="16"/>
        <v>1</v>
      </c>
      <c r="AB28" s="5" t="str">
        <f t="shared" si="16"/>
        <v>1</v>
      </c>
      <c r="AC28" s="5" t="str">
        <f t="shared" si="16"/>
        <v>1</v>
      </c>
      <c r="AD28" s="5" t="str">
        <f t="shared" si="16"/>
        <v>1</v>
      </c>
      <c r="AE28" s="5" t="str">
        <f t="shared" si="17"/>
        <v>1</v>
      </c>
    </row>
    <row r="29" spans="1:31" ht="14.4" x14ac:dyDescent="0.3">
      <c r="A29" s="14">
        <v>26</v>
      </c>
      <c r="B29" s="24" t="s">
        <v>159</v>
      </c>
      <c r="C29" s="10">
        <v>32</v>
      </c>
      <c r="D29" s="10">
        <v>39</v>
      </c>
      <c r="E29" s="15">
        <v>365</v>
      </c>
      <c r="F29" s="26">
        <v>2.0000000000000001E-4</v>
      </c>
      <c r="G29" s="10">
        <v>900</v>
      </c>
      <c r="H29" s="12">
        <v>2.9999999999999997E-4</v>
      </c>
      <c r="I29" s="17">
        <v>10950</v>
      </c>
      <c r="J29" s="22">
        <v>32</v>
      </c>
      <c r="K29" s="18">
        <f t="shared" ref="K29:K53" si="24">(F29*G29*E29*J29)/(D29*I29)</f>
        <v>4.9230769230769232E-3</v>
      </c>
      <c r="L29" s="2">
        <f t="shared" si="18"/>
        <v>7.6923076923076923E-4</v>
      </c>
      <c r="M29" s="2">
        <f t="shared" si="19"/>
        <v>1.5384615384615385E-3</v>
      </c>
      <c r="N29" s="2">
        <f t="shared" si="20"/>
        <v>2.3076923076923079E-3</v>
      </c>
      <c r="O29" s="2">
        <f t="shared" si="21"/>
        <v>3.0769230769230769E-3</v>
      </c>
      <c r="P29" s="2">
        <f t="shared" si="22"/>
        <v>3.8461538461538464E-3</v>
      </c>
      <c r="Q29" s="2">
        <f t="shared" si="23"/>
        <v>4.6153846153846158E-3</v>
      </c>
      <c r="R29" s="2">
        <f t="shared" ref="R29:R53" si="25">K29/H29</f>
        <v>16.410256410256412</v>
      </c>
      <c r="S29" s="2">
        <f t="shared" ref="S29:S42" si="26">L29/H29</f>
        <v>2.5641025641025643</v>
      </c>
      <c r="T29" s="2">
        <f t="shared" ref="T29:T53" si="27">M29/H29</f>
        <v>5.1282051282051286</v>
      </c>
      <c r="U29" s="2">
        <f t="shared" ref="U29:U43" si="28">N29/H29</f>
        <v>7.6923076923076934</v>
      </c>
      <c r="V29" s="2">
        <f t="shared" ref="V29:V43" si="29">O29/H29</f>
        <v>10.256410256410257</v>
      </c>
      <c r="W29" s="2">
        <f t="shared" ref="W29:W43" si="30">P29/H29</f>
        <v>12.820512820512823</v>
      </c>
      <c r="X29" s="2">
        <f t="shared" ref="X29:X43" si="31">Q29/H29</f>
        <v>15.384615384615387</v>
      </c>
      <c r="Y29" s="5" t="str">
        <f t="shared" ref="Y29:Y53" si="32">IF(R29&gt;1,"1","2")</f>
        <v>1</v>
      </c>
      <c r="Z29" s="5" t="str">
        <f t="shared" ref="Z29:Z43" si="33">IF(S29&gt;1,"1","2")</f>
        <v>1</v>
      </c>
      <c r="AA29" s="5" t="str">
        <f t="shared" ref="AA29:AD43" si="34">IF(T29&gt;1,"1","2")</f>
        <v>1</v>
      </c>
      <c r="AB29" s="5" t="str">
        <f t="shared" si="34"/>
        <v>1</v>
      </c>
      <c r="AC29" s="5" t="str">
        <f t="shared" si="34"/>
        <v>1</v>
      </c>
      <c r="AD29" s="5" t="str">
        <f t="shared" si="34"/>
        <v>1</v>
      </c>
      <c r="AE29" s="5" t="str">
        <f t="shared" si="17"/>
        <v>1</v>
      </c>
    </row>
    <row r="30" spans="1:31" ht="14.4" x14ac:dyDescent="0.3">
      <c r="A30" s="14">
        <v>27</v>
      </c>
      <c r="B30" s="24" t="s">
        <v>160</v>
      </c>
      <c r="C30" s="10">
        <v>32</v>
      </c>
      <c r="D30" s="10">
        <v>67</v>
      </c>
      <c r="E30" s="15">
        <v>365</v>
      </c>
      <c r="F30" s="26">
        <v>2.0000000000000001E-4</v>
      </c>
      <c r="G30" s="10">
        <v>3300</v>
      </c>
      <c r="H30" s="12">
        <v>2.9999999999999997E-4</v>
      </c>
      <c r="I30" s="17">
        <v>10950</v>
      </c>
      <c r="J30" s="22">
        <v>27</v>
      </c>
      <c r="K30" s="18">
        <f t="shared" si="24"/>
        <v>8.8656716417910442E-3</v>
      </c>
      <c r="L30" s="2">
        <f t="shared" si="18"/>
        <v>1.6417910447761193E-3</v>
      </c>
      <c r="M30" s="2">
        <f t="shared" si="19"/>
        <v>3.2835820895522386E-3</v>
      </c>
      <c r="N30" s="2">
        <f t="shared" si="20"/>
        <v>4.9253731343283586E-3</v>
      </c>
      <c r="O30" s="2">
        <f t="shared" si="21"/>
        <v>6.5671641791044772E-3</v>
      </c>
      <c r="P30" s="2">
        <f t="shared" si="22"/>
        <v>8.2089552238805968E-3</v>
      </c>
      <c r="Q30" s="2">
        <f t="shared" si="23"/>
        <v>9.8507462686567172E-3</v>
      </c>
      <c r="R30" s="2">
        <f t="shared" si="25"/>
        <v>29.552238805970148</v>
      </c>
      <c r="S30" s="2">
        <f t="shared" si="26"/>
        <v>5.4726368159203984</v>
      </c>
      <c r="T30" s="2">
        <f t="shared" si="27"/>
        <v>10.945273631840797</v>
      </c>
      <c r="U30" s="2">
        <f t="shared" si="28"/>
        <v>16.417910447761198</v>
      </c>
      <c r="V30" s="2">
        <f t="shared" si="29"/>
        <v>21.890547263681594</v>
      </c>
      <c r="W30" s="2">
        <f t="shared" si="30"/>
        <v>27.363184079601993</v>
      </c>
      <c r="X30" s="2">
        <f t="shared" si="31"/>
        <v>32.835820895522396</v>
      </c>
      <c r="Y30" s="5" t="str">
        <f t="shared" si="32"/>
        <v>1</v>
      </c>
      <c r="Z30" s="5" t="str">
        <f t="shared" si="33"/>
        <v>1</v>
      </c>
      <c r="AA30" s="5" t="str">
        <f t="shared" si="34"/>
        <v>1</v>
      </c>
      <c r="AB30" s="5" t="str">
        <f t="shared" si="34"/>
        <v>1</v>
      </c>
      <c r="AC30" s="5" t="str">
        <f t="shared" si="34"/>
        <v>1</v>
      </c>
      <c r="AD30" s="5" t="str">
        <f t="shared" si="34"/>
        <v>1</v>
      </c>
      <c r="AE30" s="5" t="str">
        <f t="shared" si="17"/>
        <v>1</v>
      </c>
    </row>
    <row r="31" spans="1:31" ht="14.4" x14ac:dyDescent="0.3">
      <c r="A31" s="14">
        <v>28</v>
      </c>
      <c r="B31" s="24" t="s">
        <v>131</v>
      </c>
      <c r="C31" s="10">
        <v>32</v>
      </c>
      <c r="D31" s="10">
        <v>40</v>
      </c>
      <c r="E31" s="15">
        <v>365</v>
      </c>
      <c r="F31" s="26">
        <v>2.0000000000000001E-4</v>
      </c>
      <c r="G31" s="10">
        <v>900</v>
      </c>
      <c r="H31" s="12">
        <v>2.9999999999999997E-4</v>
      </c>
      <c r="I31" s="17">
        <v>10950</v>
      </c>
      <c r="J31" s="22">
        <v>22</v>
      </c>
      <c r="K31" s="18">
        <f t="shared" si="24"/>
        <v>3.3000000000000004E-3</v>
      </c>
      <c r="L31" s="2">
        <f t="shared" si="18"/>
        <v>7.5000000000000002E-4</v>
      </c>
      <c r="M31" s="2">
        <f t="shared" si="19"/>
        <v>1.5E-3</v>
      </c>
      <c r="N31" s="2">
        <f t="shared" si="20"/>
        <v>2.2499999999999998E-3</v>
      </c>
      <c r="O31" s="2">
        <f t="shared" si="21"/>
        <v>3.0000000000000001E-3</v>
      </c>
      <c r="P31" s="2">
        <f t="shared" si="22"/>
        <v>3.7499999999999999E-3</v>
      </c>
      <c r="Q31" s="2">
        <f t="shared" si="23"/>
        <v>4.4999999999999997E-3</v>
      </c>
      <c r="R31" s="2">
        <f t="shared" si="25"/>
        <v>11.000000000000002</v>
      </c>
      <c r="S31" s="2">
        <f t="shared" si="26"/>
        <v>2.5000000000000004</v>
      </c>
      <c r="T31" s="2">
        <f t="shared" si="27"/>
        <v>5.0000000000000009</v>
      </c>
      <c r="U31" s="2">
        <f t="shared" si="28"/>
        <v>7.5</v>
      </c>
      <c r="V31" s="2">
        <f t="shared" si="29"/>
        <v>10.000000000000002</v>
      </c>
      <c r="W31" s="2">
        <f t="shared" si="30"/>
        <v>12.5</v>
      </c>
      <c r="X31" s="2">
        <f t="shared" si="31"/>
        <v>15</v>
      </c>
      <c r="Y31" s="5" t="str">
        <f t="shared" si="32"/>
        <v>1</v>
      </c>
      <c r="Z31" s="5" t="str">
        <f t="shared" si="33"/>
        <v>1</v>
      </c>
      <c r="AA31" s="5" t="str">
        <f t="shared" si="34"/>
        <v>1</v>
      </c>
      <c r="AB31" s="5" t="str">
        <f t="shared" si="34"/>
        <v>1</v>
      </c>
      <c r="AC31" s="5" t="str">
        <f t="shared" si="34"/>
        <v>1</v>
      </c>
      <c r="AD31" s="5" t="str">
        <f t="shared" si="34"/>
        <v>1</v>
      </c>
      <c r="AE31" s="5" t="str">
        <f t="shared" si="17"/>
        <v>1</v>
      </c>
    </row>
    <row r="32" spans="1:31" ht="14.4" x14ac:dyDescent="0.3">
      <c r="A32" s="14">
        <v>29</v>
      </c>
      <c r="B32" s="24" t="s">
        <v>148</v>
      </c>
      <c r="C32" s="10">
        <v>32</v>
      </c>
      <c r="D32" s="10">
        <v>39</v>
      </c>
      <c r="E32" s="15">
        <v>365</v>
      </c>
      <c r="F32" s="26">
        <v>2.0000000000000001E-4</v>
      </c>
      <c r="G32" s="10">
        <v>900</v>
      </c>
      <c r="H32" s="12">
        <v>2.9999999999999997E-4</v>
      </c>
      <c r="I32" s="17">
        <v>10950</v>
      </c>
      <c r="J32" s="22">
        <v>32</v>
      </c>
      <c r="K32" s="18">
        <f t="shared" si="24"/>
        <v>4.9230769230769232E-3</v>
      </c>
      <c r="L32" s="2">
        <f t="shared" si="18"/>
        <v>7.6923076923076923E-4</v>
      </c>
      <c r="M32" s="2">
        <f t="shared" si="19"/>
        <v>1.5384615384615385E-3</v>
      </c>
      <c r="N32" s="2">
        <f t="shared" si="20"/>
        <v>2.3076923076923079E-3</v>
      </c>
      <c r="O32" s="2">
        <f t="shared" si="21"/>
        <v>3.0769230769230769E-3</v>
      </c>
      <c r="P32" s="2">
        <f t="shared" si="22"/>
        <v>3.8461538461538464E-3</v>
      </c>
      <c r="Q32" s="2">
        <f t="shared" si="23"/>
        <v>4.6153846153846158E-3</v>
      </c>
      <c r="R32" s="2">
        <f t="shared" si="25"/>
        <v>16.410256410256412</v>
      </c>
      <c r="S32" s="2">
        <f t="shared" si="26"/>
        <v>2.5641025641025643</v>
      </c>
      <c r="T32" s="2">
        <f t="shared" si="27"/>
        <v>5.1282051282051286</v>
      </c>
      <c r="U32" s="2">
        <f t="shared" si="28"/>
        <v>7.6923076923076934</v>
      </c>
      <c r="V32" s="2">
        <f t="shared" si="29"/>
        <v>10.256410256410257</v>
      </c>
      <c r="W32" s="2">
        <f t="shared" si="30"/>
        <v>12.820512820512823</v>
      </c>
      <c r="X32" s="2">
        <f t="shared" si="31"/>
        <v>15.384615384615387</v>
      </c>
      <c r="Y32" s="5" t="str">
        <f t="shared" si="32"/>
        <v>1</v>
      </c>
      <c r="Z32" s="5" t="str">
        <f t="shared" si="33"/>
        <v>1</v>
      </c>
      <c r="AA32" s="5" t="str">
        <f t="shared" si="34"/>
        <v>1</v>
      </c>
      <c r="AB32" s="5" t="str">
        <f t="shared" si="34"/>
        <v>1</v>
      </c>
      <c r="AC32" s="5" t="str">
        <f t="shared" si="34"/>
        <v>1</v>
      </c>
      <c r="AD32" s="5" t="str">
        <f t="shared" si="34"/>
        <v>1</v>
      </c>
      <c r="AE32" s="5" t="str">
        <f t="shared" si="17"/>
        <v>1</v>
      </c>
    </row>
    <row r="33" spans="1:31" ht="14.4" x14ac:dyDescent="0.3">
      <c r="A33" s="14">
        <v>30</v>
      </c>
      <c r="B33" s="24" t="s">
        <v>111</v>
      </c>
      <c r="C33" s="10">
        <v>33</v>
      </c>
      <c r="D33" s="10">
        <v>75</v>
      </c>
      <c r="E33" s="15">
        <v>365</v>
      </c>
      <c r="F33" s="26">
        <v>2.0000000000000001E-4</v>
      </c>
      <c r="G33" s="10">
        <v>2100</v>
      </c>
      <c r="H33" s="12">
        <v>2.9999999999999997E-4</v>
      </c>
      <c r="I33" s="17">
        <v>10950</v>
      </c>
      <c r="J33" s="22">
        <v>8</v>
      </c>
      <c r="K33" s="18">
        <f t="shared" si="24"/>
        <v>1.4933333333333335E-3</v>
      </c>
      <c r="L33" s="2">
        <f t="shared" si="18"/>
        <v>9.3333333333333332E-4</v>
      </c>
      <c r="M33" s="2">
        <f t="shared" si="19"/>
        <v>1.8666666666666666E-3</v>
      </c>
      <c r="N33" s="2">
        <f t="shared" si="20"/>
        <v>2.8E-3</v>
      </c>
      <c r="O33" s="2">
        <f t="shared" si="21"/>
        <v>3.7333333333333333E-3</v>
      </c>
      <c r="P33" s="2">
        <f t="shared" si="22"/>
        <v>4.6666666666666671E-3</v>
      </c>
      <c r="Q33" s="2">
        <f t="shared" si="23"/>
        <v>5.5999999999999999E-3</v>
      </c>
      <c r="R33" s="2">
        <f t="shared" si="25"/>
        <v>4.9777777777777787</v>
      </c>
      <c r="S33" s="2">
        <f t="shared" si="26"/>
        <v>3.1111111111111112</v>
      </c>
      <c r="T33" s="2">
        <f t="shared" si="27"/>
        <v>6.2222222222222223</v>
      </c>
      <c r="U33" s="2">
        <f t="shared" si="28"/>
        <v>9.3333333333333339</v>
      </c>
      <c r="V33" s="2">
        <f t="shared" si="29"/>
        <v>12.444444444444445</v>
      </c>
      <c r="W33" s="2">
        <f t="shared" si="30"/>
        <v>15.555555555555559</v>
      </c>
      <c r="X33" s="2">
        <f t="shared" si="31"/>
        <v>18.666666666666668</v>
      </c>
      <c r="Y33" s="5" t="str">
        <f t="shared" si="32"/>
        <v>1</v>
      </c>
      <c r="Z33" s="5" t="str">
        <f t="shared" si="33"/>
        <v>1</v>
      </c>
      <c r="AA33" s="5" t="str">
        <f t="shared" si="34"/>
        <v>1</v>
      </c>
      <c r="AB33" s="5" t="str">
        <f t="shared" si="34"/>
        <v>1</v>
      </c>
      <c r="AC33" s="5" t="str">
        <f t="shared" si="34"/>
        <v>1</v>
      </c>
      <c r="AD33" s="5" t="str">
        <f t="shared" si="34"/>
        <v>1</v>
      </c>
      <c r="AE33" s="5" t="str">
        <f t="shared" si="17"/>
        <v>1</v>
      </c>
    </row>
    <row r="34" spans="1:31" ht="14.4" x14ac:dyDescent="0.3">
      <c r="A34" s="14">
        <v>31</v>
      </c>
      <c r="B34" s="24" t="s">
        <v>161</v>
      </c>
      <c r="C34" s="10">
        <v>34</v>
      </c>
      <c r="D34" s="10">
        <v>65</v>
      </c>
      <c r="E34" s="15">
        <v>365</v>
      </c>
      <c r="F34" s="26">
        <v>2.0000000000000001E-4</v>
      </c>
      <c r="G34" s="10">
        <v>1800</v>
      </c>
      <c r="H34" s="12">
        <v>2.9999999999999997E-4</v>
      </c>
      <c r="I34" s="17">
        <v>10950</v>
      </c>
      <c r="J34" s="22">
        <v>34</v>
      </c>
      <c r="K34" s="18">
        <f t="shared" si="24"/>
        <v>6.2769230769230775E-3</v>
      </c>
      <c r="L34" s="2">
        <f t="shared" si="18"/>
        <v>9.2307692307692305E-4</v>
      </c>
      <c r="M34" s="2">
        <f t="shared" si="19"/>
        <v>1.8461538461538461E-3</v>
      </c>
      <c r="N34" s="2">
        <f t="shared" si="20"/>
        <v>2.7692307692307691E-3</v>
      </c>
      <c r="O34" s="2">
        <f t="shared" si="21"/>
        <v>3.6923076923076922E-3</v>
      </c>
      <c r="P34" s="2">
        <f t="shared" si="22"/>
        <v>4.6153846153846158E-3</v>
      </c>
      <c r="Q34" s="2">
        <f t="shared" si="23"/>
        <v>5.5384615384615381E-3</v>
      </c>
      <c r="R34" s="2">
        <f t="shared" si="25"/>
        <v>20.923076923076927</v>
      </c>
      <c r="S34" s="2">
        <f t="shared" si="26"/>
        <v>3.0769230769230771</v>
      </c>
      <c r="T34" s="2">
        <f t="shared" si="27"/>
        <v>6.1538461538461542</v>
      </c>
      <c r="U34" s="2">
        <f t="shared" si="28"/>
        <v>9.2307692307692317</v>
      </c>
      <c r="V34" s="2">
        <f t="shared" si="29"/>
        <v>12.307692307692308</v>
      </c>
      <c r="W34" s="2">
        <f t="shared" si="30"/>
        <v>15.384615384615387</v>
      </c>
      <c r="X34" s="2">
        <f t="shared" si="31"/>
        <v>18.461538461538463</v>
      </c>
      <c r="Y34" s="5" t="str">
        <f t="shared" si="32"/>
        <v>1</v>
      </c>
      <c r="Z34" s="5" t="str">
        <f t="shared" si="33"/>
        <v>1</v>
      </c>
      <c r="AA34" s="5" t="str">
        <f t="shared" si="34"/>
        <v>1</v>
      </c>
      <c r="AB34" s="5" t="str">
        <f t="shared" si="34"/>
        <v>1</v>
      </c>
      <c r="AC34" s="5" t="str">
        <f t="shared" si="34"/>
        <v>1</v>
      </c>
      <c r="AD34" s="5" t="str">
        <f t="shared" si="34"/>
        <v>1</v>
      </c>
      <c r="AE34" s="5" t="str">
        <f t="shared" si="17"/>
        <v>1</v>
      </c>
    </row>
    <row r="35" spans="1:31" ht="14.4" x14ac:dyDescent="0.3">
      <c r="A35" s="14">
        <v>32</v>
      </c>
      <c r="B35" s="24" t="s">
        <v>162</v>
      </c>
      <c r="C35" s="10">
        <v>34</v>
      </c>
      <c r="D35" s="10">
        <v>64</v>
      </c>
      <c r="E35" s="15">
        <v>365</v>
      </c>
      <c r="F35" s="26">
        <v>2.0000000000000001E-4</v>
      </c>
      <c r="G35" s="10">
        <v>1200</v>
      </c>
      <c r="H35" s="12">
        <v>2.9999999999999997E-4</v>
      </c>
      <c r="I35" s="17">
        <v>10950</v>
      </c>
      <c r="J35" s="22">
        <v>11</v>
      </c>
      <c r="K35" s="18">
        <f t="shared" si="24"/>
        <v>1.3750000000000001E-3</v>
      </c>
      <c r="L35" s="2">
        <f t="shared" si="18"/>
        <v>6.2500000000000012E-4</v>
      </c>
      <c r="M35" s="2">
        <f t="shared" si="19"/>
        <v>1.2500000000000002E-3</v>
      </c>
      <c r="N35" s="2">
        <f t="shared" si="20"/>
        <v>1.8750000000000004E-3</v>
      </c>
      <c r="O35" s="2">
        <f t="shared" si="21"/>
        <v>2.5000000000000005E-3</v>
      </c>
      <c r="P35" s="2">
        <f t="shared" si="22"/>
        <v>3.1250000000000002E-3</v>
      </c>
      <c r="Q35" s="2">
        <f t="shared" si="23"/>
        <v>3.7500000000000007E-3</v>
      </c>
      <c r="R35" s="2">
        <f t="shared" si="25"/>
        <v>4.5833333333333339</v>
      </c>
      <c r="S35" s="2">
        <f t="shared" si="26"/>
        <v>2.0833333333333339</v>
      </c>
      <c r="T35" s="2">
        <f t="shared" si="27"/>
        <v>4.1666666666666679</v>
      </c>
      <c r="U35" s="2">
        <f t="shared" si="28"/>
        <v>6.2500000000000018</v>
      </c>
      <c r="V35" s="2">
        <f t="shared" si="29"/>
        <v>8.3333333333333357</v>
      </c>
      <c r="W35" s="2">
        <f t="shared" si="30"/>
        <v>10.416666666666668</v>
      </c>
      <c r="X35" s="2">
        <f t="shared" si="31"/>
        <v>12.500000000000004</v>
      </c>
      <c r="Y35" s="5" t="str">
        <f t="shared" si="32"/>
        <v>1</v>
      </c>
      <c r="Z35" s="5" t="str">
        <f t="shared" si="33"/>
        <v>1</v>
      </c>
      <c r="AA35" s="5" t="str">
        <f t="shared" si="34"/>
        <v>1</v>
      </c>
      <c r="AB35" s="5" t="str">
        <f t="shared" si="34"/>
        <v>1</v>
      </c>
      <c r="AC35" s="5" t="str">
        <f t="shared" si="34"/>
        <v>1</v>
      </c>
      <c r="AD35" s="5" t="str">
        <f t="shared" si="34"/>
        <v>1</v>
      </c>
      <c r="AE35" s="5" t="str">
        <f t="shared" si="17"/>
        <v>1</v>
      </c>
    </row>
    <row r="36" spans="1:31" ht="14.4" x14ac:dyDescent="0.3">
      <c r="A36" s="14">
        <v>33</v>
      </c>
      <c r="B36" s="24" t="s">
        <v>119</v>
      </c>
      <c r="C36" s="10">
        <v>34</v>
      </c>
      <c r="D36" s="10">
        <v>65</v>
      </c>
      <c r="E36" s="15">
        <v>365</v>
      </c>
      <c r="F36" s="26">
        <v>2.0000000000000001E-4</v>
      </c>
      <c r="G36" s="10">
        <v>1800</v>
      </c>
      <c r="H36" s="12">
        <v>2.9999999999999997E-4</v>
      </c>
      <c r="I36" s="17">
        <v>10950</v>
      </c>
      <c r="J36" s="22">
        <v>34</v>
      </c>
      <c r="K36" s="18">
        <f t="shared" si="24"/>
        <v>6.2769230769230775E-3</v>
      </c>
      <c r="L36" s="2">
        <f t="shared" si="18"/>
        <v>9.2307692307692305E-4</v>
      </c>
      <c r="M36" s="2">
        <f t="shared" si="19"/>
        <v>1.8461538461538461E-3</v>
      </c>
      <c r="N36" s="2">
        <f t="shared" si="20"/>
        <v>2.7692307692307691E-3</v>
      </c>
      <c r="O36" s="2">
        <f t="shared" si="21"/>
        <v>3.6923076923076922E-3</v>
      </c>
      <c r="P36" s="2">
        <f t="shared" si="22"/>
        <v>4.6153846153846158E-3</v>
      </c>
      <c r="Q36" s="2">
        <f t="shared" si="23"/>
        <v>5.5384615384615381E-3</v>
      </c>
      <c r="R36" s="2">
        <f t="shared" si="25"/>
        <v>20.923076923076927</v>
      </c>
      <c r="S36" s="2">
        <f t="shared" si="26"/>
        <v>3.0769230769230771</v>
      </c>
      <c r="T36" s="2">
        <f t="shared" si="27"/>
        <v>6.1538461538461542</v>
      </c>
      <c r="U36" s="2">
        <f t="shared" si="28"/>
        <v>9.2307692307692317</v>
      </c>
      <c r="V36" s="2">
        <f t="shared" si="29"/>
        <v>12.307692307692308</v>
      </c>
      <c r="W36" s="2">
        <f t="shared" si="30"/>
        <v>15.384615384615387</v>
      </c>
      <c r="X36" s="2">
        <f t="shared" si="31"/>
        <v>18.461538461538463</v>
      </c>
      <c r="Y36" s="5" t="str">
        <f t="shared" si="32"/>
        <v>1</v>
      </c>
      <c r="Z36" s="5" t="str">
        <f t="shared" si="33"/>
        <v>1</v>
      </c>
      <c r="AA36" s="5" t="str">
        <f t="shared" si="34"/>
        <v>1</v>
      </c>
      <c r="AB36" s="5" t="str">
        <f t="shared" si="34"/>
        <v>1</v>
      </c>
      <c r="AC36" s="5" t="str">
        <f t="shared" si="34"/>
        <v>1</v>
      </c>
      <c r="AD36" s="5" t="str">
        <f t="shared" si="34"/>
        <v>1</v>
      </c>
      <c r="AE36" s="5" t="str">
        <f t="shared" si="17"/>
        <v>1</v>
      </c>
    </row>
    <row r="37" spans="1:31" ht="14.4" x14ac:dyDescent="0.3">
      <c r="A37" s="14">
        <v>34</v>
      </c>
      <c r="B37" s="24" t="s">
        <v>139</v>
      </c>
      <c r="C37" s="10">
        <v>34</v>
      </c>
      <c r="D37" s="10">
        <v>65</v>
      </c>
      <c r="E37" s="16">
        <v>365</v>
      </c>
      <c r="F37" s="26">
        <v>2.0000000000000001E-4</v>
      </c>
      <c r="G37" s="10">
        <v>1800</v>
      </c>
      <c r="H37" s="12">
        <v>2.9999999999999997E-4</v>
      </c>
      <c r="I37" s="17">
        <v>10950</v>
      </c>
      <c r="J37" s="22">
        <v>34</v>
      </c>
      <c r="K37" s="18">
        <f t="shared" si="24"/>
        <v>6.2769230769230775E-3</v>
      </c>
      <c r="L37" s="2">
        <f t="shared" si="18"/>
        <v>9.2307692307692305E-4</v>
      </c>
      <c r="M37" s="2">
        <f t="shared" si="19"/>
        <v>1.8461538461538461E-3</v>
      </c>
      <c r="N37" s="2">
        <f t="shared" si="20"/>
        <v>2.7692307692307691E-3</v>
      </c>
      <c r="O37" s="2">
        <f t="shared" si="21"/>
        <v>3.6923076923076922E-3</v>
      </c>
      <c r="P37" s="2">
        <f t="shared" si="22"/>
        <v>4.6153846153846158E-3</v>
      </c>
      <c r="Q37" s="2">
        <f t="shared" si="23"/>
        <v>5.5384615384615381E-3</v>
      </c>
      <c r="R37" s="2">
        <f t="shared" si="25"/>
        <v>20.923076923076927</v>
      </c>
      <c r="S37" s="2">
        <f t="shared" si="26"/>
        <v>3.0769230769230771</v>
      </c>
      <c r="T37" s="2">
        <f t="shared" si="27"/>
        <v>6.1538461538461542</v>
      </c>
      <c r="U37" s="2">
        <f t="shared" si="28"/>
        <v>9.2307692307692317</v>
      </c>
      <c r="V37" s="2">
        <f t="shared" si="29"/>
        <v>12.307692307692308</v>
      </c>
      <c r="W37" s="2">
        <f t="shared" si="30"/>
        <v>15.384615384615387</v>
      </c>
      <c r="X37" s="2">
        <f t="shared" si="31"/>
        <v>18.461538461538463</v>
      </c>
      <c r="Y37" s="5" t="str">
        <f t="shared" si="32"/>
        <v>1</v>
      </c>
      <c r="Z37" s="5" t="str">
        <f t="shared" si="33"/>
        <v>1</v>
      </c>
      <c r="AA37" s="5" t="str">
        <f t="shared" si="34"/>
        <v>1</v>
      </c>
      <c r="AB37" s="5" t="str">
        <f t="shared" si="34"/>
        <v>1</v>
      </c>
      <c r="AC37" s="5" t="str">
        <f t="shared" si="34"/>
        <v>1</v>
      </c>
      <c r="AD37" s="5" t="str">
        <f t="shared" si="34"/>
        <v>1</v>
      </c>
      <c r="AE37" s="5" t="str">
        <f t="shared" si="17"/>
        <v>1</v>
      </c>
    </row>
    <row r="38" spans="1:31" ht="14.4" x14ac:dyDescent="0.3">
      <c r="A38" s="14">
        <v>35</v>
      </c>
      <c r="B38" s="24" t="s">
        <v>119</v>
      </c>
      <c r="C38" s="10">
        <v>34</v>
      </c>
      <c r="D38" s="10">
        <v>65</v>
      </c>
      <c r="E38" s="16">
        <v>365</v>
      </c>
      <c r="F38" s="26">
        <v>2.0000000000000001E-4</v>
      </c>
      <c r="G38" s="10">
        <v>1800</v>
      </c>
      <c r="H38" s="12">
        <v>2.9999999999999997E-4</v>
      </c>
      <c r="I38" s="17">
        <v>10950</v>
      </c>
      <c r="J38" s="22">
        <v>34</v>
      </c>
      <c r="K38" s="18">
        <f t="shared" si="24"/>
        <v>6.2769230769230775E-3</v>
      </c>
      <c r="L38" s="2">
        <f t="shared" si="18"/>
        <v>9.2307692307692305E-4</v>
      </c>
      <c r="M38" s="2">
        <f t="shared" si="19"/>
        <v>1.8461538461538461E-3</v>
      </c>
      <c r="N38" s="2">
        <f t="shared" si="20"/>
        <v>2.7692307692307691E-3</v>
      </c>
      <c r="O38" s="2">
        <f t="shared" si="21"/>
        <v>3.6923076923076922E-3</v>
      </c>
      <c r="P38" s="2">
        <f t="shared" si="22"/>
        <v>4.6153846153846158E-3</v>
      </c>
      <c r="Q38" s="2">
        <f t="shared" si="23"/>
        <v>5.5384615384615381E-3</v>
      </c>
      <c r="R38" s="2">
        <f t="shared" si="25"/>
        <v>20.923076923076927</v>
      </c>
      <c r="S38" s="2">
        <f t="shared" si="26"/>
        <v>3.0769230769230771</v>
      </c>
      <c r="T38" s="2">
        <f t="shared" si="27"/>
        <v>6.1538461538461542</v>
      </c>
      <c r="U38" s="2">
        <f t="shared" si="28"/>
        <v>9.2307692307692317</v>
      </c>
      <c r="V38" s="2">
        <f t="shared" si="29"/>
        <v>12.307692307692308</v>
      </c>
      <c r="W38" s="2">
        <f t="shared" si="30"/>
        <v>15.384615384615387</v>
      </c>
      <c r="X38" s="2">
        <f t="shared" si="31"/>
        <v>18.461538461538463</v>
      </c>
      <c r="Y38" s="5" t="str">
        <f t="shared" si="32"/>
        <v>1</v>
      </c>
      <c r="Z38" s="5" t="str">
        <f t="shared" si="33"/>
        <v>1</v>
      </c>
      <c r="AA38" s="5" t="str">
        <f t="shared" si="34"/>
        <v>1</v>
      </c>
      <c r="AB38" s="5" t="str">
        <f t="shared" si="34"/>
        <v>1</v>
      </c>
      <c r="AC38" s="5" t="str">
        <f t="shared" si="34"/>
        <v>1</v>
      </c>
      <c r="AD38" s="5" t="str">
        <f t="shared" si="34"/>
        <v>1</v>
      </c>
      <c r="AE38" s="5" t="str">
        <f t="shared" si="17"/>
        <v>1</v>
      </c>
    </row>
    <row r="39" spans="1:31" ht="14.4" x14ac:dyDescent="0.3">
      <c r="A39" s="14">
        <v>36</v>
      </c>
      <c r="B39" s="24" t="s">
        <v>163</v>
      </c>
      <c r="C39" s="10">
        <v>35</v>
      </c>
      <c r="D39" s="10">
        <v>75</v>
      </c>
      <c r="E39" s="16">
        <v>365</v>
      </c>
      <c r="F39" s="26">
        <v>2.0000000000000001E-4</v>
      </c>
      <c r="G39" s="10">
        <v>1200</v>
      </c>
      <c r="H39" s="12">
        <v>2.9999999999999997E-4</v>
      </c>
      <c r="I39" s="17">
        <v>10950</v>
      </c>
      <c r="J39" s="22">
        <v>5</v>
      </c>
      <c r="K39" s="18">
        <f t="shared" si="24"/>
        <v>5.3333333333333336E-4</v>
      </c>
      <c r="L39" s="2">
        <f t="shared" si="18"/>
        <v>5.3333333333333336E-4</v>
      </c>
      <c r="M39" s="2">
        <f t="shared" si="19"/>
        <v>1.0666666666666667E-3</v>
      </c>
      <c r="N39" s="2">
        <f t="shared" si="20"/>
        <v>1.6000000000000003E-3</v>
      </c>
      <c r="O39" s="2">
        <f t="shared" si="21"/>
        <v>2.1333333333333334E-3</v>
      </c>
      <c r="P39" s="2">
        <f t="shared" si="22"/>
        <v>2.6666666666666666E-3</v>
      </c>
      <c r="Q39" s="2">
        <f t="shared" si="23"/>
        <v>3.2000000000000006E-3</v>
      </c>
      <c r="R39" s="2">
        <f t="shared" si="25"/>
        <v>1.7777777777777781</v>
      </c>
      <c r="S39" s="2">
        <f t="shared" si="26"/>
        <v>1.7777777777777781</v>
      </c>
      <c r="T39" s="2">
        <f t="shared" si="27"/>
        <v>3.5555555555555562</v>
      </c>
      <c r="U39" s="2">
        <f t="shared" si="28"/>
        <v>5.3333333333333348</v>
      </c>
      <c r="V39" s="2">
        <f t="shared" si="29"/>
        <v>7.1111111111111125</v>
      </c>
      <c r="W39" s="2">
        <f t="shared" si="30"/>
        <v>8.8888888888888893</v>
      </c>
      <c r="X39" s="2">
        <f t="shared" si="31"/>
        <v>10.66666666666667</v>
      </c>
      <c r="Y39" s="5" t="str">
        <f t="shared" si="32"/>
        <v>1</v>
      </c>
      <c r="Z39" s="5" t="str">
        <f t="shared" si="33"/>
        <v>1</v>
      </c>
      <c r="AA39" s="5" t="str">
        <f t="shared" si="34"/>
        <v>1</v>
      </c>
      <c r="AB39" s="5" t="str">
        <f t="shared" si="34"/>
        <v>1</v>
      </c>
      <c r="AC39" s="5" t="str">
        <f t="shared" si="34"/>
        <v>1</v>
      </c>
      <c r="AD39" s="5" t="str">
        <f t="shared" si="34"/>
        <v>1</v>
      </c>
      <c r="AE39" s="5" t="str">
        <f t="shared" si="17"/>
        <v>1</v>
      </c>
    </row>
    <row r="40" spans="1:31" ht="14.4" x14ac:dyDescent="0.3">
      <c r="A40" s="14">
        <v>37</v>
      </c>
      <c r="B40" s="24" t="s">
        <v>164</v>
      </c>
      <c r="C40" s="10">
        <v>35</v>
      </c>
      <c r="D40" s="10">
        <v>85</v>
      </c>
      <c r="E40" s="16">
        <v>365</v>
      </c>
      <c r="F40" s="26">
        <v>2.0000000000000001E-4</v>
      </c>
      <c r="G40" s="10">
        <v>900</v>
      </c>
      <c r="H40" s="12">
        <v>2.9999999999999997E-4</v>
      </c>
      <c r="I40" s="17">
        <v>10950</v>
      </c>
      <c r="J40" s="22">
        <v>6</v>
      </c>
      <c r="K40" s="18">
        <f t="shared" si="24"/>
        <v>4.2352941176470595E-4</v>
      </c>
      <c r="L40" s="2">
        <f t="shared" si="18"/>
        <v>3.5294117647058826E-4</v>
      </c>
      <c r="M40" s="2">
        <f t="shared" si="19"/>
        <v>7.0588235294117652E-4</v>
      </c>
      <c r="N40" s="2">
        <f t="shared" si="20"/>
        <v>1.0588235294117646E-3</v>
      </c>
      <c r="O40" s="2">
        <f t="shared" si="21"/>
        <v>1.411764705882353E-3</v>
      </c>
      <c r="P40" s="2">
        <f t="shared" si="22"/>
        <v>1.7647058823529412E-3</v>
      </c>
      <c r="Q40" s="2">
        <f t="shared" si="23"/>
        <v>2.1176470588235292E-3</v>
      </c>
      <c r="R40" s="2">
        <f t="shared" si="25"/>
        <v>1.4117647058823533</v>
      </c>
      <c r="S40" s="2">
        <f t="shared" si="26"/>
        <v>1.1764705882352944</v>
      </c>
      <c r="T40" s="2">
        <f t="shared" si="27"/>
        <v>2.3529411764705888</v>
      </c>
      <c r="U40" s="2">
        <f t="shared" si="28"/>
        <v>3.5294117647058822</v>
      </c>
      <c r="V40" s="2">
        <f t="shared" si="29"/>
        <v>4.7058823529411775</v>
      </c>
      <c r="W40" s="2">
        <f t="shared" si="30"/>
        <v>5.882352941176471</v>
      </c>
      <c r="X40" s="2">
        <f t="shared" si="31"/>
        <v>7.0588235294117645</v>
      </c>
      <c r="Y40" s="5" t="str">
        <f t="shared" si="32"/>
        <v>1</v>
      </c>
      <c r="Z40" s="5" t="str">
        <f t="shared" si="33"/>
        <v>1</v>
      </c>
      <c r="AA40" s="5" t="str">
        <f t="shared" si="34"/>
        <v>1</v>
      </c>
      <c r="AB40" s="5" t="str">
        <f t="shared" si="34"/>
        <v>1</v>
      </c>
      <c r="AC40" s="5" t="str">
        <f t="shared" si="34"/>
        <v>1</v>
      </c>
      <c r="AD40" s="5" t="str">
        <f t="shared" si="34"/>
        <v>1</v>
      </c>
      <c r="AE40" s="5" t="str">
        <f t="shared" si="17"/>
        <v>1</v>
      </c>
    </row>
    <row r="41" spans="1:31" ht="14.4" x14ac:dyDescent="0.3">
      <c r="A41" s="14">
        <v>38</v>
      </c>
      <c r="B41" s="24" t="s">
        <v>165</v>
      </c>
      <c r="C41" s="10">
        <v>35</v>
      </c>
      <c r="D41" s="10">
        <v>55</v>
      </c>
      <c r="E41" s="16">
        <v>365</v>
      </c>
      <c r="F41" s="26">
        <v>2.0000000000000001E-4</v>
      </c>
      <c r="G41" s="10">
        <v>900</v>
      </c>
      <c r="H41" s="12">
        <v>2.9999999999999997E-4</v>
      </c>
      <c r="I41" s="17">
        <v>10950</v>
      </c>
      <c r="J41" s="22">
        <v>35</v>
      </c>
      <c r="K41" s="18">
        <f t="shared" si="24"/>
        <v>3.8181818181818182E-3</v>
      </c>
      <c r="L41" s="2">
        <f t="shared" si="18"/>
        <v>5.4545454545454548E-4</v>
      </c>
      <c r="M41" s="2">
        <f t="shared" si="19"/>
        <v>1.090909090909091E-3</v>
      </c>
      <c r="N41" s="2">
        <f t="shared" si="20"/>
        <v>1.6363636363636363E-3</v>
      </c>
      <c r="O41" s="2">
        <f t="shared" si="21"/>
        <v>2.1818181818181819E-3</v>
      </c>
      <c r="P41" s="2">
        <f t="shared" si="22"/>
        <v>2.7272727272727275E-3</v>
      </c>
      <c r="Q41" s="2">
        <f t="shared" si="23"/>
        <v>3.2727272727272726E-3</v>
      </c>
      <c r="R41" s="2">
        <f t="shared" si="25"/>
        <v>12.727272727272728</v>
      </c>
      <c r="S41" s="2">
        <f t="shared" si="26"/>
        <v>1.8181818181818183</v>
      </c>
      <c r="T41" s="2">
        <f t="shared" si="27"/>
        <v>3.6363636363636367</v>
      </c>
      <c r="U41" s="2">
        <f t="shared" si="28"/>
        <v>5.454545454545455</v>
      </c>
      <c r="V41" s="2">
        <f t="shared" si="29"/>
        <v>7.2727272727272734</v>
      </c>
      <c r="W41" s="2">
        <f t="shared" si="30"/>
        <v>9.0909090909090917</v>
      </c>
      <c r="X41" s="2">
        <f t="shared" si="31"/>
        <v>10.90909090909091</v>
      </c>
      <c r="Y41" s="5" t="str">
        <f t="shared" si="32"/>
        <v>1</v>
      </c>
      <c r="Z41" s="5" t="str">
        <f t="shared" si="33"/>
        <v>1</v>
      </c>
      <c r="AA41" s="5" t="str">
        <f t="shared" si="34"/>
        <v>1</v>
      </c>
      <c r="AB41" s="5" t="str">
        <f t="shared" si="34"/>
        <v>1</v>
      </c>
      <c r="AC41" s="5" t="str">
        <f t="shared" si="34"/>
        <v>1</v>
      </c>
      <c r="AD41" s="5" t="str">
        <f t="shared" si="34"/>
        <v>1</v>
      </c>
      <c r="AE41" s="5" t="str">
        <f t="shared" si="17"/>
        <v>1</v>
      </c>
    </row>
    <row r="42" spans="1:31" ht="14.4" x14ac:dyDescent="0.3">
      <c r="A42" s="14">
        <v>39</v>
      </c>
      <c r="B42" s="24" t="s">
        <v>106</v>
      </c>
      <c r="C42" s="10">
        <v>35</v>
      </c>
      <c r="D42" s="10">
        <v>55</v>
      </c>
      <c r="E42" s="16">
        <v>365</v>
      </c>
      <c r="F42" s="26">
        <v>2.0000000000000001E-4</v>
      </c>
      <c r="G42" s="10">
        <v>1200</v>
      </c>
      <c r="H42" s="12">
        <v>2.9999999999999997E-4</v>
      </c>
      <c r="I42" s="17">
        <v>10950</v>
      </c>
      <c r="J42" s="22">
        <v>4</v>
      </c>
      <c r="K42" s="18">
        <f t="shared" si="24"/>
        <v>5.8181818181818183E-4</v>
      </c>
      <c r="L42" s="2">
        <f t="shared" si="18"/>
        <v>7.2727272727272734E-4</v>
      </c>
      <c r="M42" s="2">
        <f t="shared" si="19"/>
        <v>1.4545454545454547E-3</v>
      </c>
      <c r="N42" s="2">
        <f t="shared" si="20"/>
        <v>2.1818181818181823E-3</v>
      </c>
      <c r="O42" s="2">
        <f t="shared" si="21"/>
        <v>2.9090909090909093E-3</v>
      </c>
      <c r="P42" s="2">
        <f t="shared" si="22"/>
        <v>3.6363636363636364E-3</v>
      </c>
      <c r="Q42" s="2">
        <f t="shared" si="23"/>
        <v>4.3636363636363647E-3</v>
      </c>
      <c r="R42" s="2">
        <f t="shared" si="25"/>
        <v>1.9393939393939397</v>
      </c>
      <c r="S42" s="2">
        <f t="shared" si="26"/>
        <v>2.4242424242424248</v>
      </c>
      <c r="T42" s="2">
        <f t="shared" si="27"/>
        <v>4.8484848484848495</v>
      </c>
      <c r="U42" s="2">
        <f t="shared" si="28"/>
        <v>7.2727272727272751</v>
      </c>
      <c r="V42" s="2">
        <f t="shared" si="29"/>
        <v>9.696969696969699</v>
      </c>
      <c r="W42" s="2">
        <f t="shared" si="30"/>
        <v>12.121212121212123</v>
      </c>
      <c r="X42" s="2">
        <f t="shared" si="31"/>
        <v>14.54545454545455</v>
      </c>
      <c r="Y42" s="5" t="str">
        <f t="shared" si="32"/>
        <v>1</v>
      </c>
      <c r="Z42" s="5" t="str">
        <f t="shared" si="33"/>
        <v>1</v>
      </c>
      <c r="AA42" s="5" t="str">
        <f t="shared" si="34"/>
        <v>1</v>
      </c>
      <c r="AB42" s="5" t="str">
        <f t="shared" si="34"/>
        <v>1</v>
      </c>
      <c r="AC42" s="5" t="str">
        <f t="shared" si="34"/>
        <v>1</v>
      </c>
      <c r="AD42" s="5" t="str">
        <f t="shared" si="34"/>
        <v>1</v>
      </c>
      <c r="AE42" s="5" t="str">
        <f t="shared" si="17"/>
        <v>1</v>
      </c>
    </row>
    <row r="43" spans="1:31" ht="14.4" x14ac:dyDescent="0.3">
      <c r="A43" s="14">
        <v>40</v>
      </c>
      <c r="B43" s="24" t="s">
        <v>166</v>
      </c>
      <c r="C43" s="10">
        <v>35</v>
      </c>
      <c r="D43" s="10">
        <v>47</v>
      </c>
      <c r="E43" s="16">
        <v>365</v>
      </c>
      <c r="F43" s="26">
        <v>2.0000000000000001E-4</v>
      </c>
      <c r="G43" s="10">
        <v>1200</v>
      </c>
      <c r="H43" s="12">
        <v>2.9999999999999997E-4</v>
      </c>
      <c r="I43" s="17">
        <v>10950</v>
      </c>
      <c r="J43" s="22">
        <v>20</v>
      </c>
      <c r="K43" s="18">
        <f t="shared" si="24"/>
        <v>3.4042553191489366E-3</v>
      </c>
      <c r="L43" s="2">
        <f t="shared" si="18"/>
        <v>8.5106382978723414E-4</v>
      </c>
      <c r="M43" s="2">
        <f t="shared" si="19"/>
        <v>1.7021276595744683E-3</v>
      </c>
      <c r="N43" s="2">
        <f t="shared" si="20"/>
        <v>2.5531914893617024E-3</v>
      </c>
      <c r="O43" s="2">
        <f t="shared" si="21"/>
        <v>3.4042553191489366E-3</v>
      </c>
      <c r="P43" s="2">
        <f t="shared" si="22"/>
        <v>4.2553191489361703E-3</v>
      </c>
      <c r="Q43" s="2">
        <f t="shared" si="23"/>
        <v>5.1063829787234049E-3</v>
      </c>
      <c r="R43" s="2">
        <f t="shared" si="25"/>
        <v>11.347517730496456</v>
      </c>
      <c r="S43" s="2">
        <f>L43/H43</f>
        <v>2.836879432624114</v>
      </c>
      <c r="T43" s="2">
        <f t="shared" si="27"/>
        <v>5.673758865248228</v>
      </c>
      <c r="U43" s="2">
        <f t="shared" si="28"/>
        <v>8.5106382978723421</v>
      </c>
      <c r="V43" s="2">
        <f t="shared" si="29"/>
        <v>11.347517730496456</v>
      </c>
      <c r="W43" s="2">
        <f t="shared" si="30"/>
        <v>14.184397163120568</v>
      </c>
      <c r="X43" s="2">
        <f t="shared" si="31"/>
        <v>17.021276595744684</v>
      </c>
      <c r="Y43" s="5" t="str">
        <f t="shared" si="32"/>
        <v>1</v>
      </c>
      <c r="Z43" s="5" t="str">
        <f t="shared" si="33"/>
        <v>1</v>
      </c>
      <c r="AA43" s="5" t="str">
        <f t="shared" si="34"/>
        <v>1</v>
      </c>
      <c r="AB43" s="5" t="str">
        <f t="shared" si="34"/>
        <v>1</v>
      </c>
      <c r="AC43" s="5" t="str">
        <f t="shared" si="34"/>
        <v>1</v>
      </c>
      <c r="AD43" s="5" t="str">
        <f t="shared" si="34"/>
        <v>1</v>
      </c>
      <c r="AE43" s="5" t="str">
        <f t="shared" si="17"/>
        <v>1</v>
      </c>
    </row>
    <row r="44" spans="1:31" ht="14.4" x14ac:dyDescent="0.3">
      <c r="A44" s="14">
        <v>41</v>
      </c>
      <c r="B44" s="24" t="s">
        <v>118</v>
      </c>
      <c r="C44" s="10">
        <v>35</v>
      </c>
      <c r="D44" s="10">
        <v>75</v>
      </c>
      <c r="E44" s="16">
        <v>365</v>
      </c>
      <c r="F44" s="26">
        <v>2.0000000000000001E-4</v>
      </c>
      <c r="G44" s="10">
        <v>1200</v>
      </c>
      <c r="H44" s="12">
        <v>2.9999999999999997E-4</v>
      </c>
      <c r="I44" s="17">
        <v>10950</v>
      </c>
      <c r="J44" s="22">
        <v>5</v>
      </c>
      <c r="K44" s="18">
        <f t="shared" si="24"/>
        <v>5.3333333333333336E-4</v>
      </c>
      <c r="L44" s="2">
        <f t="shared" si="18"/>
        <v>5.3333333333333336E-4</v>
      </c>
      <c r="M44" s="2">
        <f t="shared" si="19"/>
        <v>1.0666666666666667E-3</v>
      </c>
      <c r="N44" s="2">
        <f t="shared" si="20"/>
        <v>1.6000000000000003E-3</v>
      </c>
      <c r="O44" s="2">
        <f t="shared" si="21"/>
        <v>2.1333333333333334E-3</v>
      </c>
      <c r="P44" s="2">
        <f t="shared" si="22"/>
        <v>2.6666666666666666E-3</v>
      </c>
      <c r="Q44" s="2">
        <f t="shared" si="23"/>
        <v>3.2000000000000006E-3</v>
      </c>
      <c r="R44" s="2">
        <f t="shared" si="25"/>
        <v>1.7777777777777781</v>
      </c>
      <c r="S44" s="2">
        <f t="shared" ref="S44:S53" si="35">L44/H44</f>
        <v>1.7777777777777781</v>
      </c>
      <c r="T44" s="2">
        <f t="shared" si="27"/>
        <v>3.5555555555555562</v>
      </c>
      <c r="U44" s="2">
        <f>N44/H44</f>
        <v>5.3333333333333348</v>
      </c>
      <c r="V44" s="2">
        <f>O44/H44</f>
        <v>7.1111111111111125</v>
      </c>
      <c r="W44" s="2">
        <f>P44/H44</f>
        <v>8.8888888888888893</v>
      </c>
      <c r="X44" s="2">
        <f>Q44/H44</f>
        <v>10.66666666666667</v>
      </c>
      <c r="Y44" s="5" t="str">
        <f t="shared" si="32"/>
        <v>1</v>
      </c>
      <c r="Z44" s="5" t="str">
        <f t="shared" ref="Z44:Z53" si="36">IF(S44&gt;1,"1","2")</f>
        <v>1</v>
      </c>
      <c r="AA44" s="5" t="str">
        <f t="shared" ref="AA44:AA53" si="37">IF(T44&gt;1,"1","2")</f>
        <v>1</v>
      </c>
      <c r="AB44" s="5" t="str">
        <f t="shared" ref="AB44:AB53" si="38">IF(U44&gt;1,"1","2")</f>
        <v>1</v>
      </c>
      <c r="AC44" s="5" t="str">
        <f t="shared" ref="AC44:AC53" si="39">IF(V44&gt;1,"1","2")</f>
        <v>1</v>
      </c>
      <c r="AD44" s="5" t="str">
        <f t="shared" ref="AD44:AD53" si="40">IF(W44&gt;1,"1","2")</f>
        <v>1</v>
      </c>
      <c r="AE44" s="5" t="str">
        <f t="shared" ref="AE44:AE53" si="41">IF(X44&gt;1,"1","2")</f>
        <v>1</v>
      </c>
    </row>
    <row r="45" spans="1:31" ht="14.4" x14ac:dyDescent="0.3">
      <c r="A45" s="14">
        <v>42</v>
      </c>
      <c r="B45" s="24" t="s">
        <v>130</v>
      </c>
      <c r="C45" s="10">
        <v>35</v>
      </c>
      <c r="D45" s="10">
        <v>47</v>
      </c>
      <c r="E45" s="16">
        <v>365</v>
      </c>
      <c r="F45" s="26">
        <v>2.0000000000000001E-4</v>
      </c>
      <c r="G45" s="10">
        <v>1200</v>
      </c>
      <c r="H45" s="12">
        <v>2.9999999999999997E-4</v>
      </c>
      <c r="I45" s="17">
        <v>10950</v>
      </c>
      <c r="J45" s="22">
        <v>20</v>
      </c>
      <c r="K45" s="18">
        <f t="shared" si="24"/>
        <v>3.4042553191489366E-3</v>
      </c>
      <c r="L45" s="2">
        <f t="shared" si="18"/>
        <v>8.5106382978723414E-4</v>
      </c>
      <c r="M45" s="2">
        <f t="shared" si="19"/>
        <v>1.7021276595744683E-3</v>
      </c>
      <c r="N45" s="2">
        <f t="shared" si="20"/>
        <v>2.5531914893617024E-3</v>
      </c>
      <c r="O45" s="2">
        <f t="shared" si="21"/>
        <v>3.4042553191489366E-3</v>
      </c>
      <c r="P45" s="2">
        <f t="shared" si="22"/>
        <v>4.2553191489361703E-3</v>
      </c>
      <c r="Q45" s="2">
        <f t="shared" si="23"/>
        <v>5.1063829787234049E-3</v>
      </c>
      <c r="R45" s="2">
        <f t="shared" si="25"/>
        <v>11.347517730496456</v>
      </c>
      <c r="S45" s="2">
        <f t="shared" si="35"/>
        <v>2.836879432624114</v>
      </c>
      <c r="T45" s="2">
        <f t="shared" si="27"/>
        <v>5.673758865248228</v>
      </c>
      <c r="U45" s="2">
        <f>N45/H45</f>
        <v>8.5106382978723421</v>
      </c>
      <c r="V45" s="2">
        <f>O45/H45</f>
        <v>11.347517730496456</v>
      </c>
      <c r="W45" s="2">
        <f>P45/H45</f>
        <v>14.184397163120568</v>
      </c>
      <c r="X45" s="2">
        <f>Q45/H45</f>
        <v>17.021276595744684</v>
      </c>
      <c r="Y45" s="5" t="str">
        <f t="shared" si="32"/>
        <v>1</v>
      </c>
      <c r="Z45" s="5" t="str">
        <f t="shared" si="36"/>
        <v>1</v>
      </c>
      <c r="AA45" s="5" t="str">
        <f t="shared" si="37"/>
        <v>1</v>
      </c>
      <c r="AB45" s="5" t="str">
        <f t="shared" si="38"/>
        <v>1</v>
      </c>
      <c r="AC45" s="5" t="str">
        <f t="shared" si="39"/>
        <v>1</v>
      </c>
      <c r="AD45" s="5" t="str">
        <f t="shared" si="40"/>
        <v>1</v>
      </c>
      <c r="AE45" s="5" t="str">
        <f t="shared" si="41"/>
        <v>1</v>
      </c>
    </row>
    <row r="46" spans="1:31" ht="14.4" x14ac:dyDescent="0.3">
      <c r="A46" s="14">
        <v>43</v>
      </c>
      <c r="B46" s="24" t="s">
        <v>138</v>
      </c>
      <c r="C46" s="10">
        <v>35</v>
      </c>
      <c r="D46" s="10">
        <v>75</v>
      </c>
      <c r="E46" s="16">
        <v>365</v>
      </c>
      <c r="F46" s="26">
        <v>2.0000000000000001E-4</v>
      </c>
      <c r="G46" s="10">
        <v>1200</v>
      </c>
      <c r="H46" s="12">
        <v>2.9999999999999997E-4</v>
      </c>
      <c r="I46" s="17">
        <v>10950</v>
      </c>
      <c r="J46" s="22">
        <v>5</v>
      </c>
      <c r="K46" s="18">
        <f t="shared" si="24"/>
        <v>5.3333333333333336E-4</v>
      </c>
      <c r="L46" s="2">
        <f>(F46*G46*E46*5)/(D46*I46)</f>
        <v>5.3333333333333336E-4</v>
      </c>
      <c r="M46" s="2">
        <f t="shared" si="19"/>
        <v>1.0666666666666667E-3</v>
      </c>
      <c r="N46" s="2">
        <f t="shared" si="20"/>
        <v>1.6000000000000003E-3</v>
      </c>
      <c r="O46" s="2">
        <f t="shared" si="21"/>
        <v>2.1333333333333334E-3</v>
      </c>
      <c r="P46" s="2">
        <f t="shared" si="22"/>
        <v>2.6666666666666666E-3</v>
      </c>
      <c r="Q46" s="2">
        <f t="shared" si="23"/>
        <v>3.2000000000000006E-3</v>
      </c>
      <c r="R46" s="2">
        <f t="shared" si="25"/>
        <v>1.7777777777777781</v>
      </c>
      <c r="S46" s="2">
        <f t="shared" si="35"/>
        <v>1.7777777777777781</v>
      </c>
      <c r="T46" s="2">
        <f t="shared" si="27"/>
        <v>3.5555555555555562</v>
      </c>
      <c r="U46" s="2">
        <f t="shared" ref="U46:U53" si="42">N46/H46</f>
        <v>5.3333333333333348</v>
      </c>
      <c r="V46" s="2">
        <f t="shared" ref="V46:V53" si="43">O46/H46</f>
        <v>7.1111111111111125</v>
      </c>
      <c r="W46" s="2">
        <f t="shared" ref="W46:W53" si="44">P46/H46</f>
        <v>8.8888888888888893</v>
      </c>
      <c r="X46" s="2">
        <f t="shared" ref="X46:X53" si="45">Q46/H46</f>
        <v>10.66666666666667</v>
      </c>
      <c r="Y46" s="5" t="str">
        <f t="shared" si="32"/>
        <v>1</v>
      </c>
      <c r="Z46" s="5" t="str">
        <f t="shared" si="36"/>
        <v>1</v>
      </c>
      <c r="AA46" s="5" t="str">
        <f t="shared" si="37"/>
        <v>1</v>
      </c>
      <c r="AB46" s="5" t="str">
        <f t="shared" si="38"/>
        <v>1</v>
      </c>
      <c r="AC46" s="5" t="str">
        <f t="shared" si="39"/>
        <v>1</v>
      </c>
      <c r="AD46" s="5" t="str">
        <f t="shared" si="40"/>
        <v>1</v>
      </c>
      <c r="AE46" s="5" t="str">
        <f t="shared" si="41"/>
        <v>1</v>
      </c>
    </row>
    <row r="47" spans="1:31" ht="14.4" x14ac:dyDescent="0.3">
      <c r="A47" s="14">
        <v>44</v>
      </c>
      <c r="B47" s="24" t="s">
        <v>167</v>
      </c>
      <c r="C47" s="10">
        <v>37</v>
      </c>
      <c r="D47" s="10">
        <v>85</v>
      </c>
      <c r="E47" s="16">
        <v>365</v>
      </c>
      <c r="F47" s="26">
        <v>2.0000000000000001E-4</v>
      </c>
      <c r="G47" s="10">
        <v>1500</v>
      </c>
      <c r="H47" s="12">
        <v>2.9999999999999997E-4</v>
      </c>
      <c r="I47" s="17">
        <v>10950</v>
      </c>
      <c r="J47" s="22">
        <v>6</v>
      </c>
      <c r="K47" s="18">
        <f t="shared" si="24"/>
        <v>7.0588235294117652E-4</v>
      </c>
      <c r="L47" s="2">
        <f t="shared" ref="L47:L53" si="46">(F47*G47*E47*5)/(D47*I47)</f>
        <v>5.8823529411764701E-4</v>
      </c>
      <c r="M47" s="2">
        <f t="shared" si="19"/>
        <v>1.176470588235294E-3</v>
      </c>
      <c r="N47" s="2">
        <f t="shared" si="20"/>
        <v>1.7647058823529412E-3</v>
      </c>
      <c r="O47" s="2">
        <f t="shared" si="21"/>
        <v>2.352941176470588E-3</v>
      </c>
      <c r="P47" s="2">
        <f t="shared" si="22"/>
        <v>2.9411764705882353E-3</v>
      </c>
      <c r="Q47" s="2">
        <f t="shared" si="23"/>
        <v>3.5294117647058825E-3</v>
      </c>
      <c r="R47" s="2">
        <f t="shared" si="25"/>
        <v>2.3529411764705888</v>
      </c>
      <c r="S47" s="2">
        <f t="shared" si="35"/>
        <v>1.9607843137254901</v>
      </c>
      <c r="T47" s="2">
        <f t="shared" si="27"/>
        <v>3.9215686274509802</v>
      </c>
      <c r="U47" s="2">
        <f t="shared" si="42"/>
        <v>5.882352941176471</v>
      </c>
      <c r="V47" s="2">
        <f t="shared" si="43"/>
        <v>7.8431372549019605</v>
      </c>
      <c r="W47" s="2">
        <f t="shared" si="44"/>
        <v>9.8039215686274517</v>
      </c>
      <c r="X47" s="2">
        <f t="shared" si="45"/>
        <v>11.764705882352942</v>
      </c>
      <c r="Y47" s="5" t="str">
        <f t="shared" si="32"/>
        <v>1</v>
      </c>
      <c r="Z47" s="5" t="str">
        <f t="shared" si="36"/>
        <v>1</v>
      </c>
      <c r="AA47" s="5" t="str">
        <f t="shared" si="37"/>
        <v>1</v>
      </c>
      <c r="AB47" s="5" t="str">
        <f t="shared" si="38"/>
        <v>1</v>
      </c>
      <c r="AC47" s="5" t="str">
        <f t="shared" si="39"/>
        <v>1</v>
      </c>
      <c r="AD47" s="5" t="str">
        <f t="shared" si="40"/>
        <v>1</v>
      </c>
      <c r="AE47" s="5" t="str">
        <f t="shared" si="41"/>
        <v>1</v>
      </c>
    </row>
    <row r="48" spans="1:31" ht="14.4" x14ac:dyDescent="0.3">
      <c r="A48" s="14">
        <v>45</v>
      </c>
      <c r="B48" s="24" t="s">
        <v>168</v>
      </c>
      <c r="C48" s="10">
        <v>37</v>
      </c>
      <c r="D48" s="10">
        <v>60</v>
      </c>
      <c r="E48" s="16">
        <v>365</v>
      </c>
      <c r="F48" s="26">
        <v>2.0000000000000001E-4</v>
      </c>
      <c r="G48" s="10">
        <v>2400</v>
      </c>
      <c r="H48" s="12">
        <v>2.9999999999999997E-4</v>
      </c>
      <c r="I48" s="17">
        <v>10950</v>
      </c>
      <c r="J48" s="22">
        <v>19</v>
      </c>
      <c r="K48" s="18">
        <f t="shared" si="24"/>
        <v>5.0666666666666672E-3</v>
      </c>
      <c r="L48" s="2">
        <f t="shared" si="46"/>
        <v>1.3333333333333335E-3</v>
      </c>
      <c r="M48" s="2">
        <f t="shared" si="19"/>
        <v>2.666666666666667E-3</v>
      </c>
      <c r="N48" s="2">
        <f t="shared" si="20"/>
        <v>4.000000000000001E-3</v>
      </c>
      <c r="O48" s="2">
        <f t="shared" si="21"/>
        <v>5.333333333333334E-3</v>
      </c>
      <c r="P48" s="2">
        <f t="shared" si="22"/>
        <v>6.6666666666666671E-3</v>
      </c>
      <c r="Q48" s="2">
        <f t="shared" si="23"/>
        <v>8.0000000000000019E-3</v>
      </c>
      <c r="R48" s="2">
        <f t="shared" si="25"/>
        <v>16.888888888888893</v>
      </c>
      <c r="S48" s="2">
        <f t="shared" si="35"/>
        <v>4.4444444444444455</v>
      </c>
      <c r="T48" s="2">
        <f t="shared" si="27"/>
        <v>8.8888888888888911</v>
      </c>
      <c r="U48" s="2">
        <f t="shared" si="42"/>
        <v>13.333333333333337</v>
      </c>
      <c r="V48" s="2">
        <f t="shared" si="43"/>
        <v>17.777777777777782</v>
      </c>
      <c r="W48" s="2">
        <f t="shared" si="44"/>
        <v>22.222222222222225</v>
      </c>
      <c r="X48" s="2">
        <f t="shared" si="45"/>
        <v>26.666666666666675</v>
      </c>
      <c r="Y48" s="5" t="str">
        <f t="shared" si="32"/>
        <v>1</v>
      </c>
      <c r="Z48" s="5" t="str">
        <f t="shared" si="36"/>
        <v>1</v>
      </c>
      <c r="AA48" s="5" t="str">
        <f t="shared" si="37"/>
        <v>1</v>
      </c>
      <c r="AB48" s="5" t="str">
        <f t="shared" si="38"/>
        <v>1</v>
      </c>
      <c r="AC48" s="5" t="str">
        <f t="shared" si="39"/>
        <v>1</v>
      </c>
      <c r="AD48" s="5" t="str">
        <f t="shared" si="40"/>
        <v>1</v>
      </c>
      <c r="AE48" s="5" t="str">
        <f t="shared" si="41"/>
        <v>1</v>
      </c>
    </row>
    <row r="49" spans="1:31" ht="14.4" x14ac:dyDescent="0.3">
      <c r="A49" s="14">
        <v>46</v>
      </c>
      <c r="B49" s="24" t="s">
        <v>125</v>
      </c>
      <c r="C49" s="10">
        <v>37</v>
      </c>
      <c r="D49" s="10">
        <v>85</v>
      </c>
      <c r="E49" s="16">
        <v>365</v>
      </c>
      <c r="F49" s="26">
        <v>2.0000000000000001E-4</v>
      </c>
      <c r="G49" s="10">
        <v>1500</v>
      </c>
      <c r="H49" s="12">
        <v>2.9999999999999997E-4</v>
      </c>
      <c r="I49" s="17">
        <v>10950</v>
      </c>
      <c r="J49" s="22">
        <v>6</v>
      </c>
      <c r="K49" s="18">
        <f t="shared" si="24"/>
        <v>7.0588235294117652E-4</v>
      </c>
      <c r="L49" s="2">
        <f t="shared" si="46"/>
        <v>5.8823529411764701E-4</v>
      </c>
      <c r="M49" s="2">
        <f t="shared" si="19"/>
        <v>1.176470588235294E-3</v>
      </c>
      <c r="N49" s="2">
        <f t="shared" si="20"/>
        <v>1.7647058823529412E-3</v>
      </c>
      <c r="O49" s="2">
        <f t="shared" si="21"/>
        <v>2.352941176470588E-3</v>
      </c>
      <c r="P49" s="2">
        <f t="shared" si="22"/>
        <v>2.9411764705882353E-3</v>
      </c>
      <c r="Q49" s="2">
        <f t="shared" si="23"/>
        <v>3.5294117647058825E-3</v>
      </c>
      <c r="R49" s="2">
        <f t="shared" si="25"/>
        <v>2.3529411764705888</v>
      </c>
      <c r="S49" s="2">
        <f t="shared" si="35"/>
        <v>1.9607843137254901</v>
      </c>
      <c r="T49" s="2">
        <f t="shared" si="27"/>
        <v>3.9215686274509802</v>
      </c>
      <c r="U49" s="2">
        <f t="shared" si="42"/>
        <v>5.882352941176471</v>
      </c>
      <c r="V49" s="2">
        <f t="shared" si="43"/>
        <v>7.8431372549019605</v>
      </c>
      <c r="W49" s="2">
        <f t="shared" si="44"/>
        <v>9.8039215686274517</v>
      </c>
      <c r="X49" s="2">
        <f t="shared" si="45"/>
        <v>11.764705882352942</v>
      </c>
      <c r="Y49" s="5" t="str">
        <f t="shared" si="32"/>
        <v>1</v>
      </c>
      <c r="Z49" s="5" t="str">
        <f t="shared" si="36"/>
        <v>1</v>
      </c>
      <c r="AA49" s="5" t="str">
        <f t="shared" si="37"/>
        <v>1</v>
      </c>
      <c r="AB49" s="5" t="str">
        <f t="shared" si="38"/>
        <v>1</v>
      </c>
      <c r="AC49" s="5" t="str">
        <f t="shared" si="39"/>
        <v>1</v>
      </c>
      <c r="AD49" s="5" t="str">
        <f t="shared" si="40"/>
        <v>1</v>
      </c>
      <c r="AE49" s="5" t="str">
        <f t="shared" si="41"/>
        <v>1</v>
      </c>
    </row>
    <row r="50" spans="1:31" ht="14.4" x14ac:dyDescent="0.3">
      <c r="A50" s="14">
        <v>47</v>
      </c>
      <c r="B50" s="24" t="s">
        <v>128</v>
      </c>
      <c r="C50" s="10">
        <v>37</v>
      </c>
      <c r="D50" s="10">
        <v>60</v>
      </c>
      <c r="E50" s="16">
        <v>365</v>
      </c>
      <c r="F50" s="26">
        <v>2.0000000000000001E-4</v>
      </c>
      <c r="G50" s="10">
        <v>2400</v>
      </c>
      <c r="H50" s="12">
        <v>2.9999999999999997E-4</v>
      </c>
      <c r="I50" s="17">
        <v>10950</v>
      </c>
      <c r="J50" s="22">
        <v>19</v>
      </c>
      <c r="K50" s="18">
        <f t="shared" si="24"/>
        <v>5.0666666666666672E-3</v>
      </c>
      <c r="L50" s="2">
        <f t="shared" si="46"/>
        <v>1.3333333333333335E-3</v>
      </c>
      <c r="M50" s="2">
        <f t="shared" si="19"/>
        <v>2.666666666666667E-3</v>
      </c>
      <c r="N50" s="2">
        <f t="shared" si="20"/>
        <v>4.000000000000001E-3</v>
      </c>
      <c r="O50" s="2">
        <f t="shared" si="21"/>
        <v>5.333333333333334E-3</v>
      </c>
      <c r="P50" s="2">
        <f t="shared" si="22"/>
        <v>6.6666666666666671E-3</v>
      </c>
      <c r="Q50" s="2">
        <f t="shared" si="23"/>
        <v>8.0000000000000019E-3</v>
      </c>
      <c r="R50" s="2">
        <f t="shared" si="25"/>
        <v>16.888888888888893</v>
      </c>
      <c r="S50" s="2">
        <f t="shared" si="35"/>
        <v>4.4444444444444455</v>
      </c>
      <c r="T50" s="2">
        <f t="shared" si="27"/>
        <v>8.8888888888888911</v>
      </c>
      <c r="U50" s="2">
        <f t="shared" si="42"/>
        <v>13.333333333333337</v>
      </c>
      <c r="V50" s="2">
        <f t="shared" si="43"/>
        <v>17.777777777777782</v>
      </c>
      <c r="W50" s="2">
        <f t="shared" si="44"/>
        <v>22.222222222222225</v>
      </c>
      <c r="X50" s="2">
        <f t="shared" si="45"/>
        <v>26.666666666666675</v>
      </c>
      <c r="Y50" s="5" t="str">
        <f t="shared" si="32"/>
        <v>1</v>
      </c>
      <c r="Z50" s="5" t="str">
        <f t="shared" si="36"/>
        <v>1</v>
      </c>
      <c r="AA50" s="5" t="str">
        <f t="shared" si="37"/>
        <v>1</v>
      </c>
      <c r="AB50" s="5" t="str">
        <f t="shared" si="38"/>
        <v>1</v>
      </c>
      <c r="AC50" s="5" t="str">
        <f t="shared" si="39"/>
        <v>1</v>
      </c>
      <c r="AD50" s="5" t="str">
        <f t="shared" si="40"/>
        <v>1</v>
      </c>
      <c r="AE50" s="5" t="str">
        <f t="shared" si="41"/>
        <v>1</v>
      </c>
    </row>
    <row r="51" spans="1:31" ht="14.4" x14ac:dyDescent="0.3">
      <c r="A51" s="14">
        <v>48</v>
      </c>
      <c r="B51" s="24" t="s">
        <v>169</v>
      </c>
      <c r="C51" s="10">
        <v>38</v>
      </c>
      <c r="D51" s="10">
        <v>43</v>
      </c>
      <c r="E51" s="16">
        <v>365</v>
      </c>
      <c r="F51" s="26">
        <v>2.0000000000000001E-4</v>
      </c>
      <c r="G51" s="10">
        <v>2100</v>
      </c>
      <c r="H51" s="12">
        <v>2.9999999999999997E-4</v>
      </c>
      <c r="I51" s="17">
        <v>10950</v>
      </c>
      <c r="J51" s="22">
        <v>11</v>
      </c>
      <c r="K51" s="18">
        <f t="shared" si="24"/>
        <v>3.5813953488372098E-3</v>
      </c>
      <c r="L51" s="2">
        <f t="shared" si="46"/>
        <v>1.6279069767441861E-3</v>
      </c>
      <c r="M51" s="2">
        <f t="shared" si="19"/>
        <v>3.2558139534883722E-3</v>
      </c>
      <c r="N51" s="2">
        <f t="shared" si="20"/>
        <v>4.8837209302325579E-3</v>
      </c>
      <c r="O51" s="2">
        <f t="shared" si="21"/>
        <v>6.5116279069767444E-3</v>
      </c>
      <c r="P51" s="2">
        <f t="shared" si="22"/>
        <v>8.1395348837209319E-3</v>
      </c>
      <c r="Q51" s="2">
        <f t="shared" si="23"/>
        <v>9.7674418604651158E-3</v>
      </c>
      <c r="R51" s="2">
        <f t="shared" si="25"/>
        <v>11.937984496124034</v>
      </c>
      <c r="S51" s="2">
        <f t="shared" si="35"/>
        <v>5.4263565891472876</v>
      </c>
      <c r="T51" s="2">
        <f t="shared" si="27"/>
        <v>10.852713178294575</v>
      </c>
      <c r="U51" s="2">
        <f t="shared" si="42"/>
        <v>16.279069767441861</v>
      </c>
      <c r="V51" s="2">
        <f t="shared" si="43"/>
        <v>21.70542635658915</v>
      </c>
      <c r="W51" s="2">
        <f t="shared" si="44"/>
        <v>27.131782945736443</v>
      </c>
      <c r="X51" s="2">
        <f t="shared" si="45"/>
        <v>32.558139534883722</v>
      </c>
      <c r="Y51" s="5" t="str">
        <f t="shared" si="32"/>
        <v>1</v>
      </c>
      <c r="Z51" s="5" t="str">
        <f t="shared" si="36"/>
        <v>1</v>
      </c>
      <c r="AA51" s="5" t="str">
        <f t="shared" si="37"/>
        <v>1</v>
      </c>
      <c r="AB51" s="5" t="str">
        <f t="shared" si="38"/>
        <v>1</v>
      </c>
      <c r="AC51" s="5" t="str">
        <f t="shared" si="39"/>
        <v>1</v>
      </c>
      <c r="AD51" s="5" t="str">
        <f t="shared" si="40"/>
        <v>1</v>
      </c>
      <c r="AE51" s="5" t="str">
        <f t="shared" si="41"/>
        <v>1</v>
      </c>
    </row>
    <row r="52" spans="1:31" ht="14.4" x14ac:dyDescent="0.3">
      <c r="A52" s="14">
        <v>49</v>
      </c>
      <c r="B52" s="24" t="s">
        <v>170</v>
      </c>
      <c r="C52" s="10">
        <v>38</v>
      </c>
      <c r="D52" s="10">
        <v>50</v>
      </c>
      <c r="E52" s="16">
        <v>365</v>
      </c>
      <c r="F52" s="26">
        <v>2.0000000000000001E-4</v>
      </c>
      <c r="G52" s="10">
        <v>900</v>
      </c>
      <c r="H52" s="12">
        <v>2.9999999999999997E-4</v>
      </c>
      <c r="I52" s="17">
        <v>10950</v>
      </c>
      <c r="J52" s="22">
        <v>1</v>
      </c>
      <c r="K52" s="18">
        <f t="shared" si="24"/>
        <v>1.2E-4</v>
      </c>
      <c r="L52" s="2">
        <f t="shared" si="46"/>
        <v>5.9999999999999995E-4</v>
      </c>
      <c r="M52" s="2">
        <f t="shared" si="19"/>
        <v>1.1999999999999999E-3</v>
      </c>
      <c r="N52" s="2">
        <f t="shared" si="20"/>
        <v>1.8E-3</v>
      </c>
      <c r="O52" s="2">
        <f t="shared" si="21"/>
        <v>2.3999999999999998E-3</v>
      </c>
      <c r="P52" s="2">
        <f t="shared" si="22"/>
        <v>3.0000000000000001E-3</v>
      </c>
      <c r="Q52" s="2">
        <f t="shared" si="23"/>
        <v>3.5999999999999999E-3</v>
      </c>
      <c r="R52" s="2">
        <f t="shared" si="25"/>
        <v>0.4</v>
      </c>
      <c r="S52" s="2">
        <f t="shared" si="35"/>
        <v>2</v>
      </c>
      <c r="T52" s="2">
        <f t="shared" si="27"/>
        <v>4</v>
      </c>
      <c r="U52" s="2">
        <f t="shared" si="42"/>
        <v>6</v>
      </c>
      <c r="V52" s="2">
        <f t="shared" si="43"/>
        <v>8</v>
      </c>
      <c r="W52" s="2">
        <f t="shared" si="44"/>
        <v>10.000000000000002</v>
      </c>
      <c r="X52" s="2">
        <f t="shared" si="45"/>
        <v>12</v>
      </c>
      <c r="Y52" s="5" t="str">
        <f t="shared" si="32"/>
        <v>2</v>
      </c>
      <c r="Z52" s="5" t="str">
        <f t="shared" si="36"/>
        <v>1</v>
      </c>
      <c r="AA52" s="5" t="str">
        <f t="shared" si="37"/>
        <v>1</v>
      </c>
      <c r="AB52" s="5" t="str">
        <f t="shared" si="38"/>
        <v>1</v>
      </c>
      <c r="AC52" s="5" t="str">
        <f t="shared" si="39"/>
        <v>1</v>
      </c>
      <c r="AD52" s="5" t="str">
        <f t="shared" si="40"/>
        <v>1</v>
      </c>
      <c r="AE52" s="5" t="str">
        <f t="shared" si="41"/>
        <v>1</v>
      </c>
    </row>
    <row r="53" spans="1:31" ht="14.4" x14ac:dyDescent="0.3">
      <c r="A53" s="14">
        <v>50</v>
      </c>
      <c r="B53" s="24" t="s">
        <v>121</v>
      </c>
      <c r="C53" s="10">
        <v>38</v>
      </c>
      <c r="D53" s="10">
        <v>43</v>
      </c>
      <c r="E53" s="16">
        <v>365</v>
      </c>
      <c r="F53" s="26">
        <v>2.0000000000000001E-4</v>
      </c>
      <c r="G53" s="10">
        <v>2100</v>
      </c>
      <c r="H53" s="12">
        <v>2.9999999999999997E-4</v>
      </c>
      <c r="I53" s="17">
        <v>10950</v>
      </c>
      <c r="J53" s="22">
        <v>11</v>
      </c>
      <c r="K53" s="18">
        <f t="shared" si="24"/>
        <v>3.5813953488372098E-3</v>
      </c>
      <c r="L53" s="2">
        <f t="shared" si="46"/>
        <v>1.6279069767441861E-3</v>
      </c>
      <c r="M53" s="2">
        <f t="shared" si="19"/>
        <v>3.2558139534883722E-3</v>
      </c>
      <c r="N53" s="2">
        <f t="shared" si="20"/>
        <v>4.8837209302325579E-3</v>
      </c>
      <c r="O53" s="2">
        <f t="shared" si="21"/>
        <v>6.5116279069767444E-3</v>
      </c>
      <c r="P53" s="2">
        <f t="shared" si="22"/>
        <v>8.1395348837209319E-3</v>
      </c>
      <c r="Q53" s="2">
        <f t="shared" si="23"/>
        <v>9.7674418604651158E-3</v>
      </c>
      <c r="R53" s="2">
        <f t="shared" si="25"/>
        <v>11.937984496124034</v>
      </c>
      <c r="S53" s="2">
        <f t="shared" si="35"/>
        <v>5.4263565891472876</v>
      </c>
      <c r="T53" s="2">
        <f t="shared" si="27"/>
        <v>10.852713178294575</v>
      </c>
      <c r="U53" s="2">
        <f t="shared" si="42"/>
        <v>16.279069767441861</v>
      </c>
      <c r="V53" s="2">
        <f t="shared" si="43"/>
        <v>21.70542635658915</v>
      </c>
      <c r="W53" s="2">
        <f t="shared" si="44"/>
        <v>27.131782945736443</v>
      </c>
      <c r="X53" s="2">
        <f t="shared" si="45"/>
        <v>32.558139534883722</v>
      </c>
      <c r="Y53" s="5" t="str">
        <f t="shared" si="32"/>
        <v>1</v>
      </c>
      <c r="Z53" s="5" t="str">
        <f t="shared" si="36"/>
        <v>1</v>
      </c>
      <c r="AA53" s="5" t="str">
        <f t="shared" si="37"/>
        <v>1</v>
      </c>
      <c r="AB53" s="5" t="str">
        <f t="shared" si="38"/>
        <v>1</v>
      </c>
      <c r="AC53" s="5" t="str">
        <f t="shared" si="39"/>
        <v>1</v>
      </c>
      <c r="AD53" s="5" t="str">
        <f t="shared" si="40"/>
        <v>1</v>
      </c>
      <c r="AE53" s="5" t="str">
        <f t="shared" si="41"/>
        <v>1</v>
      </c>
    </row>
    <row r="54" spans="1:31" ht="14.4" x14ac:dyDescent="0.3">
      <c r="A54" s="14">
        <v>51</v>
      </c>
      <c r="B54" s="24" t="s">
        <v>142</v>
      </c>
      <c r="C54" s="10">
        <v>38</v>
      </c>
      <c r="D54" s="10">
        <v>50</v>
      </c>
      <c r="E54" s="16">
        <v>365</v>
      </c>
      <c r="F54" s="26">
        <v>2.0000000000000001E-4</v>
      </c>
      <c r="G54" s="10">
        <v>900</v>
      </c>
      <c r="H54" s="12">
        <v>2.9999999999999997E-4</v>
      </c>
      <c r="I54" s="17">
        <v>10950</v>
      </c>
      <c r="J54" s="22">
        <v>1</v>
      </c>
      <c r="K54" s="18">
        <f t="shared" ref="K54:K103" si="47">(F54*G54*E54*J54)/(D54*I54)</f>
        <v>1.2E-4</v>
      </c>
      <c r="L54" s="2">
        <f t="shared" ref="L54:L103" si="48">(F54*G54*E54*5)/(D54*I54)</f>
        <v>5.9999999999999995E-4</v>
      </c>
      <c r="M54" s="2">
        <f t="shared" ref="M54:M103" si="49">(F54*G54*E54*10)/(D54*I54)</f>
        <v>1.1999999999999999E-3</v>
      </c>
      <c r="N54" s="2">
        <f t="shared" ref="N54:N103" si="50">(F54*G54*E54*15)/(D54*I54)</f>
        <v>1.8E-3</v>
      </c>
      <c r="O54" s="2">
        <f t="shared" ref="O54:O103" si="51">(F54*G54*E54*20)/(D54*I54)</f>
        <v>2.3999999999999998E-3</v>
      </c>
      <c r="P54" s="2">
        <f t="shared" ref="P54:P103" si="52">(F54*G54*E54*25)/(D54*I54)</f>
        <v>3.0000000000000001E-3</v>
      </c>
      <c r="Q54" s="2">
        <f t="shared" ref="Q54:Q103" si="53">(F54*G54*E54*30)/(D54*I54)</f>
        <v>3.5999999999999999E-3</v>
      </c>
      <c r="R54" s="2">
        <f t="shared" ref="R54:R103" si="54">K54/H54</f>
        <v>0.4</v>
      </c>
      <c r="S54" s="2">
        <f t="shared" ref="S54:S103" si="55">L54/H54</f>
        <v>2</v>
      </c>
      <c r="T54" s="2">
        <f t="shared" ref="T54:T103" si="56">M54/H54</f>
        <v>4</v>
      </c>
      <c r="U54" s="2">
        <f t="shared" ref="U54:U103" si="57">N54/H54</f>
        <v>6</v>
      </c>
      <c r="V54" s="2">
        <f t="shared" ref="V54:V103" si="58">O54/H54</f>
        <v>8</v>
      </c>
      <c r="W54" s="2">
        <f t="shared" ref="W54:W103" si="59">P54/H54</f>
        <v>10.000000000000002</v>
      </c>
      <c r="X54" s="2">
        <f t="shared" ref="X54:X103" si="60">Q54/H54</f>
        <v>12</v>
      </c>
      <c r="Y54" s="5" t="str">
        <f t="shared" ref="Y54:Y103" si="61">IF(R54&gt;1,"1","2")</f>
        <v>2</v>
      </c>
      <c r="Z54" s="5" t="str">
        <f t="shared" ref="Z54:Z103" si="62">IF(S54&gt;1,"1","2")</f>
        <v>1</v>
      </c>
      <c r="AA54" s="5" t="str">
        <f t="shared" ref="AA54:AA103" si="63">IF(T54&gt;1,"1","2")</f>
        <v>1</v>
      </c>
      <c r="AB54" s="5" t="str">
        <f t="shared" ref="AB54:AB103" si="64">IF(U54&gt;1,"1","2")</f>
        <v>1</v>
      </c>
      <c r="AC54" s="5" t="str">
        <f t="shared" ref="AC54:AC103" si="65">IF(V54&gt;1,"1","2")</f>
        <v>1</v>
      </c>
      <c r="AD54" s="5" t="str">
        <f t="shared" ref="AD54:AD103" si="66">IF(W54&gt;1,"1","2")</f>
        <v>1</v>
      </c>
      <c r="AE54" s="5" t="str">
        <f t="shared" ref="AE54:AE103" si="67">IF(X54&gt;1,"1","2")</f>
        <v>1</v>
      </c>
    </row>
    <row r="55" spans="1:31" ht="14.4" x14ac:dyDescent="0.3">
      <c r="A55" s="14">
        <v>52</v>
      </c>
      <c r="B55" s="24" t="s">
        <v>142</v>
      </c>
      <c r="C55" s="10">
        <v>38</v>
      </c>
      <c r="D55" s="10">
        <v>50</v>
      </c>
      <c r="E55" s="16">
        <v>365</v>
      </c>
      <c r="F55" s="26">
        <v>2.0000000000000001E-4</v>
      </c>
      <c r="G55" s="10">
        <v>900</v>
      </c>
      <c r="H55" s="12">
        <v>2.9999999999999997E-4</v>
      </c>
      <c r="I55" s="17">
        <v>10950</v>
      </c>
      <c r="J55" s="22">
        <v>1</v>
      </c>
      <c r="K55" s="18">
        <f t="shared" si="47"/>
        <v>1.2E-4</v>
      </c>
      <c r="L55" s="2">
        <f t="shared" si="48"/>
        <v>5.9999999999999995E-4</v>
      </c>
      <c r="M55" s="2">
        <f t="shared" si="49"/>
        <v>1.1999999999999999E-3</v>
      </c>
      <c r="N55" s="2">
        <f t="shared" si="50"/>
        <v>1.8E-3</v>
      </c>
      <c r="O55" s="2">
        <f t="shared" si="51"/>
        <v>2.3999999999999998E-3</v>
      </c>
      <c r="P55" s="2">
        <f t="shared" si="52"/>
        <v>3.0000000000000001E-3</v>
      </c>
      <c r="Q55" s="2">
        <f t="shared" si="53"/>
        <v>3.5999999999999999E-3</v>
      </c>
      <c r="R55" s="2">
        <f t="shared" si="54"/>
        <v>0.4</v>
      </c>
      <c r="S55" s="2">
        <f t="shared" si="55"/>
        <v>2</v>
      </c>
      <c r="T55" s="2">
        <f t="shared" si="56"/>
        <v>4</v>
      </c>
      <c r="U55" s="2">
        <f t="shared" si="57"/>
        <v>6</v>
      </c>
      <c r="V55" s="2">
        <f t="shared" si="58"/>
        <v>8</v>
      </c>
      <c r="W55" s="2">
        <f t="shared" si="59"/>
        <v>10.000000000000002</v>
      </c>
      <c r="X55" s="2">
        <f t="shared" si="60"/>
        <v>12</v>
      </c>
      <c r="Y55" s="5" t="str">
        <f t="shared" si="61"/>
        <v>2</v>
      </c>
      <c r="Z55" s="5" t="str">
        <f t="shared" si="62"/>
        <v>1</v>
      </c>
      <c r="AA55" s="5" t="str">
        <f t="shared" si="63"/>
        <v>1</v>
      </c>
      <c r="AB55" s="5" t="str">
        <f t="shared" si="64"/>
        <v>1</v>
      </c>
      <c r="AC55" s="5" t="str">
        <f t="shared" si="65"/>
        <v>1</v>
      </c>
      <c r="AD55" s="5" t="str">
        <f t="shared" si="66"/>
        <v>1</v>
      </c>
      <c r="AE55" s="5" t="str">
        <f t="shared" si="67"/>
        <v>1</v>
      </c>
    </row>
    <row r="56" spans="1:31" ht="14.4" x14ac:dyDescent="0.3">
      <c r="A56" s="14">
        <v>53</v>
      </c>
      <c r="B56" s="24" t="s">
        <v>171</v>
      </c>
      <c r="C56" s="10">
        <v>39</v>
      </c>
      <c r="D56" s="10">
        <v>65</v>
      </c>
      <c r="E56" s="16">
        <v>365</v>
      </c>
      <c r="F56" s="26">
        <v>2.0000000000000001E-4</v>
      </c>
      <c r="G56" s="10">
        <v>1200</v>
      </c>
      <c r="H56" s="12">
        <v>2.9999999999999997E-4</v>
      </c>
      <c r="I56" s="17">
        <v>10950</v>
      </c>
      <c r="J56" s="22">
        <v>12</v>
      </c>
      <c r="K56" s="18">
        <f t="shared" si="47"/>
        <v>1.4769230769230771E-3</v>
      </c>
      <c r="L56" s="2">
        <f t="shared" si="48"/>
        <v>6.1538461538461551E-4</v>
      </c>
      <c r="M56" s="2">
        <f t="shared" si="49"/>
        <v>1.230769230769231E-3</v>
      </c>
      <c r="N56" s="2">
        <f t="shared" si="50"/>
        <v>1.8461538461538465E-3</v>
      </c>
      <c r="O56" s="2">
        <f t="shared" si="51"/>
        <v>2.4615384615384621E-3</v>
      </c>
      <c r="P56" s="2">
        <f t="shared" si="52"/>
        <v>3.0769230769230769E-3</v>
      </c>
      <c r="Q56" s="2">
        <f t="shared" si="53"/>
        <v>3.6923076923076931E-3</v>
      </c>
      <c r="R56" s="2">
        <f t="shared" si="54"/>
        <v>4.9230769230769242</v>
      </c>
      <c r="S56" s="2">
        <f t="shared" si="55"/>
        <v>2.051282051282052</v>
      </c>
      <c r="T56" s="2">
        <f t="shared" si="56"/>
        <v>4.102564102564104</v>
      </c>
      <c r="U56" s="2">
        <f t="shared" si="57"/>
        <v>6.153846153846156</v>
      </c>
      <c r="V56" s="2">
        <f t="shared" si="58"/>
        <v>8.205128205128208</v>
      </c>
      <c r="W56" s="2">
        <f t="shared" si="59"/>
        <v>10.256410256410257</v>
      </c>
      <c r="X56" s="2">
        <f t="shared" si="60"/>
        <v>12.307692307692312</v>
      </c>
      <c r="Y56" s="5" t="str">
        <f t="shared" si="61"/>
        <v>1</v>
      </c>
      <c r="Z56" s="5" t="str">
        <f t="shared" si="62"/>
        <v>1</v>
      </c>
      <c r="AA56" s="5" t="str">
        <f t="shared" si="63"/>
        <v>1</v>
      </c>
      <c r="AB56" s="5" t="str">
        <f t="shared" si="64"/>
        <v>1</v>
      </c>
      <c r="AC56" s="5" t="str">
        <f t="shared" si="65"/>
        <v>1</v>
      </c>
      <c r="AD56" s="5" t="str">
        <f t="shared" si="66"/>
        <v>1</v>
      </c>
      <c r="AE56" s="5" t="str">
        <f t="shared" si="67"/>
        <v>1</v>
      </c>
    </row>
    <row r="57" spans="1:31" ht="14.4" x14ac:dyDescent="0.3">
      <c r="A57" s="14">
        <v>54</v>
      </c>
      <c r="B57" s="24" t="s">
        <v>172</v>
      </c>
      <c r="C57" s="10">
        <v>39</v>
      </c>
      <c r="D57" s="10">
        <v>83</v>
      </c>
      <c r="E57" s="16">
        <v>365</v>
      </c>
      <c r="F57" s="26">
        <v>2.0000000000000001E-4</v>
      </c>
      <c r="G57" s="10">
        <v>900</v>
      </c>
      <c r="H57" s="12">
        <v>2.9999999999999997E-4</v>
      </c>
      <c r="I57" s="17">
        <v>10950</v>
      </c>
      <c r="J57" s="22">
        <v>39</v>
      </c>
      <c r="K57" s="18">
        <f t="shared" si="47"/>
        <v>2.8192771084337353E-3</v>
      </c>
      <c r="L57" s="2">
        <f t="shared" si="48"/>
        <v>3.6144578313253013E-4</v>
      </c>
      <c r="M57" s="2">
        <f t="shared" si="49"/>
        <v>7.2289156626506026E-4</v>
      </c>
      <c r="N57" s="2">
        <f t="shared" si="50"/>
        <v>1.0843373493975904E-3</v>
      </c>
      <c r="O57" s="2">
        <f t="shared" si="51"/>
        <v>1.4457831325301205E-3</v>
      </c>
      <c r="P57" s="2">
        <f t="shared" si="52"/>
        <v>1.8072289156626507E-3</v>
      </c>
      <c r="Q57" s="2">
        <f t="shared" si="53"/>
        <v>2.1686746987951808E-3</v>
      </c>
      <c r="R57" s="2">
        <f t="shared" si="54"/>
        <v>9.3975903614457845</v>
      </c>
      <c r="S57" s="2">
        <f t="shared" si="55"/>
        <v>1.2048192771084338</v>
      </c>
      <c r="T57" s="2">
        <f t="shared" si="56"/>
        <v>2.4096385542168677</v>
      </c>
      <c r="U57" s="2">
        <f t="shared" si="57"/>
        <v>3.6144578313253017</v>
      </c>
      <c r="V57" s="2">
        <f t="shared" si="58"/>
        <v>4.8192771084337354</v>
      </c>
      <c r="W57" s="2">
        <f t="shared" si="59"/>
        <v>6.024096385542169</v>
      </c>
      <c r="X57" s="2">
        <f t="shared" si="60"/>
        <v>7.2289156626506035</v>
      </c>
      <c r="Y57" s="5" t="str">
        <f t="shared" si="61"/>
        <v>1</v>
      </c>
      <c r="Z57" s="5" t="str">
        <f t="shared" si="62"/>
        <v>1</v>
      </c>
      <c r="AA57" s="5" t="str">
        <f t="shared" si="63"/>
        <v>1</v>
      </c>
      <c r="AB57" s="5" t="str">
        <f t="shared" si="64"/>
        <v>1</v>
      </c>
      <c r="AC57" s="5" t="str">
        <f t="shared" si="65"/>
        <v>1</v>
      </c>
      <c r="AD57" s="5" t="str">
        <f t="shared" si="66"/>
        <v>1</v>
      </c>
      <c r="AE57" s="5" t="str">
        <f t="shared" si="67"/>
        <v>1</v>
      </c>
    </row>
    <row r="58" spans="1:31" ht="14.4" x14ac:dyDescent="0.3">
      <c r="A58" s="14">
        <v>55</v>
      </c>
      <c r="B58" s="24" t="s">
        <v>173</v>
      </c>
      <c r="C58" s="10">
        <v>39</v>
      </c>
      <c r="D58" s="10">
        <v>65</v>
      </c>
      <c r="E58" s="16">
        <v>365</v>
      </c>
      <c r="F58" s="26">
        <v>2.0000000000000001E-4</v>
      </c>
      <c r="G58" s="10">
        <v>900</v>
      </c>
      <c r="H58" s="12">
        <v>2.9999999999999997E-4</v>
      </c>
      <c r="I58" s="17">
        <v>10950</v>
      </c>
      <c r="J58" s="22">
        <v>20</v>
      </c>
      <c r="K58" s="18">
        <f t="shared" si="47"/>
        <v>1.8461538461538461E-3</v>
      </c>
      <c r="L58" s="2">
        <f t="shared" si="48"/>
        <v>4.6153846153846153E-4</v>
      </c>
      <c r="M58" s="2">
        <f t="shared" si="49"/>
        <v>9.2307692307692305E-4</v>
      </c>
      <c r="N58" s="2">
        <f t="shared" si="50"/>
        <v>1.3846153846153845E-3</v>
      </c>
      <c r="O58" s="2">
        <f t="shared" si="51"/>
        <v>1.8461538461538461E-3</v>
      </c>
      <c r="P58" s="2">
        <f t="shared" si="52"/>
        <v>2.3076923076923079E-3</v>
      </c>
      <c r="Q58" s="2">
        <f t="shared" si="53"/>
        <v>2.7692307692307691E-3</v>
      </c>
      <c r="R58" s="2">
        <f t="shared" si="54"/>
        <v>6.1538461538461542</v>
      </c>
      <c r="S58" s="2">
        <f t="shared" si="55"/>
        <v>1.5384615384615385</v>
      </c>
      <c r="T58" s="2">
        <f t="shared" si="56"/>
        <v>3.0769230769230771</v>
      </c>
      <c r="U58" s="2">
        <f t="shared" si="57"/>
        <v>4.6153846153846159</v>
      </c>
      <c r="V58" s="2">
        <f t="shared" si="58"/>
        <v>6.1538461538461542</v>
      </c>
      <c r="W58" s="2">
        <f t="shared" si="59"/>
        <v>7.6923076923076934</v>
      </c>
      <c r="X58" s="2">
        <f t="shared" si="60"/>
        <v>9.2307692307692317</v>
      </c>
      <c r="Y58" s="5" t="str">
        <f t="shared" si="61"/>
        <v>1</v>
      </c>
      <c r="Z58" s="5" t="str">
        <f t="shared" si="62"/>
        <v>1</v>
      </c>
      <c r="AA58" s="5" t="str">
        <f t="shared" si="63"/>
        <v>1</v>
      </c>
      <c r="AB58" s="5" t="str">
        <f t="shared" si="64"/>
        <v>1</v>
      </c>
      <c r="AC58" s="5" t="str">
        <f t="shared" si="65"/>
        <v>1</v>
      </c>
      <c r="AD58" s="5" t="str">
        <f t="shared" si="66"/>
        <v>1</v>
      </c>
      <c r="AE58" s="5" t="str">
        <f t="shared" si="67"/>
        <v>1</v>
      </c>
    </row>
    <row r="59" spans="1:31" ht="14.4" x14ac:dyDescent="0.3">
      <c r="A59" s="14">
        <v>56</v>
      </c>
      <c r="B59" s="24" t="s">
        <v>174</v>
      </c>
      <c r="C59" s="10">
        <v>39</v>
      </c>
      <c r="D59" s="10">
        <v>53</v>
      </c>
      <c r="E59" s="16">
        <v>365</v>
      </c>
      <c r="F59" s="26">
        <v>2.0000000000000001E-4</v>
      </c>
      <c r="G59" s="10">
        <v>900</v>
      </c>
      <c r="H59" s="12">
        <v>2.9999999999999997E-4</v>
      </c>
      <c r="I59" s="17">
        <v>10950</v>
      </c>
      <c r="J59" s="22">
        <v>4</v>
      </c>
      <c r="K59" s="18">
        <f t="shared" si="47"/>
        <v>4.5283018867924528E-4</v>
      </c>
      <c r="L59" s="2">
        <f t="shared" si="48"/>
        <v>5.6603773584905663E-4</v>
      </c>
      <c r="M59" s="2">
        <f t="shared" si="49"/>
        <v>1.1320754716981133E-3</v>
      </c>
      <c r="N59" s="2">
        <f t="shared" si="50"/>
        <v>1.6981132075471698E-3</v>
      </c>
      <c r="O59" s="2">
        <f t="shared" si="51"/>
        <v>2.2641509433962265E-3</v>
      </c>
      <c r="P59" s="2">
        <f t="shared" si="52"/>
        <v>2.8301886792452828E-3</v>
      </c>
      <c r="Q59" s="2">
        <f t="shared" si="53"/>
        <v>3.3962264150943396E-3</v>
      </c>
      <c r="R59" s="2">
        <f t="shared" si="54"/>
        <v>1.5094339622641511</v>
      </c>
      <c r="S59" s="2">
        <f t="shared" si="55"/>
        <v>1.8867924528301889</v>
      </c>
      <c r="T59" s="2">
        <f t="shared" si="56"/>
        <v>3.7735849056603779</v>
      </c>
      <c r="U59" s="2">
        <f t="shared" si="57"/>
        <v>5.6603773584905666</v>
      </c>
      <c r="V59" s="2">
        <f t="shared" si="58"/>
        <v>7.5471698113207557</v>
      </c>
      <c r="W59" s="2">
        <f t="shared" si="59"/>
        <v>9.433962264150944</v>
      </c>
      <c r="X59" s="2">
        <f t="shared" si="60"/>
        <v>11.320754716981133</v>
      </c>
      <c r="Y59" s="5" t="str">
        <f t="shared" si="61"/>
        <v>1</v>
      </c>
      <c r="Z59" s="5" t="str">
        <f t="shared" si="62"/>
        <v>1</v>
      </c>
      <c r="AA59" s="5" t="str">
        <f t="shared" si="63"/>
        <v>1</v>
      </c>
      <c r="AB59" s="5" t="str">
        <f t="shared" si="64"/>
        <v>1</v>
      </c>
      <c r="AC59" s="5" t="str">
        <f t="shared" si="65"/>
        <v>1</v>
      </c>
      <c r="AD59" s="5" t="str">
        <f t="shared" si="66"/>
        <v>1</v>
      </c>
      <c r="AE59" s="5" t="str">
        <f t="shared" si="67"/>
        <v>1</v>
      </c>
    </row>
    <row r="60" spans="1:31" ht="14.4" x14ac:dyDescent="0.3">
      <c r="A60" s="14">
        <v>57</v>
      </c>
      <c r="B60" s="24" t="s">
        <v>146</v>
      </c>
      <c r="C60" s="10">
        <v>39</v>
      </c>
      <c r="D60" s="10">
        <v>83</v>
      </c>
      <c r="E60" s="16">
        <v>365</v>
      </c>
      <c r="F60" s="26">
        <v>2.0000000000000001E-4</v>
      </c>
      <c r="G60" s="10">
        <v>900</v>
      </c>
      <c r="H60" s="12">
        <v>2.9999999999999997E-4</v>
      </c>
      <c r="I60" s="17">
        <v>10950</v>
      </c>
      <c r="J60" s="22">
        <v>39</v>
      </c>
      <c r="K60" s="18">
        <f t="shared" si="47"/>
        <v>2.8192771084337353E-3</v>
      </c>
      <c r="L60" s="2">
        <f t="shared" si="48"/>
        <v>3.6144578313253013E-4</v>
      </c>
      <c r="M60" s="2">
        <f t="shared" si="49"/>
        <v>7.2289156626506026E-4</v>
      </c>
      <c r="N60" s="2">
        <f t="shared" si="50"/>
        <v>1.0843373493975904E-3</v>
      </c>
      <c r="O60" s="2">
        <f t="shared" si="51"/>
        <v>1.4457831325301205E-3</v>
      </c>
      <c r="P60" s="2">
        <f t="shared" si="52"/>
        <v>1.8072289156626507E-3</v>
      </c>
      <c r="Q60" s="2">
        <f t="shared" si="53"/>
        <v>2.1686746987951808E-3</v>
      </c>
      <c r="R60" s="2">
        <f t="shared" si="54"/>
        <v>9.3975903614457845</v>
      </c>
      <c r="S60" s="2">
        <f t="shared" si="55"/>
        <v>1.2048192771084338</v>
      </c>
      <c r="T60" s="2">
        <f t="shared" si="56"/>
        <v>2.4096385542168677</v>
      </c>
      <c r="U60" s="2">
        <f t="shared" si="57"/>
        <v>3.6144578313253017</v>
      </c>
      <c r="V60" s="2">
        <f t="shared" si="58"/>
        <v>4.8192771084337354</v>
      </c>
      <c r="W60" s="2">
        <f t="shared" si="59"/>
        <v>6.024096385542169</v>
      </c>
      <c r="X60" s="2">
        <f t="shared" si="60"/>
        <v>7.2289156626506035</v>
      </c>
      <c r="Y60" s="5" t="str">
        <f t="shared" si="61"/>
        <v>1</v>
      </c>
      <c r="Z60" s="5" t="str">
        <f t="shared" si="62"/>
        <v>1</v>
      </c>
      <c r="AA60" s="5" t="str">
        <f t="shared" si="63"/>
        <v>1</v>
      </c>
      <c r="AB60" s="5" t="str">
        <f t="shared" si="64"/>
        <v>1</v>
      </c>
      <c r="AC60" s="5" t="str">
        <f t="shared" si="65"/>
        <v>1</v>
      </c>
      <c r="AD60" s="5" t="str">
        <f t="shared" si="66"/>
        <v>1</v>
      </c>
      <c r="AE60" s="5" t="str">
        <f t="shared" si="67"/>
        <v>1</v>
      </c>
    </row>
    <row r="61" spans="1:31" ht="14.4" x14ac:dyDescent="0.3">
      <c r="A61" s="14">
        <v>58</v>
      </c>
      <c r="B61" s="24" t="s">
        <v>175</v>
      </c>
      <c r="C61" s="10">
        <v>40</v>
      </c>
      <c r="D61" s="10">
        <v>64</v>
      </c>
      <c r="E61" s="16">
        <v>365</v>
      </c>
      <c r="F61" s="26">
        <v>2.0000000000000001E-4</v>
      </c>
      <c r="G61" s="10">
        <v>900</v>
      </c>
      <c r="H61" s="12">
        <v>2.9999999999999997E-4</v>
      </c>
      <c r="I61" s="17">
        <v>10950</v>
      </c>
      <c r="J61" s="22">
        <v>5</v>
      </c>
      <c r="K61" s="18">
        <f t="shared" si="47"/>
        <v>4.6874999999999998E-4</v>
      </c>
      <c r="L61" s="2">
        <f t="shared" si="48"/>
        <v>4.6874999999999998E-4</v>
      </c>
      <c r="M61" s="2">
        <f t="shared" si="49"/>
        <v>9.3749999999999997E-4</v>
      </c>
      <c r="N61" s="2">
        <f t="shared" si="50"/>
        <v>1.4062499999999999E-3</v>
      </c>
      <c r="O61" s="2">
        <f t="shared" si="51"/>
        <v>1.8749999999999999E-3</v>
      </c>
      <c r="P61" s="2">
        <f t="shared" si="52"/>
        <v>2.3437499999999999E-3</v>
      </c>
      <c r="Q61" s="2">
        <f t="shared" si="53"/>
        <v>2.8124999999999999E-3</v>
      </c>
      <c r="R61" s="2">
        <f t="shared" si="54"/>
        <v>1.5625</v>
      </c>
      <c r="S61" s="2">
        <f t="shared" si="55"/>
        <v>1.5625</v>
      </c>
      <c r="T61" s="2">
        <f t="shared" si="56"/>
        <v>3.125</v>
      </c>
      <c r="U61" s="2">
        <f t="shared" si="57"/>
        <v>4.6875</v>
      </c>
      <c r="V61" s="2">
        <f t="shared" si="58"/>
        <v>6.25</v>
      </c>
      <c r="W61" s="2">
        <f t="shared" si="59"/>
        <v>7.8125</v>
      </c>
      <c r="X61" s="2">
        <f t="shared" si="60"/>
        <v>9.375</v>
      </c>
      <c r="Y61" s="5" t="str">
        <f t="shared" si="61"/>
        <v>1</v>
      </c>
      <c r="Z61" s="5" t="str">
        <f t="shared" si="62"/>
        <v>1</v>
      </c>
      <c r="AA61" s="5" t="str">
        <f t="shared" si="63"/>
        <v>1</v>
      </c>
      <c r="AB61" s="5" t="str">
        <f t="shared" si="64"/>
        <v>1</v>
      </c>
      <c r="AC61" s="5" t="str">
        <f t="shared" si="65"/>
        <v>1</v>
      </c>
      <c r="AD61" s="5" t="str">
        <f t="shared" si="66"/>
        <v>1</v>
      </c>
      <c r="AE61" s="5" t="str">
        <f t="shared" si="67"/>
        <v>1</v>
      </c>
    </row>
    <row r="62" spans="1:31" ht="14.4" x14ac:dyDescent="0.3">
      <c r="A62" s="14">
        <v>59</v>
      </c>
      <c r="B62" s="24" t="s">
        <v>176</v>
      </c>
      <c r="C62" s="10">
        <v>40</v>
      </c>
      <c r="D62" s="10">
        <v>57</v>
      </c>
      <c r="E62" s="16">
        <v>365</v>
      </c>
      <c r="F62" s="26">
        <v>2.0000000000000001E-4</v>
      </c>
      <c r="G62" s="10">
        <v>1500</v>
      </c>
      <c r="H62" s="12">
        <v>2.9999999999999997E-4</v>
      </c>
      <c r="I62" s="17">
        <v>10950</v>
      </c>
      <c r="J62" s="22">
        <v>6</v>
      </c>
      <c r="K62" s="18">
        <f t="shared" si="47"/>
        <v>1.0526315789473684E-3</v>
      </c>
      <c r="L62" s="2">
        <f t="shared" si="48"/>
        <v>8.7719298245614037E-4</v>
      </c>
      <c r="M62" s="2">
        <f t="shared" si="49"/>
        <v>1.7543859649122807E-3</v>
      </c>
      <c r="N62" s="2">
        <f t="shared" si="50"/>
        <v>2.631578947368421E-3</v>
      </c>
      <c r="O62" s="2">
        <f t="shared" si="51"/>
        <v>3.5087719298245615E-3</v>
      </c>
      <c r="P62" s="2">
        <f t="shared" si="52"/>
        <v>4.3859649122807015E-3</v>
      </c>
      <c r="Q62" s="2">
        <f t="shared" si="53"/>
        <v>5.263157894736842E-3</v>
      </c>
      <c r="R62" s="2">
        <f t="shared" si="54"/>
        <v>3.5087719298245617</v>
      </c>
      <c r="S62" s="2">
        <f t="shared" si="55"/>
        <v>2.923976608187135</v>
      </c>
      <c r="T62" s="2">
        <f t="shared" si="56"/>
        <v>5.84795321637427</v>
      </c>
      <c r="U62" s="2">
        <f t="shared" si="57"/>
        <v>8.7719298245614041</v>
      </c>
      <c r="V62" s="2">
        <f t="shared" si="58"/>
        <v>11.69590643274854</v>
      </c>
      <c r="W62" s="2">
        <f t="shared" si="59"/>
        <v>14.619883040935672</v>
      </c>
      <c r="X62" s="2">
        <f t="shared" si="60"/>
        <v>17.543859649122808</v>
      </c>
      <c r="Y62" s="5" t="str">
        <f t="shared" si="61"/>
        <v>1</v>
      </c>
      <c r="Z62" s="5" t="str">
        <f t="shared" si="62"/>
        <v>1</v>
      </c>
      <c r="AA62" s="5" t="str">
        <f t="shared" si="63"/>
        <v>1</v>
      </c>
      <c r="AB62" s="5" t="str">
        <f t="shared" si="64"/>
        <v>1</v>
      </c>
      <c r="AC62" s="5" t="str">
        <f t="shared" si="65"/>
        <v>1</v>
      </c>
      <c r="AD62" s="5" t="str">
        <f t="shared" si="66"/>
        <v>1</v>
      </c>
      <c r="AE62" s="5" t="str">
        <f t="shared" si="67"/>
        <v>1</v>
      </c>
    </row>
    <row r="63" spans="1:31" ht="14.4" x14ac:dyDescent="0.3">
      <c r="A63" s="14">
        <v>60</v>
      </c>
      <c r="B63" s="24" t="s">
        <v>107</v>
      </c>
      <c r="C63" s="10">
        <v>40</v>
      </c>
      <c r="D63" s="10">
        <v>76</v>
      </c>
      <c r="E63" s="16">
        <v>365</v>
      </c>
      <c r="F63" s="26">
        <v>2.0000000000000001E-4</v>
      </c>
      <c r="G63" s="10">
        <v>3000</v>
      </c>
      <c r="H63" s="12">
        <v>2.9999999999999997E-4</v>
      </c>
      <c r="I63" s="17">
        <v>10950</v>
      </c>
      <c r="J63" s="22">
        <v>1</v>
      </c>
      <c r="K63" s="18">
        <f t="shared" si="47"/>
        <v>2.631578947368421E-4</v>
      </c>
      <c r="L63" s="2">
        <f t="shared" si="48"/>
        <v>1.3157894736842105E-3</v>
      </c>
      <c r="M63" s="2">
        <f t="shared" si="49"/>
        <v>2.631578947368421E-3</v>
      </c>
      <c r="N63" s="2">
        <f t="shared" si="50"/>
        <v>3.9473684210526317E-3</v>
      </c>
      <c r="O63" s="2">
        <f t="shared" si="51"/>
        <v>5.263157894736842E-3</v>
      </c>
      <c r="P63" s="2">
        <f t="shared" si="52"/>
        <v>6.5789473684210523E-3</v>
      </c>
      <c r="Q63" s="2">
        <f t="shared" si="53"/>
        <v>7.8947368421052634E-3</v>
      </c>
      <c r="R63" s="2">
        <f t="shared" si="54"/>
        <v>0.87719298245614041</v>
      </c>
      <c r="S63" s="2">
        <f t="shared" si="55"/>
        <v>4.3859649122807021</v>
      </c>
      <c r="T63" s="2">
        <f t="shared" si="56"/>
        <v>8.7719298245614041</v>
      </c>
      <c r="U63" s="2">
        <f t="shared" si="57"/>
        <v>13.157894736842106</v>
      </c>
      <c r="V63" s="2">
        <f t="shared" si="58"/>
        <v>17.543859649122808</v>
      </c>
      <c r="W63" s="2">
        <f t="shared" si="59"/>
        <v>21.92982456140351</v>
      </c>
      <c r="X63" s="2">
        <f t="shared" si="60"/>
        <v>26.315789473684212</v>
      </c>
      <c r="Y63" s="5" t="str">
        <f t="shared" si="61"/>
        <v>2</v>
      </c>
      <c r="Z63" s="5" t="str">
        <f t="shared" si="62"/>
        <v>1</v>
      </c>
      <c r="AA63" s="5" t="str">
        <f t="shared" si="63"/>
        <v>1</v>
      </c>
      <c r="AB63" s="5" t="str">
        <f t="shared" si="64"/>
        <v>1</v>
      </c>
      <c r="AC63" s="5" t="str">
        <f t="shared" si="65"/>
        <v>1</v>
      </c>
      <c r="AD63" s="5" t="str">
        <f t="shared" si="66"/>
        <v>1</v>
      </c>
      <c r="AE63" s="5" t="str">
        <f t="shared" si="67"/>
        <v>1</v>
      </c>
    </row>
    <row r="64" spans="1:31" ht="14.4" x14ac:dyDescent="0.3">
      <c r="A64" s="14">
        <v>61</v>
      </c>
      <c r="B64" s="24" t="s">
        <v>147</v>
      </c>
      <c r="C64" s="10">
        <v>40</v>
      </c>
      <c r="D64" s="10">
        <v>64</v>
      </c>
      <c r="E64" s="16">
        <v>365</v>
      </c>
      <c r="F64" s="26">
        <v>2.0000000000000001E-4</v>
      </c>
      <c r="G64" s="10">
        <v>900</v>
      </c>
      <c r="H64" s="12">
        <v>2.9999999999999997E-4</v>
      </c>
      <c r="I64" s="17">
        <v>10950</v>
      </c>
      <c r="J64" s="22">
        <v>5</v>
      </c>
      <c r="K64" s="18">
        <f t="shared" si="47"/>
        <v>4.6874999999999998E-4</v>
      </c>
      <c r="L64" s="2">
        <f t="shared" si="48"/>
        <v>4.6874999999999998E-4</v>
      </c>
      <c r="M64" s="2">
        <f t="shared" si="49"/>
        <v>9.3749999999999997E-4</v>
      </c>
      <c r="N64" s="2">
        <f t="shared" si="50"/>
        <v>1.4062499999999999E-3</v>
      </c>
      <c r="O64" s="2">
        <f t="shared" si="51"/>
        <v>1.8749999999999999E-3</v>
      </c>
      <c r="P64" s="2">
        <f t="shared" si="52"/>
        <v>2.3437499999999999E-3</v>
      </c>
      <c r="Q64" s="2">
        <f t="shared" si="53"/>
        <v>2.8124999999999999E-3</v>
      </c>
      <c r="R64" s="2">
        <f t="shared" si="54"/>
        <v>1.5625</v>
      </c>
      <c r="S64" s="2">
        <f t="shared" si="55"/>
        <v>1.5625</v>
      </c>
      <c r="T64" s="2">
        <f t="shared" si="56"/>
        <v>3.125</v>
      </c>
      <c r="U64" s="2">
        <f t="shared" si="57"/>
        <v>4.6875</v>
      </c>
      <c r="V64" s="2">
        <f t="shared" si="58"/>
        <v>6.25</v>
      </c>
      <c r="W64" s="2">
        <f t="shared" si="59"/>
        <v>7.8125</v>
      </c>
      <c r="X64" s="2">
        <f t="shared" si="60"/>
        <v>9.375</v>
      </c>
      <c r="Y64" s="5" t="str">
        <f t="shared" si="61"/>
        <v>1</v>
      </c>
      <c r="Z64" s="5" t="str">
        <f t="shared" si="62"/>
        <v>1</v>
      </c>
      <c r="AA64" s="5" t="str">
        <f t="shared" si="63"/>
        <v>1</v>
      </c>
      <c r="AB64" s="5" t="str">
        <f t="shared" si="64"/>
        <v>1</v>
      </c>
      <c r="AC64" s="5" t="str">
        <f t="shared" si="65"/>
        <v>1</v>
      </c>
      <c r="AD64" s="5" t="str">
        <f t="shared" si="66"/>
        <v>1</v>
      </c>
      <c r="AE64" s="5" t="str">
        <f t="shared" si="67"/>
        <v>1</v>
      </c>
    </row>
    <row r="65" spans="1:31" ht="14.4" x14ac:dyDescent="0.3">
      <c r="A65" s="14">
        <v>62</v>
      </c>
      <c r="B65" s="24" t="s">
        <v>177</v>
      </c>
      <c r="C65" s="10">
        <v>41</v>
      </c>
      <c r="D65" s="10">
        <v>55</v>
      </c>
      <c r="E65" s="16">
        <v>365</v>
      </c>
      <c r="F65" s="26">
        <v>2.0000000000000001E-4</v>
      </c>
      <c r="G65" s="10">
        <v>2100</v>
      </c>
      <c r="H65" s="12">
        <v>2.9999999999999997E-4</v>
      </c>
      <c r="I65" s="17">
        <v>10950</v>
      </c>
      <c r="J65" s="22">
        <v>6</v>
      </c>
      <c r="K65" s="18">
        <f t="shared" si="47"/>
        <v>1.5272727272727274E-3</v>
      </c>
      <c r="L65" s="2">
        <f t="shared" si="48"/>
        <v>1.2727272727272728E-3</v>
      </c>
      <c r="M65" s="2">
        <f t="shared" si="49"/>
        <v>2.5454545454545456E-3</v>
      </c>
      <c r="N65" s="2">
        <f t="shared" si="50"/>
        <v>3.8181818181818182E-3</v>
      </c>
      <c r="O65" s="2">
        <f t="shared" si="51"/>
        <v>5.0909090909090913E-3</v>
      </c>
      <c r="P65" s="2">
        <f t="shared" si="52"/>
        <v>6.3636363636363647E-3</v>
      </c>
      <c r="Q65" s="2">
        <f t="shared" si="53"/>
        <v>7.6363636363636364E-3</v>
      </c>
      <c r="R65" s="2">
        <f t="shared" si="54"/>
        <v>5.0909090909090917</v>
      </c>
      <c r="S65" s="2">
        <f t="shared" si="55"/>
        <v>4.2424242424242431</v>
      </c>
      <c r="T65" s="2">
        <f t="shared" si="56"/>
        <v>8.4848484848484862</v>
      </c>
      <c r="U65" s="2">
        <f t="shared" si="57"/>
        <v>12.727272727272728</v>
      </c>
      <c r="V65" s="2">
        <f t="shared" si="58"/>
        <v>16.969696969696972</v>
      </c>
      <c r="W65" s="2">
        <f t="shared" si="59"/>
        <v>21.212121212121218</v>
      </c>
      <c r="X65" s="2">
        <f t="shared" si="60"/>
        <v>25.454545454545457</v>
      </c>
      <c r="Y65" s="5" t="str">
        <f t="shared" si="61"/>
        <v>1</v>
      </c>
      <c r="Z65" s="5" t="str">
        <f t="shared" si="62"/>
        <v>1</v>
      </c>
      <c r="AA65" s="5" t="str">
        <f t="shared" si="63"/>
        <v>1</v>
      </c>
      <c r="AB65" s="5" t="str">
        <f t="shared" si="64"/>
        <v>1</v>
      </c>
      <c r="AC65" s="5" t="str">
        <f t="shared" si="65"/>
        <v>1</v>
      </c>
      <c r="AD65" s="5" t="str">
        <f t="shared" si="66"/>
        <v>1</v>
      </c>
      <c r="AE65" s="5" t="str">
        <f t="shared" si="67"/>
        <v>1</v>
      </c>
    </row>
    <row r="66" spans="1:31" ht="14.4" x14ac:dyDescent="0.3">
      <c r="A66" s="14">
        <v>63</v>
      </c>
      <c r="B66" s="24" t="s">
        <v>126</v>
      </c>
      <c r="C66" s="10">
        <v>41</v>
      </c>
      <c r="D66" s="10">
        <v>55</v>
      </c>
      <c r="E66" s="16">
        <v>365</v>
      </c>
      <c r="F66" s="26">
        <v>2.0000000000000001E-4</v>
      </c>
      <c r="G66" s="10">
        <v>2100</v>
      </c>
      <c r="H66" s="12">
        <v>2.9999999999999997E-4</v>
      </c>
      <c r="I66" s="17">
        <v>10950</v>
      </c>
      <c r="J66" s="22">
        <v>6</v>
      </c>
      <c r="K66" s="18">
        <f t="shared" si="47"/>
        <v>1.5272727272727274E-3</v>
      </c>
      <c r="L66" s="2">
        <f t="shared" si="48"/>
        <v>1.2727272727272728E-3</v>
      </c>
      <c r="M66" s="2">
        <f t="shared" si="49"/>
        <v>2.5454545454545456E-3</v>
      </c>
      <c r="N66" s="2">
        <f t="shared" si="50"/>
        <v>3.8181818181818182E-3</v>
      </c>
      <c r="O66" s="2">
        <f t="shared" si="51"/>
        <v>5.0909090909090913E-3</v>
      </c>
      <c r="P66" s="2">
        <f t="shared" si="52"/>
        <v>6.3636363636363647E-3</v>
      </c>
      <c r="Q66" s="2">
        <f t="shared" si="53"/>
        <v>7.6363636363636364E-3</v>
      </c>
      <c r="R66" s="2">
        <f t="shared" si="54"/>
        <v>5.0909090909090917</v>
      </c>
      <c r="S66" s="2">
        <f t="shared" si="55"/>
        <v>4.2424242424242431</v>
      </c>
      <c r="T66" s="2">
        <f t="shared" si="56"/>
        <v>8.4848484848484862</v>
      </c>
      <c r="U66" s="2">
        <f t="shared" si="57"/>
        <v>12.727272727272728</v>
      </c>
      <c r="V66" s="2">
        <f t="shared" si="58"/>
        <v>16.969696969696972</v>
      </c>
      <c r="W66" s="2">
        <f t="shared" si="59"/>
        <v>21.212121212121218</v>
      </c>
      <c r="X66" s="2">
        <f t="shared" si="60"/>
        <v>25.454545454545457</v>
      </c>
      <c r="Y66" s="5" t="str">
        <f t="shared" si="61"/>
        <v>1</v>
      </c>
      <c r="Z66" s="5" t="str">
        <f t="shared" si="62"/>
        <v>1</v>
      </c>
      <c r="AA66" s="5" t="str">
        <f t="shared" si="63"/>
        <v>1</v>
      </c>
      <c r="AB66" s="5" t="str">
        <f t="shared" si="64"/>
        <v>1</v>
      </c>
      <c r="AC66" s="5" t="str">
        <f t="shared" si="65"/>
        <v>1</v>
      </c>
      <c r="AD66" s="5" t="str">
        <f t="shared" si="66"/>
        <v>1</v>
      </c>
      <c r="AE66" s="5" t="str">
        <f t="shared" si="67"/>
        <v>1</v>
      </c>
    </row>
    <row r="67" spans="1:31" ht="14.4" x14ac:dyDescent="0.3">
      <c r="A67" s="14">
        <v>64</v>
      </c>
      <c r="B67" s="24" t="s">
        <v>178</v>
      </c>
      <c r="C67" s="10">
        <v>42</v>
      </c>
      <c r="D67" s="10">
        <v>78</v>
      </c>
      <c r="E67" s="16">
        <v>365</v>
      </c>
      <c r="F67" s="26">
        <v>2.0000000000000001E-4</v>
      </c>
      <c r="G67" s="10">
        <v>1500</v>
      </c>
      <c r="H67" s="12">
        <v>2.9999999999999997E-4</v>
      </c>
      <c r="I67" s="17">
        <v>10950</v>
      </c>
      <c r="J67" s="22">
        <v>26</v>
      </c>
      <c r="K67" s="18">
        <f t="shared" si="47"/>
        <v>3.3333333333333335E-3</v>
      </c>
      <c r="L67" s="2">
        <f t="shared" si="48"/>
        <v>6.4102564102564103E-4</v>
      </c>
      <c r="M67" s="2">
        <f t="shared" si="49"/>
        <v>1.2820512820512821E-3</v>
      </c>
      <c r="N67" s="2">
        <f t="shared" si="50"/>
        <v>1.9230769230769232E-3</v>
      </c>
      <c r="O67" s="2">
        <f t="shared" si="51"/>
        <v>2.5641025641025641E-3</v>
      </c>
      <c r="P67" s="2">
        <f t="shared" si="52"/>
        <v>3.205128205128205E-3</v>
      </c>
      <c r="Q67" s="2">
        <f t="shared" si="53"/>
        <v>3.8461538461538464E-3</v>
      </c>
      <c r="R67" s="2">
        <f t="shared" si="54"/>
        <v>11.111111111111112</v>
      </c>
      <c r="S67" s="2">
        <f t="shared" si="55"/>
        <v>2.1367521367521372</v>
      </c>
      <c r="T67" s="2">
        <f t="shared" si="56"/>
        <v>4.2735042735042743</v>
      </c>
      <c r="U67" s="2">
        <f t="shared" si="57"/>
        <v>6.4102564102564115</v>
      </c>
      <c r="V67" s="2">
        <f t="shared" si="58"/>
        <v>8.5470085470085486</v>
      </c>
      <c r="W67" s="2">
        <f t="shared" si="59"/>
        <v>10.683760683760685</v>
      </c>
      <c r="X67" s="2">
        <f t="shared" si="60"/>
        <v>12.820512820512823</v>
      </c>
      <c r="Y67" s="5" t="str">
        <f t="shared" si="61"/>
        <v>1</v>
      </c>
      <c r="Z67" s="5" t="str">
        <f t="shared" si="62"/>
        <v>1</v>
      </c>
      <c r="AA67" s="5" t="str">
        <f t="shared" si="63"/>
        <v>1</v>
      </c>
      <c r="AB67" s="5" t="str">
        <f t="shared" si="64"/>
        <v>1</v>
      </c>
      <c r="AC67" s="5" t="str">
        <f t="shared" si="65"/>
        <v>1</v>
      </c>
      <c r="AD67" s="5" t="str">
        <f t="shared" si="66"/>
        <v>1</v>
      </c>
      <c r="AE67" s="5" t="str">
        <f t="shared" si="67"/>
        <v>1</v>
      </c>
    </row>
    <row r="68" spans="1:31" ht="14.4" x14ac:dyDescent="0.3">
      <c r="A68" s="14">
        <v>65</v>
      </c>
      <c r="B68" s="24" t="s">
        <v>144</v>
      </c>
      <c r="C68" s="10">
        <v>42</v>
      </c>
      <c r="D68" s="10">
        <v>80</v>
      </c>
      <c r="E68" s="16">
        <v>365</v>
      </c>
      <c r="F68" s="26">
        <v>2.0000000000000001E-4</v>
      </c>
      <c r="G68" s="10">
        <v>900</v>
      </c>
      <c r="H68" s="12">
        <v>2.9999999999999997E-4</v>
      </c>
      <c r="I68" s="17">
        <v>10950</v>
      </c>
      <c r="J68" s="22">
        <v>20</v>
      </c>
      <c r="K68" s="18">
        <f t="shared" si="47"/>
        <v>1.5E-3</v>
      </c>
      <c r="L68" s="2">
        <f t="shared" si="48"/>
        <v>3.7500000000000001E-4</v>
      </c>
      <c r="M68" s="2">
        <f t="shared" si="49"/>
        <v>7.5000000000000002E-4</v>
      </c>
      <c r="N68" s="2">
        <f t="shared" si="50"/>
        <v>1.1249999999999999E-3</v>
      </c>
      <c r="O68" s="2">
        <f t="shared" si="51"/>
        <v>1.5E-3</v>
      </c>
      <c r="P68" s="2">
        <f t="shared" si="52"/>
        <v>1.8749999999999999E-3</v>
      </c>
      <c r="Q68" s="2">
        <f t="shared" si="53"/>
        <v>2.2499999999999998E-3</v>
      </c>
      <c r="R68" s="2">
        <f t="shared" si="54"/>
        <v>5.0000000000000009</v>
      </c>
      <c r="S68" s="2">
        <f t="shared" si="55"/>
        <v>1.2500000000000002</v>
      </c>
      <c r="T68" s="2">
        <f t="shared" si="56"/>
        <v>2.5000000000000004</v>
      </c>
      <c r="U68" s="2">
        <f t="shared" si="57"/>
        <v>3.75</v>
      </c>
      <c r="V68" s="2">
        <f t="shared" si="58"/>
        <v>5.0000000000000009</v>
      </c>
      <c r="W68" s="2">
        <f t="shared" si="59"/>
        <v>6.25</v>
      </c>
      <c r="X68" s="2">
        <f t="shared" si="60"/>
        <v>7.5</v>
      </c>
      <c r="Y68" s="5" t="str">
        <f t="shared" si="61"/>
        <v>1</v>
      </c>
      <c r="Z68" s="5" t="str">
        <f t="shared" si="62"/>
        <v>1</v>
      </c>
      <c r="AA68" s="5" t="str">
        <f t="shared" si="63"/>
        <v>1</v>
      </c>
      <c r="AB68" s="5" t="str">
        <f t="shared" si="64"/>
        <v>1</v>
      </c>
      <c r="AC68" s="5" t="str">
        <f t="shared" si="65"/>
        <v>1</v>
      </c>
      <c r="AD68" s="5" t="str">
        <f t="shared" si="66"/>
        <v>1</v>
      </c>
      <c r="AE68" s="5" t="str">
        <f t="shared" si="67"/>
        <v>1</v>
      </c>
    </row>
    <row r="69" spans="1:31" ht="14.4" x14ac:dyDescent="0.3">
      <c r="A69" s="14">
        <v>66</v>
      </c>
      <c r="B69" s="24" t="s">
        <v>179</v>
      </c>
      <c r="C69" s="10">
        <v>42</v>
      </c>
      <c r="D69" s="10">
        <v>49</v>
      </c>
      <c r="E69" s="16">
        <v>365</v>
      </c>
      <c r="F69" s="26">
        <v>2.0000000000000001E-4</v>
      </c>
      <c r="G69" s="10">
        <v>900</v>
      </c>
      <c r="H69" s="12">
        <v>2.9999999999999997E-4</v>
      </c>
      <c r="I69" s="17">
        <v>10950</v>
      </c>
      <c r="J69" s="22">
        <v>1</v>
      </c>
      <c r="K69" s="18">
        <f t="shared" si="47"/>
        <v>1.2244897959183673E-4</v>
      </c>
      <c r="L69" s="2">
        <f t="shared" si="48"/>
        <v>6.1224489795918364E-4</v>
      </c>
      <c r="M69" s="2">
        <f t="shared" si="49"/>
        <v>1.2244897959183673E-3</v>
      </c>
      <c r="N69" s="2">
        <f t="shared" si="50"/>
        <v>1.8367346938775509E-3</v>
      </c>
      <c r="O69" s="2">
        <f t="shared" si="51"/>
        <v>2.4489795918367346E-3</v>
      </c>
      <c r="P69" s="2">
        <f t="shared" si="52"/>
        <v>3.0612244897959182E-3</v>
      </c>
      <c r="Q69" s="2">
        <f t="shared" si="53"/>
        <v>3.6734693877551019E-3</v>
      </c>
      <c r="R69" s="2">
        <f t="shared" si="54"/>
        <v>0.40816326530612246</v>
      </c>
      <c r="S69" s="2">
        <f t="shared" si="55"/>
        <v>2.0408163265306123</v>
      </c>
      <c r="T69" s="2">
        <f t="shared" si="56"/>
        <v>4.0816326530612246</v>
      </c>
      <c r="U69" s="2">
        <f t="shared" si="57"/>
        <v>6.1224489795918373</v>
      </c>
      <c r="V69" s="2">
        <f t="shared" si="58"/>
        <v>8.1632653061224492</v>
      </c>
      <c r="W69" s="2">
        <f t="shared" si="59"/>
        <v>10.204081632653061</v>
      </c>
      <c r="X69" s="2">
        <f t="shared" si="60"/>
        <v>12.244897959183675</v>
      </c>
      <c r="Y69" s="5" t="str">
        <f t="shared" si="61"/>
        <v>2</v>
      </c>
      <c r="Z69" s="5" t="str">
        <f t="shared" si="62"/>
        <v>1</v>
      </c>
      <c r="AA69" s="5" t="str">
        <f t="shared" si="63"/>
        <v>1</v>
      </c>
      <c r="AB69" s="5" t="str">
        <f t="shared" si="64"/>
        <v>1</v>
      </c>
      <c r="AC69" s="5" t="str">
        <f t="shared" si="65"/>
        <v>1</v>
      </c>
      <c r="AD69" s="5" t="str">
        <f t="shared" si="66"/>
        <v>1</v>
      </c>
      <c r="AE69" s="5" t="str">
        <f t="shared" si="67"/>
        <v>1</v>
      </c>
    </row>
    <row r="70" spans="1:31" ht="14.4" x14ac:dyDescent="0.3">
      <c r="A70" s="14">
        <v>67</v>
      </c>
      <c r="B70" s="24" t="s">
        <v>112</v>
      </c>
      <c r="C70" s="10">
        <v>42</v>
      </c>
      <c r="D70" s="10">
        <v>78</v>
      </c>
      <c r="E70" s="16">
        <v>365</v>
      </c>
      <c r="F70" s="26">
        <v>2.0000000000000001E-4</v>
      </c>
      <c r="G70" s="10">
        <v>1500</v>
      </c>
      <c r="H70" s="12">
        <v>2.9999999999999997E-4</v>
      </c>
      <c r="I70" s="17">
        <v>10950</v>
      </c>
      <c r="J70" s="22">
        <v>26</v>
      </c>
      <c r="K70" s="18">
        <f t="shared" si="47"/>
        <v>3.3333333333333335E-3</v>
      </c>
      <c r="L70" s="2">
        <f t="shared" si="48"/>
        <v>6.4102564102564103E-4</v>
      </c>
      <c r="M70" s="2">
        <f t="shared" si="49"/>
        <v>1.2820512820512821E-3</v>
      </c>
      <c r="N70" s="2">
        <f t="shared" si="50"/>
        <v>1.9230769230769232E-3</v>
      </c>
      <c r="O70" s="2">
        <f t="shared" si="51"/>
        <v>2.5641025641025641E-3</v>
      </c>
      <c r="P70" s="2">
        <f t="shared" si="52"/>
        <v>3.205128205128205E-3</v>
      </c>
      <c r="Q70" s="2">
        <f t="shared" si="53"/>
        <v>3.8461538461538464E-3</v>
      </c>
      <c r="R70" s="2">
        <f t="shared" si="54"/>
        <v>11.111111111111112</v>
      </c>
      <c r="S70" s="2">
        <f t="shared" si="55"/>
        <v>2.1367521367521372</v>
      </c>
      <c r="T70" s="2">
        <f t="shared" si="56"/>
        <v>4.2735042735042743</v>
      </c>
      <c r="U70" s="2">
        <f t="shared" si="57"/>
        <v>6.4102564102564115</v>
      </c>
      <c r="V70" s="2">
        <f t="shared" si="58"/>
        <v>8.5470085470085486</v>
      </c>
      <c r="W70" s="2">
        <f t="shared" si="59"/>
        <v>10.683760683760685</v>
      </c>
      <c r="X70" s="2">
        <f t="shared" si="60"/>
        <v>12.820512820512823</v>
      </c>
      <c r="Y70" s="5" t="str">
        <f t="shared" si="61"/>
        <v>1</v>
      </c>
      <c r="Z70" s="5" t="str">
        <f t="shared" si="62"/>
        <v>1</v>
      </c>
      <c r="AA70" s="5" t="str">
        <f t="shared" si="63"/>
        <v>1</v>
      </c>
      <c r="AB70" s="5" t="str">
        <f t="shared" si="64"/>
        <v>1</v>
      </c>
      <c r="AC70" s="5" t="str">
        <f t="shared" si="65"/>
        <v>1</v>
      </c>
      <c r="AD70" s="5" t="str">
        <f t="shared" si="66"/>
        <v>1</v>
      </c>
      <c r="AE70" s="5" t="str">
        <f t="shared" si="67"/>
        <v>1</v>
      </c>
    </row>
    <row r="71" spans="1:31" ht="14.4" x14ac:dyDescent="0.3">
      <c r="A71" s="14">
        <v>68</v>
      </c>
      <c r="B71" s="24" t="s">
        <v>144</v>
      </c>
      <c r="C71" s="10">
        <v>42</v>
      </c>
      <c r="D71" s="10">
        <v>80</v>
      </c>
      <c r="E71" s="16">
        <v>365</v>
      </c>
      <c r="F71" s="26">
        <v>2.0000000000000001E-4</v>
      </c>
      <c r="G71" s="10">
        <v>900</v>
      </c>
      <c r="H71" s="12">
        <v>2.9999999999999997E-4</v>
      </c>
      <c r="I71" s="17">
        <v>10950</v>
      </c>
      <c r="J71" s="22">
        <v>20</v>
      </c>
      <c r="K71" s="18">
        <f t="shared" si="47"/>
        <v>1.5E-3</v>
      </c>
      <c r="L71" s="2">
        <f t="shared" si="48"/>
        <v>3.7500000000000001E-4</v>
      </c>
      <c r="M71" s="2">
        <f t="shared" si="49"/>
        <v>7.5000000000000002E-4</v>
      </c>
      <c r="N71" s="2">
        <f t="shared" si="50"/>
        <v>1.1249999999999999E-3</v>
      </c>
      <c r="O71" s="2">
        <f t="shared" si="51"/>
        <v>1.5E-3</v>
      </c>
      <c r="P71" s="2">
        <f t="shared" si="52"/>
        <v>1.8749999999999999E-3</v>
      </c>
      <c r="Q71" s="2">
        <f t="shared" si="53"/>
        <v>2.2499999999999998E-3</v>
      </c>
      <c r="R71" s="2">
        <f t="shared" si="54"/>
        <v>5.0000000000000009</v>
      </c>
      <c r="S71" s="2">
        <f t="shared" si="55"/>
        <v>1.2500000000000002</v>
      </c>
      <c r="T71" s="2">
        <f t="shared" si="56"/>
        <v>2.5000000000000004</v>
      </c>
      <c r="U71" s="2">
        <f t="shared" si="57"/>
        <v>3.75</v>
      </c>
      <c r="V71" s="2">
        <f t="shared" si="58"/>
        <v>5.0000000000000009</v>
      </c>
      <c r="W71" s="2">
        <f t="shared" si="59"/>
        <v>6.25</v>
      </c>
      <c r="X71" s="2">
        <f t="shared" si="60"/>
        <v>7.5</v>
      </c>
      <c r="Y71" s="5" t="str">
        <f t="shared" si="61"/>
        <v>1</v>
      </c>
      <c r="Z71" s="5" t="str">
        <f t="shared" si="62"/>
        <v>1</v>
      </c>
      <c r="AA71" s="5" t="str">
        <f t="shared" si="63"/>
        <v>1</v>
      </c>
      <c r="AB71" s="5" t="str">
        <f t="shared" si="64"/>
        <v>1</v>
      </c>
      <c r="AC71" s="5" t="str">
        <f t="shared" si="65"/>
        <v>1</v>
      </c>
      <c r="AD71" s="5" t="str">
        <f t="shared" si="66"/>
        <v>1</v>
      </c>
      <c r="AE71" s="5" t="str">
        <f t="shared" si="67"/>
        <v>1</v>
      </c>
    </row>
    <row r="72" spans="1:31" ht="14.4" x14ac:dyDescent="0.3">
      <c r="A72" s="14">
        <v>69</v>
      </c>
      <c r="B72" s="24" t="s">
        <v>153</v>
      </c>
      <c r="C72" s="10">
        <v>42</v>
      </c>
      <c r="D72" s="10">
        <v>80</v>
      </c>
      <c r="E72" s="16">
        <v>365</v>
      </c>
      <c r="F72" s="26">
        <v>2.0000000000000001E-4</v>
      </c>
      <c r="G72" s="10">
        <v>900</v>
      </c>
      <c r="H72" s="12">
        <v>2.9999999999999997E-4</v>
      </c>
      <c r="I72" s="17">
        <v>10950</v>
      </c>
      <c r="J72" s="22">
        <v>20</v>
      </c>
      <c r="K72" s="18">
        <f t="shared" si="47"/>
        <v>1.5E-3</v>
      </c>
      <c r="L72" s="2">
        <f t="shared" si="48"/>
        <v>3.7500000000000001E-4</v>
      </c>
      <c r="M72" s="2">
        <f t="shared" si="49"/>
        <v>7.5000000000000002E-4</v>
      </c>
      <c r="N72" s="2">
        <f t="shared" si="50"/>
        <v>1.1249999999999999E-3</v>
      </c>
      <c r="O72" s="2">
        <f t="shared" si="51"/>
        <v>1.5E-3</v>
      </c>
      <c r="P72" s="2">
        <f t="shared" si="52"/>
        <v>1.8749999999999999E-3</v>
      </c>
      <c r="Q72" s="2">
        <f t="shared" si="53"/>
        <v>2.2499999999999998E-3</v>
      </c>
      <c r="R72" s="2">
        <f t="shared" si="54"/>
        <v>5.0000000000000009</v>
      </c>
      <c r="S72" s="2">
        <f t="shared" si="55"/>
        <v>1.2500000000000002</v>
      </c>
      <c r="T72" s="2">
        <f t="shared" si="56"/>
        <v>2.5000000000000004</v>
      </c>
      <c r="U72" s="2">
        <f t="shared" si="57"/>
        <v>3.75</v>
      </c>
      <c r="V72" s="2">
        <f t="shared" si="58"/>
        <v>5.0000000000000009</v>
      </c>
      <c r="W72" s="2">
        <f t="shared" si="59"/>
        <v>6.25</v>
      </c>
      <c r="X72" s="2">
        <f t="shared" si="60"/>
        <v>7.5</v>
      </c>
      <c r="Y72" s="5" t="str">
        <f t="shared" si="61"/>
        <v>1</v>
      </c>
      <c r="Z72" s="5" t="str">
        <f t="shared" si="62"/>
        <v>1</v>
      </c>
      <c r="AA72" s="5" t="str">
        <f t="shared" si="63"/>
        <v>1</v>
      </c>
      <c r="AB72" s="5" t="str">
        <f t="shared" si="64"/>
        <v>1</v>
      </c>
      <c r="AC72" s="5" t="str">
        <f t="shared" si="65"/>
        <v>1</v>
      </c>
      <c r="AD72" s="5" t="str">
        <f t="shared" si="66"/>
        <v>1</v>
      </c>
      <c r="AE72" s="5" t="str">
        <f t="shared" si="67"/>
        <v>1</v>
      </c>
    </row>
    <row r="73" spans="1:31" ht="14.4" x14ac:dyDescent="0.3">
      <c r="A73" s="14">
        <v>70</v>
      </c>
      <c r="B73" s="24" t="s">
        <v>180</v>
      </c>
      <c r="C73" s="10">
        <v>43</v>
      </c>
      <c r="D73" s="10">
        <v>41</v>
      </c>
      <c r="E73" s="16">
        <v>365</v>
      </c>
      <c r="F73" s="26">
        <v>2.0000000000000001E-4</v>
      </c>
      <c r="G73" s="10">
        <v>1500</v>
      </c>
      <c r="H73" s="12">
        <v>2.9999999999999997E-4</v>
      </c>
      <c r="I73" s="17">
        <v>10950</v>
      </c>
      <c r="J73" s="22">
        <v>43</v>
      </c>
      <c r="K73" s="18">
        <f t="shared" si="47"/>
        <v>1.0487804878048781E-2</v>
      </c>
      <c r="L73" s="2">
        <f t="shared" si="48"/>
        <v>1.2195121951219512E-3</v>
      </c>
      <c r="M73" s="2">
        <f t="shared" si="49"/>
        <v>2.4390243902439024E-3</v>
      </c>
      <c r="N73" s="2">
        <f t="shared" si="50"/>
        <v>3.6585365853658539E-3</v>
      </c>
      <c r="O73" s="2">
        <f t="shared" si="51"/>
        <v>4.8780487804878049E-3</v>
      </c>
      <c r="P73" s="2">
        <f t="shared" si="52"/>
        <v>6.0975609756097563E-3</v>
      </c>
      <c r="Q73" s="2">
        <f t="shared" si="53"/>
        <v>7.3170731707317077E-3</v>
      </c>
      <c r="R73" s="2">
        <f t="shared" si="54"/>
        <v>34.959349593495944</v>
      </c>
      <c r="S73" s="2">
        <f t="shared" si="55"/>
        <v>4.0650406504065044</v>
      </c>
      <c r="T73" s="2">
        <f t="shared" si="56"/>
        <v>8.1300813008130088</v>
      </c>
      <c r="U73" s="2">
        <f t="shared" si="57"/>
        <v>12.195121951219514</v>
      </c>
      <c r="V73" s="2">
        <f t="shared" si="58"/>
        <v>16.260162601626018</v>
      </c>
      <c r="W73" s="2">
        <f t="shared" si="59"/>
        <v>20.325203252032523</v>
      </c>
      <c r="X73" s="2">
        <f t="shared" si="60"/>
        <v>24.390243902439028</v>
      </c>
      <c r="Y73" s="5" t="str">
        <f t="shared" si="61"/>
        <v>1</v>
      </c>
      <c r="Z73" s="5" t="str">
        <f t="shared" si="62"/>
        <v>1</v>
      </c>
      <c r="AA73" s="5" t="str">
        <f t="shared" si="63"/>
        <v>1</v>
      </c>
      <c r="AB73" s="5" t="str">
        <f t="shared" si="64"/>
        <v>1</v>
      </c>
      <c r="AC73" s="5" t="str">
        <f t="shared" si="65"/>
        <v>1</v>
      </c>
      <c r="AD73" s="5" t="str">
        <f t="shared" si="66"/>
        <v>1</v>
      </c>
      <c r="AE73" s="5" t="str">
        <f t="shared" si="67"/>
        <v>1</v>
      </c>
    </row>
    <row r="74" spans="1:31" ht="14.4" x14ac:dyDescent="0.3">
      <c r="A74" s="14">
        <v>71</v>
      </c>
      <c r="B74" s="24" t="s">
        <v>115</v>
      </c>
      <c r="C74" s="10">
        <v>43</v>
      </c>
      <c r="D74" s="10">
        <v>41</v>
      </c>
      <c r="E74" s="16">
        <v>365</v>
      </c>
      <c r="F74" s="26">
        <v>2.0000000000000001E-4</v>
      </c>
      <c r="G74" s="10">
        <v>1500</v>
      </c>
      <c r="H74" s="12">
        <v>2.9999999999999997E-4</v>
      </c>
      <c r="I74" s="17">
        <v>10950</v>
      </c>
      <c r="J74" s="22">
        <v>43</v>
      </c>
      <c r="K74" s="18">
        <f t="shared" si="47"/>
        <v>1.0487804878048781E-2</v>
      </c>
      <c r="L74" s="2">
        <f t="shared" si="48"/>
        <v>1.2195121951219512E-3</v>
      </c>
      <c r="M74" s="2">
        <f t="shared" si="49"/>
        <v>2.4390243902439024E-3</v>
      </c>
      <c r="N74" s="2">
        <f t="shared" si="50"/>
        <v>3.6585365853658539E-3</v>
      </c>
      <c r="O74" s="2">
        <f t="shared" si="51"/>
        <v>4.8780487804878049E-3</v>
      </c>
      <c r="P74" s="2">
        <f t="shared" si="52"/>
        <v>6.0975609756097563E-3</v>
      </c>
      <c r="Q74" s="2">
        <f t="shared" si="53"/>
        <v>7.3170731707317077E-3</v>
      </c>
      <c r="R74" s="2">
        <f t="shared" si="54"/>
        <v>34.959349593495944</v>
      </c>
      <c r="S74" s="2">
        <f t="shared" si="55"/>
        <v>4.0650406504065044</v>
      </c>
      <c r="T74" s="2">
        <f t="shared" si="56"/>
        <v>8.1300813008130088</v>
      </c>
      <c r="U74" s="2">
        <f t="shared" si="57"/>
        <v>12.195121951219514</v>
      </c>
      <c r="V74" s="2">
        <f t="shared" si="58"/>
        <v>16.260162601626018</v>
      </c>
      <c r="W74" s="2">
        <f t="shared" si="59"/>
        <v>20.325203252032523</v>
      </c>
      <c r="X74" s="2">
        <f t="shared" si="60"/>
        <v>24.390243902439028</v>
      </c>
      <c r="Y74" s="5" t="str">
        <f t="shared" si="61"/>
        <v>1</v>
      </c>
      <c r="Z74" s="5" t="str">
        <f t="shared" si="62"/>
        <v>1</v>
      </c>
      <c r="AA74" s="5" t="str">
        <f t="shared" si="63"/>
        <v>1</v>
      </c>
      <c r="AB74" s="5" t="str">
        <f t="shared" si="64"/>
        <v>1</v>
      </c>
      <c r="AC74" s="5" t="str">
        <f t="shared" si="65"/>
        <v>1</v>
      </c>
      <c r="AD74" s="5" t="str">
        <f t="shared" si="66"/>
        <v>1</v>
      </c>
      <c r="AE74" s="5" t="str">
        <f t="shared" si="67"/>
        <v>1</v>
      </c>
    </row>
    <row r="75" spans="1:31" ht="14.4" x14ac:dyDescent="0.3">
      <c r="A75" s="14">
        <v>72</v>
      </c>
      <c r="B75" s="24" t="s">
        <v>133</v>
      </c>
      <c r="C75" s="10">
        <v>43</v>
      </c>
      <c r="D75" s="10">
        <v>41</v>
      </c>
      <c r="E75" s="16">
        <v>365</v>
      </c>
      <c r="F75" s="26">
        <v>2.0000000000000001E-4</v>
      </c>
      <c r="G75" s="10">
        <v>1500</v>
      </c>
      <c r="H75" s="12">
        <v>2.9999999999999997E-4</v>
      </c>
      <c r="I75" s="17">
        <v>10950</v>
      </c>
      <c r="J75" s="22">
        <v>43</v>
      </c>
      <c r="K75" s="18">
        <f t="shared" si="47"/>
        <v>1.0487804878048781E-2</v>
      </c>
      <c r="L75" s="2">
        <f t="shared" si="48"/>
        <v>1.2195121951219512E-3</v>
      </c>
      <c r="M75" s="2">
        <f t="shared" si="49"/>
        <v>2.4390243902439024E-3</v>
      </c>
      <c r="N75" s="2">
        <f t="shared" si="50"/>
        <v>3.6585365853658539E-3</v>
      </c>
      <c r="O75" s="2">
        <f t="shared" si="51"/>
        <v>4.8780487804878049E-3</v>
      </c>
      <c r="P75" s="2">
        <f t="shared" si="52"/>
        <v>6.0975609756097563E-3</v>
      </c>
      <c r="Q75" s="2">
        <f t="shared" si="53"/>
        <v>7.3170731707317077E-3</v>
      </c>
      <c r="R75" s="2">
        <f t="shared" si="54"/>
        <v>34.959349593495944</v>
      </c>
      <c r="S75" s="2">
        <f t="shared" si="55"/>
        <v>4.0650406504065044</v>
      </c>
      <c r="T75" s="2">
        <f t="shared" si="56"/>
        <v>8.1300813008130088</v>
      </c>
      <c r="U75" s="2">
        <f t="shared" si="57"/>
        <v>12.195121951219514</v>
      </c>
      <c r="V75" s="2">
        <f t="shared" si="58"/>
        <v>16.260162601626018</v>
      </c>
      <c r="W75" s="2">
        <f t="shared" si="59"/>
        <v>20.325203252032523</v>
      </c>
      <c r="X75" s="2">
        <f t="shared" si="60"/>
        <v>24.390243902439028</v>
      </c>
      <c r="Y75" s="5" t="str">
        <f t="shared" si="61"/>
        <v>1</v>
      </c>
      <c r="Z75" s="5" t="str">
        <f t="shared" si="62"/>
        <v>1</v>
      </c>
      <c r="AA75" s="5" t="str">
        <f t="shared" si="63"/>
        <v>1</v>
      </c>
      <c r="AB75" s="5" t="str">
        <f t="shared" si="64"/>
        <v>1</v>
      </c>
      <c r="AC75" s="5" t="str">
        <f t="shared" si="65"/>
        <v>1</v>
      </c>
      <c r="AD75" s="5" t="str">
        <f t="shared" si="66"/>
        <v>1</v>
      </c>
      <c r="AE75" s="5" t="str">
        <f t="shared" si="67"/>
        <v>1</v>
      </c>
    </row>
    <row r="76" spans="1:31" ht="14.4" x14ac:dyDescent="0.3">
      <c r="A76" s="14">
        <v>73</v>
      </c>
      <c r="B76" s="24" t="s">
        <v>135</v>
      </c>
      <c r="C76" s="10">
        <v>43</v>
      </c>
      <c r="D76" s="10">
        <v>41</v>
      </c>
      <c r="E76" s="16">
        <v>365</v>
      </c>
      <c r="F76" s="26">
        <v>2.0000000000000001E-4</v>
      </c>
      <c r="G76" s="10">
        <v>1500</v>
      </c>
      <c r="H76" s="12">
        <v>2.9999999999999997E-4</v>
      </c>
      <c r="I76" s="17">
        <v>10950</v>
      </c>
      <c r="J76" s="22">
        <v>43</v>
      </c>
      <c r="K76" s="18">
        <f t="shared" si="47"/>
        <v>1.0487804878048781E-2</v>
      </c>
      <c r="L76" s="2">
        <f t="shared" si="48"/>
        <v>1.2195121951219512E-3</v>
      </c>
      <c r="M76" s="2">
        <f t="shared" si="49"/>
        <v>2.4390243902439024E-3</v>
      </c>
      <c r="N76" s="2">
        <f t="shared" si="50"/>
        <v>3.6585365853658539E-3</v>
      </c>
      <c r="O76" s="2">
        <f t="shared" si="51"/>
        <v>4.8780487804878049E-3</v>
      </c>
      <c r="P76" s="2">
        <f t="shared" si="52"/>
        <v>6.0975609756097563E-3</v>
      </c>
      <c r="Q76" s="2">
        <f t="shared" si="53"/>
        <v>7.3170731707317077E-3</v>
      </c>
      <c r="R76" s="2">
        <f t="shared" si="54"/>
        <v>34.959349593495944</v>
      </c>
      <c r="S76" s="2">
        <f t="shared" si="55"/>
        <v>4.0650406504065044</v>
      </c>
      <c r="T76" s="2">
        <f t="shared" si="56"/>
        <v>8.1300813008130088</v>
      </c>
      <c r="U76" s="2">
        <f t="shared" si="57"/>
        <v>12.195121951219514</v>
      </c>
      <c r="V76" s="2">
        <f t="shared" si="58"/>
        <v>16.260162601626018</v>
      </c>
      <c r="W76" s="2">
        <f t="shared" si="59"/>
        <v>20.325203252032523</v>
      </c>
      <c r="X76" s="2">
        <f t="shared" si="60"/>
        <v>24.390243902439028</v>
      </c>
      <c r="Y76" s="5" t="str">
        <f t="shared" si="61"/>
        <v>1</v>
      </c>
      <c r="Z76" s="5" t="str">
        <f t="shared" si="62"/>
        <v>1</v>
      </c>
      <c r="AA76" s="5" t="str">
        <f t="shared" si="63"/>
        <v>1</v>
      </c>
      <c r="AB76" s="5" t="str">
        <f t="shared" si="64"/>
        <v>1</v>
      </c>
      <c r="AC76" s="5" t="str">
        <f t="shared" si="65"/>
        <v>1</v>
      </c>
      <c r="AD76" s="5" t="str">
        <f t="shared" si="66"/>
        <v>1</v>
      </c>
      <c r="AE76" s="5" t="str">
        <f t="shared" si="67"/>
        <v>1</v>
      </c>
    </row>
    <row r="77" spans="1:31" ht="14.4" x14ac:dyDescent="0.3">
      <c r="A77" s="14">
        <v>74</v>
      </c>
      <c r="B77" s="24" t="s">
        <v>156</v>
      </c>
      <c r="C77" s="10">
        <v>43</v>
      </c>
      <c r="D77" s="10">
        <v>41</v>
      </c>
      <c r="E77" s="16">
        <v>365</v>
      </c>
      <c r="F77" s="26">
        <v>2.0000000000000001E-4</v>
      </c>
      <c r="G77" s="10">
        <v>1500</v>
      </c>
      <c r="H77" s="12">
        <v>2.9999999999999997E-4</v>
      </c>
      <c r="I77" s="17">
        <v>10950</v>
      </c>
      <c r="J77" s="22">
        <v>43</v>
      </c>
      <c r="K77" s="18">
        <f t="shared" si="47"/>
        <v>1.0487804878048781E-2</v>
      </c>
      <c r="L77" s="2">
        <f t="shared" si="48"/>
        <v>1.2195121951219512E-3</v>
      </c>
      <c r="M77" s="2">
        <f t="shared" si="49"/>
        <v>2.4390243902439024E-3</v>
      </c>
      <c r="N77" s="2">
        <f t="shared" si="50"/>
        <v>3.6585365853658539E-3</v>
      </c>
      <c r="O77" s="2">
        <f t="shared" si="51"/>
        <v>4.8780487804878049E-3</v>
      </c>
      <c r="P77" s="2">
        <f t="shared" si="52"/>
        <v>6.0975609756097563E-3</v>
      </c>
      <c r="Q77" s="2">
        <f t="shared" si="53"/>
        <v>7.3170731707317077E-3</v>
      </c>
      <c r="R77" s="2">
        <f t="shared" si="54"/>
        <v>34.959349593495944</v>
      </c>
      <c r="S77" s="2">
        <f t="shared" si="55"/>
        <v>4.0650406504065044</v>
      </c>
      <c r="T77" s="2">
        <f t="shared" si="56"/>
        <v>8.1300813008130088</v>
      </c>
      <c r="U77" s="2">
        <f t="shared" si="57"/>
        <v>12.195121951219514</v>
      </c>
      <c r="V77" s="2">
        <f t="shared" si="58"/>
        <v>16.260162601626018</v>
      </c>
      <c r="W77" s="2">
        <f t="shared" si="59"/>
        <v>20.325203252032523</v>
      </c>
      <c r="X77" s="2">
        <f t="shared" si="60"/>
        <v>24.390243902439028</v>
      </c>
      <c r="Y77" s="5" t="str">
        <f t="shared" si="61"/>
        <v>1</v>
      </c>
      <c r="Z77" s="5" t="str">
        <f t="shared" si="62"/>
        <v>1</v>
      </c>
      <c r="AA77" s="5" t="str">
        <f t="shared" si="63"/>
        <v>1</v>
      </c>
      <c r="AB77" s="5" t="str">
        <f t="shared" si="64"/>
        <v>1</v>
      </c>
      <c r="AC77" s="5" t="str">
        <f t="shared" si="65"/>
        <v>1</v>
      </c>
      <c r="AD77" s="5" t="str">
        <f t="shared" si="66"/>
        <v>1</v>
      </c>
      <c r="AE77" s="5" t="str">
        <f t="shared" si="67"/>
        <v>1</v>
      </c>
    </row>
    <row r="78" spans="1:31" ht="14.4" x14ac:dyDescent="0.3">
      <c r="A78" s="14">
        <v>75</v>
      </c>
      <c r="B78" s="24" t="s">
        <v>108</v>
      </c>
      <c r="C78" s="10">
        <v>44</v>
      </c>
      <c r="D78" s="10">
        <v>81</v>
      </c>
      <c r="E78" s="16">
        <v>365</v>
      </c>
      <c r="F78" s="26">
        <v>2.0000000000000001E-4</v>
      </c>
      <c r="G78" s="10">
        <v>1500</v>
      </c>
      <c r="H78" s="12">
        <v>2.9999999999999997E-4</v>
      </c>
      <c r="I78" s="17">
        <v>10950</v>
      </c>
      <c r="J78" s="22">
        <v>21</v>
      </c>
      <c r="K78" s="18">
        <f t="shared" si="47"/>
        <v>2.5925925925925925E-3</v>
      </c>
      <c r="L78" s="2">
        <f t="shared" si="48"/>
        <v>6.1728395061728394E-4</v>
      </c>
      <c r="M78" s="2">
        <f t="shared" si="49"/>
        <v>1.2345679012345679E-3</v>
      </c>
      <c r="N78" s="2">
        <f t="shared" si="50"/>
        <v>1.8518518518518519E-3</v>
      </c>
      <c r="O78" s="2">
        <f t="shared" si="51"/>
        <v>2.4691358024691358E-3</v>
      </c>
      <c r="P78" s="2">
        <f t="shared" si="52"/>
        <v>3.0864197530864196E-3</v>
      </c>
      <c r="Q78" s="2">
        <f t="shared" si="53"/>
        <v>3.7037037037037038E-3</v>
      </c>
      <c r="R78" s="2">
        <f t="shared" si="54"/>
        <v>8.6419753086419764</v>
      </c>
      <c r="S78" s="2">
        <f t="shared" si="55"/>
        <v>2.0576131687242798</v>
      </c>
      <c r="T78" s="2">
        <f t="shared" si="56"/>
        <v>4.1152263374485596</v>
      </c>
      <c r="U78" s="2">
        <f t="shared" si="57"/>
        <v>6.1728395061728403</v>
      </c>
      <c r="V78" s="2">
        <f t="shared" si="58"/>
        <v>8.2304526748971192</v>
      </c>
      <c r="W78" s="2">
        <f t="shared" si="59"/>
        <v>10.2880658436214</v>
      </c>
      <c r="X78" s="2">
        <f t="shared" si="60"/>
        <v>12.345679012345681</v>
      </c>
      <c r="Y78" s="5" t="str">
        <f t="shared" si="61"/>
        <v>1</v>
      </c>
      <c r="Z78" s="5" t="str">
        <f t="shared" si="62"/>
        <v>1</v>
      </c>
      <c r="AA78" s="5" t="str">
        <f t="shared" si="63"/>
        <v>1</v>
      </c>
      <c r="AB78" s="5" t="str">
        <f t="shared" si="64"/>
        <v>1</v>
      </c>
      <c r="AC78" s="5" t="str">
        <f t="shared" si="65"/>
        <v>1</v>
      </c>
      <c r="AD78" s="5" t="str">
        <f t="shared" si="66"/>
        <v>1</v>
      </c>
      <c r="AE78" s="5" t="str">
        <f t="shared" si="67"/>
        <v>1</v>
      </c>
    </row>
    <row r="79" spans="1:31" ht="14.4" x14ac:dyDescent="0.3">
      <c r="A79" s="14">
        <v>76</v>
      </c>
      <c r="B79" s="24" t="s">
        <v>181</v>
      </c>
      <c r="C79" s="10">
        <v>44</v>
      </c>
      <c r="D79" s="10">
        <v>58</v>
      </c>
      <c r="E79" s="16">
        <v>365</v>
      </c>
      <c r="F79" s="26">
        <v>2.0000000000000001E-4</v>
      </c>
      <c r="G79" s="10">
        <v>3000</v>
      </c>
      <c r="H79" s="12">
        <v>2.9999999999999997E-4</v>
      </c>
      <c r="I79" s="17">
        <v>10950</v>
      </c>
      <c r="J79" s="22">
        <v>1</v>
      </c>
      <c r="K79" s="18">
        <f t="shared" si="47"/>
        <v>3.4482758620689653E-4</v>
      </c>
      <c r="L79" s="2">
        <f t="shared" si="48"/>
        <v>1.7241379310344827E-3</v>
      </c>
      <c r="M79" s="2">
        <f t="shared" si="49"/>
        <v>3.4482758620689655E-3</v>
      </c>
      <c r="N79" s="2">
        <f t="shared" si="50"/>
        <v>5.1724137931034482E-3</v>
      </c>
      <c r="O79" s="2">
        <f t="shared" si="51"/>
        <v>6.8965517241379309E-3</v>
      </c>
      <c r="P79" s="2">
        <f t="shared" si="52"/>
        <v>8.6206896551724137E-3</v>
      </c>
      <c r="Q79" s="2">
        <f t="shared" si="53"/>
        <v>1.0344827586206896E-2</v>
      </c>
      <c r="R79" s="2">
        <f t="shared" si="54"/>
        <v>1.1494252873563218</v>
      </c>
      <c r="S79" s="2">
        <f t="shared" si="55"/>
        <v>5.7471264367816097</v>
      </c>
      <c r="T79" s="2">
        <f t="shared" si="56"/>
        <v>11.494252873563219</v>
      </c>
      <c r="U79" s="2">
        <f t="shared" si="57"/>
        <v>17.241379310344829</v>
      </c>
      <c r="V79" s="2">
        <f t="shared" si="58"/>
        <v>22.988505747126439</v>
      </c>
      <c r="W79" s="2">
        <f t="shared" si="59"/>
        <v>28.735632183908049</v>
      </c>
      <c r="X79" s="2">
        <f t="shared" si="60"/>
        <v>34.482758620689658</v>
      </c>
      <c r="Y79" s="5" t="str">
        <f t="shared" si="61"/>
        <v>1</v>
      </c>
      <c r="Z79" s="5" t="str">
        <f t="shared" si="62"/>
        <v>1</v>
      </c>
      <c r="AA79" s="5" t="str">
        <f t="shared" si="63"/>
        <v>1</v>
      </c>
      <c r="AB79" s="5" t="str">
        <f t="shared" si="64"/>
        <v>1</v>
      </c>
      <c r="AC79" s="5" t="str">
        <f t="shared" si="65"/>
        <v>1</v>
      </c>
      <c r="AD79" s="5" t="str">
        <f t="shared" si="66"/>
        <v>1</v>
      </c>
      <c r="AE79" s="5" t="str">
        <f t="shared" si="67"/>
        <v>1</v>
      </c>
    </row>
    <row r="80" spans="1:31" ht="14.4" x14ac:dyDescent="0.3">
      <c r="A80" s="14">
        <v>77</v>
      </c>
      <c r="B80" s="24" t="s">
        <v>127</v>
      </c>
      <c r="C80" s="10">
        <v>44</v>
      </c>
      <c r="D80" s="10">
        <v>58</v>
      </c>
      <c r="E80" s="16">
        <v>365</v>
      </c>
      <c r="F80" s="26">
        <v>2.0000000000000001E-4</v>
      </c>
      <c r="G80" s="10">
        <v>3000</v>
      </c>
      <c r="H80" s="12">
        <v>2.9999999999999997E-4</v>
      </c>
      <c r="I80" s="17">
        <v>10950</v>
      </c>
      <c r="J80" s="22">
        <v>1</v>
      </c>
      <c r="K80" s="18">
        <f t="shared" si="47"/>
        <v>3.4482758620689653E-4</v>
      </c>
      <c r="L80" s="2">
        <f t="shared" si="48"/>
        <v>1.7241379310344827E-3</v>
      </c>
      <c r="M80" s="2">
        <f t="shared" si="49"/>
        <v>3.4482758620689655E-3</v>
      </c>
      <c r="N80" s="2">
        <f t="shared" si="50"/>
        <v>5.1724137931034482E-3</v>
      </c>
      <c r="O80" s="2">
        <f t="shared" si="51"/>
        <v>6.8965517241379309E-3</v>
      </c>
      <c r="P80" s="2">
        <f t="shared" si="52"/>
        <v>8.6206896551724137E-3</v>
      </c>
      <c r="Q80" s="2">
        <f t="shared" si="53"/>
        <v>1.0344827586206896E-2</v>
      </c>
      <c r="R80" s="2">
        <f t="shared" si="54"/>
        <v>1.1494252873563218</v>
      </c>
      <c r="S80" s="2">
        <f t="shared" si="55"/>
        <v>5.7471264367816097</v>
      </c>
      <c r="T80" s="2">
        <f t="shared" si="56"/>
        <v>11.494252873563219</v>
      </c>
      <c r="U80" s="2">
        <f t="shared" si="57"/>
        <v>17.241379310344829</v>
      </c>
      <c r="V80" s="2">
        <f t="shared" si="58"/>
        <v>22.988505747126439</v>
      </c>
      <c r="W80" s="2">
        <f t="shared" si="59"/>
        <v>28.735632183908049</v>
      </c>
      <c r="X80" s="2">
        <f t="shared" si="60"/>
        <v>34.482758620689658</v>
      </c>
      <c r="Y80" s="5" t="str">
        <f t="shared" si="61"/>
        <v>1</v>
      </c>
      <c r="Z80" s="5" t="str">
        <f t="shared" si="62"/>
        <v>1</v>
      </c>
      <c r="AA80" s="5" t="str">
        <f t="shared" si="63"/>
        <v>1</v>
      </c>
      <c r="AB80" s="5" t="str">
        <f t="shared" si="64"/>
        <v>1</v>
      </c>
      <c r="AC80" s="5" t="str">
        <f t="shared" si="65"/>
        <v>1</v>
      </c>
      <c r="AD80" s="5" t="str">
        <f t="shared" si="66"/>
        <v>1</v>
      </c>
      <c r="AE80" s="5" t="str">
        <f t="shared" si="67"/>
        <v>1</v>
      </c>
    </row>
    <row r="81" spans="1:31" ht="14.4" x14ac:dyDescent="0.3">
      <c r="A81" s="14">
        <v>78</v>
      </c>
      <c r="B81" s="24" t="s">
        <v>132</v>
      </c>
      <c r="C81" s="10">
        <v>44</v>
      </c>
      <c r="D81" s="10">
        <v>81</v>
      </c>
      <c r="E81" s="16">
        <v>365</v>
      </c>
      <c r="F81" s="26">
        <v>2.0000000000000001E-4</v>
      </c>
      <c r="G81" s="10">
        <v>1500</v>
      </c>
      <c r="H81" s="12">
        <v>2.9999999999999997E-4</v>
      </c>
      <c r="I81" s="17">
        <v>10950</v>
      </c>
      <c r="J81" s="22">
        <v>21</v>
      </c>
      <c r="K81" s="18">
        <f t="shared" si="47"/>
        <v>2.5925925925925925E-3</v>
      </c>
      <c r="L81" s="2">
        <f t="shared" si="48"/>
        <v>6.1728395061728394E-4</v>
      </c>
      <c r="M81" s="2">
        <f t="shared" si="49"/>
        <v>1.2345679012345679E-3</v>
      </c>
      <c r="N81" s="2">
        <f t="shared" si="50"/>
        <v>1.8518518518518519E-3</v>
      </c>
      <c r="O81" s="2">
        <f t="shared" si="51"/>
        <v>2.4691358024691358E-3</v>
      </c>
      <c r="P81" s="2">
        <f t="shared" si="52"/>
        <v>3.0864197530864196E-3</v>
      </c>
      <c r="Q81" s="2">
        <f t="shared" si="53"/>
        <v>3.7037037037037038E-3</v>
      </c>
      <c r="R81" s="2">
        <f t="shared" si="54"/>
        <v>8.6419753086419764</v>
      </c>
      <c r="S81" s="2">
        <f t="shared" si="55"/>
        <v>2.0576131687242798</v>
      </c>
      <c r="T81" s="2">
        <f t="shared" si="56"/>
        <v>4.1152263374485596</v>
      </c>
      <c r="U81" s="2">
        <f t="shared" si="57"/>
        <v>6.1728395061728403</v>
      </c>
      <c r="V81" s="2">
        <f t="shared" si="58"/>
        <v>8.2304526748971192</v>
      </c>
      <c r="W81" s="2">
        <f t="shared" si="59"/>
        <v>10.2880658436214</v>
      </c>
      <c r="X81" s="2">
        <f t="shared" si="60"/>
        <v>12.345679012345681</v>
      </c>
      <c r="Y81" s="5" t="str">
        <f t="shared" si="61"/>
        <v>1</v>
      </c>
      <c r="Z81" s="5" t="str">
        <f t="shared" si="62"/>
        <v>1</v>
      </c>
      <c r="AA81" s="5" t="str">
        <f t="shared" si="63"/>
        <v>1</v>
      </c>
      <c r="AB81" s="5" t="str">
        <f t="shared" si="64"/>
        <v>1</v>
      </c>
      <c r="AC81" s="5" t="str">
        <f t="shared" si="65"/>
        <v>1</v>
      </c>
      <c r="AD81" s="5" t="str">
        <f t="shared" si="66"/>
        <v>1</v>
      </c>
      <c r="AE81" s="5" t="str">
        <f t="shared" si="67"/>
        <v>1</v>
      </c>
    </row>
    <row r="82" spans="1:31" ht="14.4" x14ac:dyDescent="0.3">
      <c r="A82" s="14">
        <v>79</v>
      </c>
      <c r="B82" s="24" t="s">
        <v>182</v>
      </c>
      <c r="C82" s="10">
        <v>45</v>
      </c>
      <c r="D82" s="10">
        <v>42</v>
      </c>
      <c r="E82" s="16">
        <v>365</v>
      </c>
      <c r="F82" s="26">
        <v>2.0000000000000001E-4</v>
      </c>
      <c r="G82" s="10">
        <v>1800</v>
      </c>
      <c r="H82" s="12">
        <v>2.9999999999999997E-4</v>
      </c>
      <c r="I82" s="17">
        <v>10950</v>
      </c>
      <c r="J82" s="22">
        <v>45</v>
      </c>
      <c r="K82" s="18">
        <f t="shared" si="47"/>
        <v>1.2857142857142857E-2</v>
      </c>
      <c r="L82" s="2">
        <f t="shared" si="48"/>
        <v>1.4285714285714286E-3</v>
      </c>
      <c r="M82" s="2">
        <f t="shared" si="49"/>
        <v>2.8571428571428571E-3</v>
      </c>
      <c r="N82" s="2">
        <f t="shared" si="50"/>
        <v>4.2857142857142859E-3</v>
      </c>
      <c r="O82" s="2">
        <f t="shared" si="51"/>
        <v>5.7142857142857143E-3</v>
      </c>
      <c r="P82" s="2">
        <f t="shared" si="52"/>
        <v>7.1428571428571426E-3</v>
      </c>
      <c r="Q82" s="2">
        <f t="shared" si="53"/>
        <v>8.5714285714285719E-3</v>
      </c>
      <c r="R82" s="2">
        <f t="shared" si="54"/>
        <v>42.857142857142861</v>
      </c>
      <c r="S82" s="2">
        <f t="shared" si="55"/>
        <v>4.7619047619047628</v>
      </c>
      <c r="T82" s="2">
        <f t="shared" si="56"/>
        <v>9.5238095238095255</v>
      </c>
      <c r="U82" s="2">
        <f t="shared" si="57"/>
        <v>14.285714285714288</v>
      </c>
      <c r="V82" s="2">
        <f t="shared" si="58"/>
        <v>19.047619047619051</v>
      </c>
      <c r="W82" s="2">
        <f t="shared" si="59"/>
        <v>23.80952380952381</v>
      </c>
      <c r="X82" s="2">
        <f t="shared" si="60"/>
        <v>28.571428571428577</v>
      </c>
      <c r="Y82" s="5" t="str">
        <f t="shared" si="61"/>
        <v>1</v>
      </c>
      <c r="Z82" s="5" t="str">
        <f t="shared" si="62"/>
        <v>1</v>
      </c>
      <c r="AA82" s="5" t="str">
        <f t="shared" si="63"/>
        <v>1</v>
      </c>
      <c r="AB82" s="5" t="str">
        <f t="shared" si="64"/>
        <v>1</v>
      </c>
      <c r="AC82" s="5" t="str">
        <f t="shared" si="65"/>
        <v>1</v>
      </c>
      <c r="AD82" s="5" t="str">
        <f t="shared" si="66"/>
        <v>1</v>
      </c>
      <c r="AE82" s="5" t="str">
        <f t="shared" si="67"/>
        <v>1</v>
      </c>
    </row>
    <row r="83" spans="1:31" ht="14.4" x14ac:dyDescent="0.3">
      <c r="A83" s="14">
        <v>80</v>
      </c>
      <c r="B83" s="24" t="s">
        <v>183</v>
      </c>
      <c r="C83" s="10">
        <v>45</v>
      </c>
      <c r="D83" s="10">
        <v>50</v>
      </c>
      <c r="E83" s="16">
        <v>365</v>
      </c>
      <c r="F83" s="26">
        <v>2.0000000000000001E-4</v>
      </c>
      <c r="G83" s="10">
        <v>900</v>
      </c>
      <c r="H83" s="12">
        <v>2.9999999999999997E-4</v>
      </c>
      <c r="I83" s="17">
        <v>10950</v>
      </c>
      <c r="J83" s="22">
        <v>1</v>
      </c>
      <c r="K83" s="18">
        <f t="shared" si="47"/>
        <v>1.2E-4</v>
      </c>
      <c r="L83" s="2">
        <f t="shared" si="48"/>
        <v>5.9999999999999995E-4</v>
      </c>
      <c r="M83" s="2">
        <f t="shared" si="49"/>
        <v>1.1999999999999999E-3</v>
      </c>
      <c r="N83" s="2">
        <f t="shared" si="50"/>
        <v>1.8E-3</v>
      </c>
      <c r="O83" s="2">
        <f t="shared" si="51"/>
        <v>2.3999999999999998E-3</v>
      </c>
      <c r="P83" s="2">
        <f t="shared" si="52"/>
        <v>3.0000000000000001E-3</v>
      </c>
      <c r="Q83" s="2">
        <f t="shared" si="53"/>
        <v>3.5999999999999999E-3</v>
      </c>
      <c r="R83" s="2">
        <f t="shared" si="54"/>
        <v>0.4</v>
      </c>
      <c r="S83" s="2">
        <f t="shared" si="55"/>
        <v>2</v>
      </c>
      <c r="T83" s="2">
        <f t="shared" si="56"/>
        <v>4</v>
      </c>
      <c r="U83" s="2">
        <f t="shared" si="57"/>
        <v>6</v>
      </c>
      <c r="V83" s="2">
        <f t="shared" si="58"/>
        <v>8</v>
      </c>
      <c r="W83" s="2">
        <f t="shared" si="59"/>
        <v>10.000000000000002</v>
      </c>
      <c r="X83" s="2">
        <f t="shared" si="60"/>
        <v>12</v>
      </c>
      <c r="Y83" s="5" t="str">
        <f t="shared" si="61"/>
        <v>2</v>
      </c>
      <c r="Z83" s="5" t="str">
        <f t="shared" si="62"/>
        <v>1</v>
      </c>
      <c r="AA83" s="5" t="str">
        <f t="shared" si="63"/>
        <v>1</v>
      </c>
      <c r="AB83" s="5" t="str">
        <f t="shared" si="64"/>
        <v>1</v>
      </c>
      <c r="AC83" s="5" t="str">
        <f t="shared" si="65"/>
        <v>1</v>
      </c>
      <c r="AD83" s="5" t="str">
        <f t="shared" si="66"/>
        <v>1</v>
      </c>
      <c r="AE83" s="5" t="str">
        <f t="shared" si="67"/>
        <v>1</v>
      </c>
    </row>
    <row r="84" spans="1:31" ht="14.4" x14ac:dyDescent="0.3">
      <c r="A84" s="14">
        <v>81</v>
      </c>
      <c r="B84" s="24" t="s">
        <v>123</v>
      </c>
      <c r="C84" s="10">
        <v>45</v>
      </c>
      <c r="D84" s="10">
        <v>42</v>
      </c>
      <c r="E84" s="16">
        <v>365</v>
      </c>
      <c r="F84" s="26">
        <v>2.0000000000000001E-4</v>
      </c>
      <c r="G84" s="10">
        <v>1800</v>
      </c>
      <c r="H84" s="12">
        <v>2.9999999999999997E-4</v>
      </c>
      <c r="I84" s="17">
        <v>10950</v>
      </c>
      <c r="J84" s="22">
        <v>45</v>
      </c>
      <c r="K84" s="18">
        <f t="shared" si="47"/>
        <v>1.2857142857142857E-2</v>
      </c>
      <c r="L84" s="2">
        <f t="shared" si="48"/>
        <v>1.4285714285714286E-3</v>
      </c>
      <c r="M84" s="2">
        <f t="shared" si="49"/>
        <v>2.8571428571428571E-3</v>
      </c>
      <c r="N84" s="2">
        <f t="shared" si="50"/>
        <v>4.2857142857142859E-3</v>
      </c>
      <c r="O84" s="2">
        <f t="shared" si="51"/>
        <v>5.7142857142857143E-3</v>
      </c>
      <c r="P84" s="2">
        <f t="shared" si="52"/>
        <v>7.1428571428571426E-3</v>
      </c>
      <c r="Q84" s="2">
        <f t="shared" si="53"/>
        <v>8.5714285714285719E-3</v>
      </c>
      <c r="R84" s="2">
        <f t="shared" si="54"/>
        <v>42.857142857142861</v>
      </c>
      <c r="S84" s="2">
        <f t="shared" si="55"/>
        <v>4.7619047619047628</v>
      </c>
      <c r="T84" s="2">
        <f t="shared" si="56"/>
        <v>9.5238095238095255</v>
      </c>
      <c r="U84" s="2">
        <f t="shared" si="57"/>
        <v>14.285714285714288</v>
      </c>
      <c r="V84" s="2">
        <f t="shared" si="58"/>
        <v>19.047619047619051</v>
      </c>
      <c r="W84" s="2">
        <f t="shared" si="59"/>
        <v>23.80952380952381</v>
      </c>
      <c r="X84" s="2">
        <f t="shared" si="60"/>
        <v>28.571428571428577</v>
      </c>
      <c r="Y84" s="5" t="str">
        <f t="shared" si="61"/>
        <v>1</v>
      </c>
      <c r="Z84" s="5" t="str">
        <f t="shared" si="62"/>
        <v>1</v>
      </c>
      <c r="AA84" s="5" t="str">
        <f t="shared" si="63"/>
        <v>1</v>
      </c>
      <c r="AB84" s="5" t="str">
        <f t="shared" si="64"/>
        <v>1</v>
      </c>
      <c r="AC84" s="5" t="str">
        <f t="shared" si="65"/>
        <v>1</v>
      </c>
      <c r="AD84" s="5" t="str">
        <f t="shared" si="66"/>
        <v>1</v>
      </c>
      <c r="AE84" s="5" t="str">
        <f t="shared" si="67"/>
        <v>1</v>
      </c>
    </row>
    <row r="85" spans="1:31" ht="14.4" x14ac:dyDescent="0.3">
      <c r="A85" s="14">
        <v>82</v>
      </c>
      <c r="B85" s="24" t="s">
        <v>140</v>
      </c>
      <c r="C85" s="10">
        <v>45</v>
      </c>
      <c r="D85" s="10">
        <v>50</v>
      </c>
      <c r="E85" s="16">
        <v>365</v>
      </c>
      <c r="F85" s="26">
        <v>2.0000000000000001E-4</v>
      </c>
      <c r="G85" s="10">
        <v>900</v>
      </c>
      <c r="H85" s="12">
        <v>2.9999999999999997E-4</v>
      </c>
      <c r="I85" s="17">
        <v>10950</v>
      </c>
      <c r="J85" s="22">
        <v>1</v>
      </c>
      <c r="K85" s="18">
        <f t="shared" si="47"/>
        <v>1.2E-4</v>
      </c>
      <c r="L85" s="2">
        <f t="shared" si="48"/>
        <v>5.9999999999999995E-4</v>
      </c>
      <c r="M85" s="2">
        <f t="shared" si="49"/>
        <v>1.1999999999999999E-3</v>
      </c>
      <c r="N85" s="2">
        <f t="shared" si="50"/>
        <v>1.8E-3</v>
      </c>
      <c r="O85" s="2">
        <f t="shared" si="51"/>
        <v>2.3999999999999998E-3</v>
      </c>
      <c r="P85" s="2">
        <f t="shared" si="52"/>
        <v>3.0000000000000001E-3</v>
      </c>
      <c r="Q85" s="2">
        <f t="shared" si="53"/>
        <v>3.5999999999999999E-3</v>
      </c>
      <c r="R85" s="2">
        <f t="shared" si="54"/>
        <v>0.4</v>
      </c>
      <c r="S85" s="2">
        <f t="shared" si="55"/>
        <v>2</v>
      </c>
      <c r="T85" s="2">
        <f t="shared" si="56"/>
        <v>4</v>
      </c>
      <c r="U85" s="2">
        <f t="shared" si="57"/>
        <v>6</v>
      </c>
      <c r="V85" s="2">
        <f t="shared" si="58"/>
        <v>8</v>
      </c>
      <c r="W85" s="2">
        <f t="shared" si="59"/>
        <v>10.000000000000002</v>
      </c>
      <c r="X85" s="2">
        <f t="shared" si="60"/>
        <v>12</v>
      </c>
      <c r="Y85" s="5" t="str">
        <f t="shared" si="61"/>
        <v>2</v>
      </c>
      <c r="Z85" s="5" t="str">
        <f t="shared" si="62"/>
        <v>1</v>
      </c>
      <c r="AA85" s="5" t="str">
        <f t="shared" si="63"/>
        <v>1</v>
      </c>
      <c r="AB85" s="5" t="str">
        <f t="shared" si="64"/>
        <v>1</v>
      </c>
      <c r="AC85" s="5" t="str">
        <f t="shared" si="65"/>
        <v>1</v>
      </c>
      <c r="AD85" s="5" t="str">
        <f t="shared" si="66"/>
        <v>1</v>
      </c>
      <c r="AE85" s="5" t="str">
        <f t="shared" si="67"/>
        <v>1</v>
      </c>
    </row>
    <row r="86" spans="1:31" ht="14.4" x14ac:dyDescent="0.3">
      <c r="A86" s="14">
        <v>83</v>
      </c>
      <c r="B86" s="24" t="s">
        <v>150</v>
      </c>
      <c r="C86" s="10">
        <v>45</v>
      </c>
      <c r="D86" s="10">
        <v>50</v>
      </c>
      <c r="E86" s="16">
        <v>365</v>
      </c>
      <c r="F86" s="26">
        <v>2.0000000000000001E-4</v>
      </c>
      <c r="G86" s="10">
        <v>900</v>
      </c>
      <c r="H86" s="12">
        <v>2.9999999999999997E-4</v>
      </c>
      <c r="I86" s="17">
        <v>10950</v>
      </c>
      <c r="J86" s="22">
        <v>1</v>
      </c>
      <c r="K86" s="18">
        <f t="shared" si="47"/>
        <v>1.2E-4</v>
      </c>
      <c r="L86" s="2">
        <f t="shared" si="48"/>
        <v>5.9999999999999995E-4</v>
      </c>
      <c r="M86" s="2">
        <f t="shared" si="49"/>
        <v>1.1999999999999999E-3</v>
      </c>
      <c r="N86" s="2">
        <f t="shared" si="50"/>
        <v>1.8E-3</v>
      </c>
      <c r="O86" s="2">
        <f t="shared" si="51"/>
        <v>2.3999999999999998E-3</v>
      </c>
      <c r="P86" s="2">
        <f t="shared" si="52"/>
        <v>3.0000000000000001E-3</v>
      </c>
      <c r="Q86" s="2">
        <f t="shared" si="53"/>
        <v>3.5999999999999999E-3</v>
      </c>
      <c r="R86" s="2">
        <f t="shared" si="54"/>
        <v>0.4</v>
      </c>
      <c r="S86" s="2">
        <f t="shared" si="55"/>
        <v>2</v>
      </c>
      <c r="T86" s="2">
        <f t="shared" si="56"/>
        <v>4</v>
      </c>
      <c r="U86" s="2">
        <f t="shared" si="57"/>
        <v>6</v>
      </c>
      <c r="V86" s="2">
        <f t="shared" si="58"/>
        <v>8</v>
      </c>
      <c r="W86" s="2">
        <f t="shared" si="59"/>
        <v>10.000000000000002</v>
      </c>
      <c r="X86" s="2">
        <f t="shared" si="60"/>
        <v>12</v>
      </c>
      <c r="Y86" s="5" t="str">
        <f t="shared" si="61"/>
        <v>2</v>
      </c>
      <c r="Z86" s="5" t="str">
        <f t="shared" si="62"/>
        <v>1</v>
      </c>
      <c r="AA86" s="5" t="str">
        <f t="shared" si="63"/>
        <v>1</v>
      </c>
      <c r="AB86" s="5" t="str">
        <f t="shared" si="64"/>
        <v>1</v>
      </c>
      <c r="AC86" s="5" t="str">
        <f t="shared" si="65"/>
        <v>1</v>
      </c>
      <c r="AD86" s="5" t="str">
        <f t="shared" si="66"/>
        <v>1</v>
      </c>
      <c r="AE86" s="5" t="str">
        <f t="shared" si="67"/>
        <v>1</v>
      </c>
    </row>
    <row r="87" spans="1:31" ht="14.4" x14ac:dyDescent="0.3">
      <c r="A87" s="14">
        <v>84</v>
      </c>
      <c r="B87" s="24" t="s">
        <v>184</v>
      </c>
      <c r="C87" s="10">
        <v>46</v>
      </c>
      <c r="D87" s="10">
        <v>54</v>
      </c>
      <c r="E87" s="16">
        <v>365</v>
      </c>
      <c r="F87" s="26">
        <v>2.0000000000000001E-4</v>
      </c>
      <c r="G87" s="10">
        <v>900</v>
      </c>
      <c r="H87" s="12">
        <v>2.9999999999999997E-4</v>
      </c>
      <c r="I87" s="17">
        <v>10950</v>
      </c>
      <c r="J87" s="22">
        <v>10</v>
      </c>
      <c r="K87" s="18">
        <f t="shared" si="47"/>
        <v>1.1111111111111111E-3</v>
      </c>
      <c r="L87" s="2">
        <f t="shared" si="48"/>
        <v>5.5555555555555556E-4</v>
      </c>
      <c r="M87" s="2">
        <f t="shared" si="49"/>
        <v>1.1111111111111111E-3</v>
      </c>
      <c r="N87" s="2">
        <f t="shared" si="50"/>
        <v>1.6666666666666668E-3</v>
      </c>
      <c r="O87" s="2">
        <f t="shared" si="51"/>
        <v>2.2222222222222222E-3</v>
      </c>
      <c r="P87" s="2">
        <f t="shared" si="52"/>
        <v>2.7777777777777779E-3</v>
      </c>
      <c r="Q87" s="2">
        <f t="shared" si="53"/>
        <v>3.3333333333333335E-3</v>
      </c>
      <c r="R87" s="2">
        <f t="shared" si="54"/>
        <v>3.7037037037037042</v>
      </c>
      <c r="S87" s="2">
        <f t="shared" si="55"/>
        <v>1.8518518518518521</v>
      </c>
      <c r="T87" s="2">
        <f t="shared" si="56"/>
        <v>3.7037037037037042</v>
      </c>
      <c r="U87" s="2">
        <f t="shared" si="57"/>
        <v>5.5555555555555562</v>
      </c>
      <c r="V87" s="2">
        <f t="shared" si="58"/>
        <v>7.4074074074074083</v>
      </c>
      <c r="W87" s="2">
        <f t="shared" si="59"/>
        <v>9.2592592592592613</v>
      </c>
      <c r="X87" s="2">
        <f t="shared" si="60"/>
        <v>11.111111111111112</v>
      </c>
      <c r="Y87" s="5" t="str">
        <f t="shared" si="61"/>
        <v>1</v>
      </c>
      <c r="Z87" s="5" t="str">
        <f t="shared" si="62"/>
        <v>1</v>
      </c>
      <c r="AA87" s="5" t="str">
        <f t="shared" si="63"/>
        <v>1</v>
      </c>
      <c r="AB87" s="5" t="str">
        <f t="shared" si="64"/>
        <v>1</v>
      </c>
      <c r="AC87" s="5" t="str">
        <f t="shared" si="65"/>
        <v>1</v>
      </c>
      <c r="AD87" s="5" t="str">
        <f t="shared" si="66"/>
        <v>1</v>
      </c>
      <c r="AE87" s="5" t="str">
        <f t="shared" si="67"/>
        <v>1</v>
      </c>
    </row>
    <row r="88" spans="1:31" ht="14.4" x14ac:dyDescent="0.3">
      <c r="A88" s="14">
        <v>85</v>
      </c>
      <c r="B88" s="24" t="s">
        <v>141</v>
      </c>
      <c r="C88" s="10">
        <v>46</v>
      </c>
      <c r="D88" s="10">
        <v>54</v>
      </c>
      <c r="E88" s="16">
        <v>365</v>
      </c>
      <c r="F88" s="26">
        <v>2.0000000000000001E-4</v>
      </c>
      <c r="G88" s="10">
        <v>900</v>
      </c>
      <c r="H88" s="12">
        <v>2.9999999999999997E-4</v>
      </c>
      <c r="I88" s="17">
        <v>10950</v>
      </c>
      <c r="J88" s="22">
        <v>10</v>
      </c>
      <c r="K88" s="18">
        <f t="shared" si="47"/>
        <v>1.1111111111111111E-3</v>
      </c>
      <c r="L88" s="2">
        <f t="shared" si="48"/>
        <v>5.5555555555555556E-4</v>
      </c>
      <c r="M88" s="2">
        <f t="shared" si="49"/>
        <v>1.1111111111111111E-3</v>
      </c>
      <c r="N88" s="2">
        <f t="shared" si="50"/>
        <v>1.6666666666666668E-3</v>
      </c>
      <c r="O88" s="2">
        <f t="shared" si="51"/>
        <v>2.2222222222222222E-3</v>
      </c>
      <c r="P88" s="2">
        <f t="shared" si="52"/>
        <v>2.7777777777777779E-3</v>
      </c>
      <c r="Q88" s="2">
        <f t="shared" si="53"/>
        <v>3.3333333333333335E-3</v>
      </c>
      <c r="R88" s="2">
        <f t="shared" si="54"/>
        <v>3.7037037037037042</v>
      </c>
      <c r="S88" s="2">
        <f t="shared" si="55"/>
        <v>1.8518518518518521</v>
      </c>
      <c r="T88" s="2">
        <f t="shared" si="56"/>
        <v>3.7037037037037042</v>
      </c>
      <c r="U88" s="2">
        <f t="shared" si="57"/>
        <v>5.5555555555555562</v>
      </c>
      <c r="V88" s="2">
        <f t="shared" si="58"/>
        <v>7.4074074074074083</v>
      </c>
      <c r="W88" s="2">
        <f t="shared" si="59"/>
        <v>9.2592592592592613</v>
      </c>
      <c r="X88" s="2">
        <f t="shared" si="60"/>
        <v>11.111111111111112</v>
      </c>
      <c r="Y88" s="5" t="str">
        <f t="shared" si="61"/>
        <v>1</v>
      </c>
      <c r="Z88" s="5" t="str">
        <f t="shared" si="62"/>
        <v>1</v>
      </c>
      <c r="AA88" s="5" t="str">
        <f t="shared" si="63"/>
        <v>1</v>
      </c>
      <c r="AB88" s="5" t="str">
        <f t="shared" si="64"/>
        <v>1</v>
      </c>
      <c r="AC88" s="5" t="str">
        <f t="shared" si="65"/>
        <v>1</v>
      </c>
      <c r="AD88" s="5" t="str">
        <f t="shared" si="66"/>
        <v>1</v>
      </c>
      <c r="AE88" s="5" t="str">
        <f t="shared" si="67"/>
        <v>1</v>
      </c>
    </row>
    <row r="89" spans="1:31" ht="14.4" x14ac:dyDescent="0.3">
      <c r="A89" s="14">
        <v>86</v>
      </c>
      <c r="B89" s="24" t="s">
        <v>151</v>
      </c>
      <c r="C89" s="10">
        <v>46</v>
      </c>
      <c r="D89" s="10">
        <v>54</v>
      </c>
      <c r="E89" s="16">
        <v>365</v>
      </c>
      <c r="F89" s="26">
        <v>2.0000000000000001E-4</v>
      </c>
      <c r="G89" s="10">
        <v>900</v>
      </c>
      <c r="H89" s="12">
        <v>2.9999999999999997E-4</v>
      </c>
      <c r="I89" s="17">
        <v>10950</v>
      </c>
      <c r="J89" s="22">
        <v>10</v>
      </c>
      <c r="K89" s="18">
        <f t="shared" si="47"/>
        <v>1.1111111111111111E-3</v>
      </c>
      <c r="L89" s="2">
        <f t="shared" si="48"/>
        <v>5.5555555555555556E-4</v>
      </c>
      <c r="M89" s="2">
        <f t="shared" si="49"/>
        <v>1.1111111111111111E-3</v>
      </c>
      <c r="N89" s="2">
        <f t="shared" si="50"/>
        <v>1.6666666666666668E-3</v>
      </c>
      <c r="O89" s="2">
        <f t="shared" si="51"/>
        <v>2.2222222222222222E-3</v>
      </c>
      <c r="P89" s="2">
        <f t="shared" si="52"/>
        <v>2.7777777777777779E-3</v>
      </c>
      <c r="Q89" s="2">
        <f t="shared" si="53"/>
        <v>3.3333333333333335E-3</v>
      </c>
      <c r="R89" s="2">
        <f t="shared" si="54"/>
        <v>3.7037037037037042</v>
      </c>
      <c r="S89" s="2">
        <f t="shared" si="55"/>
        <v>1.8518518518518521</v>
      </c>
      <c r="T89" s="2">
        <f t="shared" si="56"/>
        <v>3.7037037037037042</v>
      </c>
      <c r="U89" s="2">
        <f t="shared" si="57"/>
        <v>5.5555555555555562</v>
      </c>
      <c r="V89" s="2">
        <f t="shared" si="58"/>
        <v>7.4074074074074083</v>
      </c>
      <c r="W89" s="2">
        <f t="shared" si="59"/>
        <v>9.2592592592592613</v>
      </c>
      <c r="X89" s="2">
        <f t="shared" si="60"/>
        <v>11.111111111111112</v>
      </c>
      <c r="Y89" s="5" t="str">
        <f t="shared" si="61"/>
        <v>1</v>
      </c>
      <c r="Z89" s="5" t="str">
        <f t="shared" si="62"/>
        <v>1</v>
      </c>
      <c r="AA89" s="5" t="str">
        <f t="shared" si="63"/>
        <v>1</v>
      </c>
      <c r="AB89" s="5" t="str">
        <f t="shared" si="64"/>
        <v>1</v>
      </c>
      <c r="AC89" s="5" t="str">
        <f t="shared" si="65"/>
        <v>1</v>
      </c>
      <c r="AD89" s="5" t="str">
        <f t="shared" si="66"/>
        <v>1</v>
      </c>
      <c r="AE89" s="5" t="str">
        <f t="shared" si="67"/>
        <v>1</v>
      </c>
    </row>
    <row r="90" spans="1:31" ht="14.4" x14ac:dyDescent="0.3">
      <c r="A90" s="14">
        <v>87</v>
      </c>
      <c r="B90" s="24" t="s">
        <v>185</v>
      </c>
      <c r="C90" s="10">
        <v>47</v>
      </c>
      <c r="D90" s="10">
        <v>60</v>
      </c>
      <c r="E90" s="16">
        <v>365</v>
      </c>
      <c r="F90" s="26">
        <v>2.0000000000000001E-4</v>
      </c>
      <c r="G90" s="10">
        <v>900</v>
      </c>
      <c r="H90" s="12">
        <v>2.9999999999999997E-4</v>
      </c>
      <c r="I90" s="17">
        <v>10950</v>
      </c>
      <c r="J90" s="22">
        <v>10</v>
      </c>
      <c r="K90" s="18">
        <f t="shared" si="47"/>
        <v>1E-3</v>
      </c>
      <c r="L90" s="2">
        <f t="shared" si="48"/>
        <v>5.0000000000000001E-4</v>
      </c>
      <c r="M90" s="2">
        <f t="shared" si="49"/>
        <v>1E-3</v>
      </c>
      <c r="N90" s="2">
        <f t="shared" si="50"/>
        <v>1.5E-3</v>
      </c>
      <c r="O90" s="2">
        <f t="shared" si="51"/>
        <v>2E-3</v>
      </c>
      <c r="P90" s="2">
        <f t="shared" si="52"/>
        <v>2.5000000000000001E-3</v>
      </c>
      <c r="Q90" s="2">
        <f t="shared" si="53"/>
        <v>3.0000000000000001E-3</v>
      </c>
      <c r="R90" s="2">
        <f t="shared" si="54"/>
        <v>3.3333333333333335</v>
      </c>
      <c r="S90" s="2">
        <f t="shared" si="55"/>
        <v>1.6666666666666667</v>
      </c>
      <c r="T90" s="2">
        <f t="shared" si="56"/>
        <v>3.3333333333333335</v>
      </c>
      <c r="U90" s="2">
        <f t="shared" si="57"/>
        <v>5.0000000000000009</v>
      </c>
      <c r="V90" s="2">
        <f t="shared" si="58"/>
        <v>6.666666666666667</v>
      </c>
      <c r="W90" s="2">
        <f t="shared" si="59"/>
        <v>8.3333333333333339</v>
      </c>
      <c r="X90" s="2">
        <f t="shared" si="60"/>
        <v>10.000000000000002</v>
      </c>
      <c r="Y90" s="5" t="str">
        <f t="shared" si="61"/>
        <v>1</v>
      </c>
      <c r="Z90" s="5" t="str">
        <f t="shared" si="62"/>
        <v>1</v>
      </c>
      <c r="AA90" s="5" t="str">
        <f t="shared" si="63"/>
        <v>1</v>
      </c>
      <c r="AB90" s="5" t="str">
        <f t="shared" si="64"/>
        <v>1</v>
      </c>
      <c r="AC90" s="5" t="str">
        <f t="shared" si="65"/>
        <v>1</v>
      </c>
      <c r="AD90" s="5" t="str">
        <f t="shared" si="66"/>
        <v>1</v>
      </c>
      <c r="AE90" s="5" t="str">
        <f t="shared" si="67"/>
        <v>1</v>
      </c>
    </row>
    <row r="91" spans="1:31" ht="14.4" x14ac:dyDescent="0.3">
      <c r="A91" s="14">
        <v>88</v>
      </c>
      <c r="B91" s="24" t="s">
        <v>186</v>
      </c>
      <c r="C91" s="10">
        <v>49</v>
      </c>
      <c r="D91" s="10">
        <v>58</v>
      </c>
      <c r="E91" s="16">
        <v>365</v>
      </c>
      <c r="F91" s="26">
        <v>2.0000000000000001E-4</v>
      </c>
      <c r="G91" s="10">
        <v>900</v>
      </c>
      <c r="H91" s="12">
        <v>2.9999999999999997E-4</v>
      </c>
      <c r="I91" s="17">
        <v>10950</v>
      </c>
      <c r="J91" s="22">
        <v>40</v>
      </c>
      <c r="K91" s="18">
        <f t="shared" si="47"/>
        <v>4.1379310344827587E-3</v>
      </c>
      <c r="L91" s="2">
        <f t="shared" si="48"/>
        <v>5.1724137931034484E-4</v>
      </c>
      <c r="M91" s="2">
        <f t="shared" si="49"/>
        <v>1.0344827586206897E-3</v>
      </c>
      <c r="N91" s="2">
        <f t="shared" si="50"/>
        <v>1.5517241379310344E-3</v>
      </c>
      <c r="O91" s="2">
        <f t="shared" si="51"/>
        <v>2.0689655172413794E-3</v>
      </c>
      <c r="P91" s="2">
        <f t="shared" si="52"/>
        <v>2.5862068965517241E-3</v>
      </c>
      <c r="Q91" s="2">
        <f t="shared" si="53"/>
        <v>3.1034482758620688E-3</v>
      </c>
      <c r="R91" s="2">
        <f t="shared" si="54"/>
        <v>13.793103448275863</v>
      </c>
      <c r="S91" s="2">
        <f t="shared" si="55"/>
        <v>1.7241379310344829</v>
      </c>
      <c r="T91" s="2">
        <f t="shared" si="56"/>
        <v>3.4482758620689657</v>
      </c>
      <c r="U91" s="2">
        <f t="shared" si="57"/>
        <v>5.1724137931034484</v>
      </c>
      <c r="V91" s="2">
        <f t="shared" si="58"/>
        <v>6.8965517241379315</v>
      </c>
      <c r="W91" s="2">
        <f t="shared" si="59"/>
        <v>8.6206896551724146</v>
      </c>
      <c r="X91" s="2">
        <f t="shared" si="60"/>
        <v>10.344827586206897</v>
      </c>
      <c r="Y91" s="5" t="str">
        <f t="shared" si="61"/>
        <v>1</v>
      </c>
      <c r="Z91" s="5" t="str">
        <f t="shared" si="62"/>
        <v>1</v>
      </c>
      <c r="AA91" s="5" t="str">
        <f t="shared" si="63"/>
        <v>1</v>
      </c>
      <c r="AB91" s="5" t="str">
        <f t="shared" si="64"/>
        <v>1</v>
      </c>
      <c r="AC91" s="5" t="str">
        <f t="shared" si="65"/>
        <v>1</v>
      </c>
      <c r="AD91" s="5" t="str">
        <f t="shared" si="66"/>
        <v>1</v>
      </c>
      <c r="AE91" s="5" t="str">
        <f t="shared" si="67"/>
        <v>1</v>
      </c>
    </row>
    <row r="92" spans="1:31" ht="14.4" x14ac:dyDescent="0.3">
      <c r="A92" s="14">
        <v>89</v>
      </c>
      <c r="B92" s="24" t="s">
        <v>187</v>
      </c>
      <c r="C92" s="10">
        <v>52</v>
      </c>
      <c r="D92" s="10">
        <v>61</v>
      </c>
      <c r="E92" s="16">
        <v>365</v>
      </c>
      <c r="F92" s="26">
        <v>2.0000000000000001E-4</v>
      </c>
      <c r="G92" s="10">
        <v>900</v>
      </c>
      <c r="H92" s="12">
        <v>2.9999999999999997E-4</v>
      </c>
      <c r="I92" s="17">
        <v>10950</v>
      </c>
      <c r="J92" s="22">
        <v>25</v>
      </c>
      <c r="K92" s="18">
        <f t="shared" si="47"/>
        <v>2.4590163934426232E-3</v>
      </c>
      <c r="L92" s="2">
        <f t="shared" si="48"/>
        <v>4.9180327868852459E-4</v>
      </c>
      <c r="M92" s="2">
        <f t="shared" si="49"/>
        <v>9.8360655737704918E-4</v>
      </c>
      <c r="N92" s="2">
        <f t="shared" si="50"/>
        <v>1.4754098360655738E-3</v>
      </c>
      <c r="O92" s="2">
        <f t="shared" si="51"/>
        <v>1.9672131147540984E-3</v>
      </c>
      <c r="P92" s="2">
        <f t="shared" si="52"/>
        <v>2.4590163934426232E-3</v>
      </c>
      <c r="Q92" s="2">
        <f t="shared" si="53"/>
        <v>2.9508196721311475E-3</v>
      </c>
      <c r="R92" s="2">
        <f t="shared" si="54"/>
        <v>8.1967213114754109</v>
      </c>
      <c r="S92" s="2">
        <f t="shared" si="55"/>
        <v>1.639344262295082</v>
      </c>
      <c r="T92" s="2">
        <f t="shared" si="56"/>
        <v>3.278688524590164</v>
      </c>
      <c r="U92" s="2">
        <f t="shared" si="57"/>
        <v>4.918032786885246</v>
      </c>
      <c r="V92" s="2">
        <f t="shared" si="58"/>
        <v>6.557377049180328</v>
      </c>
      <c r="W92" s="2">
        <f t="shared" si="59"/>
        <v>8.1967213114754109</v>
      </c>
      <c r="X92" s="2">
        <f t="shared" si="60"/>
        <v>9.8360655737704921</v>
      </c>
      <c r="Y92" s="5" t="str">
        <f t="shared" si="61"/>
        <v>1</v>
      </c>
      <c r="Z92" s="5" t="str">
        <f t="shared" si="62"/>
        <v>1</v>
      </c>
      <c r="AA92" s="5" t="str">
        <f t="shared" si="63"/>
        <v>1</v>
      </c>
      <c r="AB92" s="5" t="str">
        <f t="shared" si="64"/>
        <v>1</v>
      </c>
      <c r="AC92" s="5" t="str">
        <f t="shared" si="65"/>
        <v>1</v>
      </c>
      <c r="AD92" s="5" t="str">
        <f t="shared" si="66"/>
        <v>1</v>
      </c>
      <c r="AE92" s="5" t="str">
        <f t="shared" si="67"/>
        <v>1</v>
      </c>
    </row>
    <row r="93" spans="1:31" ht="14.4" x14ac:dyDescent="0.3">
      <c r="A93" s="14">
        <v>90</v>
      </c>
      <c r="B93" s="24" t="s">
        <v>122</v>
      </c>
      <c r="C93" s="10">
        <v>54</v>
      </c>
      <c r="D93" s="10">
        <v>57</v>
      </c>
      <c r="E93" s="16">
        <v>365</v>
      </c>
      <c r="F93" s="26">
        <v>2.0000000000000001E-4</v>
      </c>
      <c r="G93" s="10">
        <v>1200</v>
      </c>
      <c r="H93" s="12">
        <v>2.9999999999999997E-4</v>
      </c>
      <c r="I93" s="17">
        <v>10950</v>
      </c>
      <c r="J93" s="22">
        <v>54</v>
      </c>
      <c r="K93" s="18">
        <f t="shared" si="47"/>
        <v>7.5789473684210532E-3</v>
      </c>
      <c r="L93" s="2">
        <f t="shared" si="48"/>
        <v>7.0175438596491234E-4</v>
      </c>
      <c r="M93" s="2">
        <f t="shared" si="49"/>
        <v>1.4035087719298247E-3</v>
      </c>
      <c r="N93" s="2">
        <f t="shared" si="50"/>
        <v>2.1052631578947372E-3</v>
      </c>
      <c r="O93" s="2">
        <f t="shared" si="51"/>
        <v>2.8070175438596493E-3</v>
      </c>
      <c r="P93" s="2">
        <f t="shared" si="52"/>
        <v>3.5087719298245615E-3</v>
      </c>
      <c r="Q93" s="2">
        <f t="shared" si="53"/>
        <v>4.2105263157894745E-3</v>
      </c>
      <c r="R93" s="2">
        <f t="shared" si="54"/>
        <v>25.263157894736846</v>
      </c>
      <c r="S93" s="2">
        <f t="shared" si="55"/>
        <v>2.3391812865497079</v>
      </c>
      <c r="T93" s="2">
        <f t="shared" si="56"/>
        <v>4.6783625730994158</v>
      </c>
      <c r="U93" s="2">
        <f t="shared" si="57"/>
        <v>7.0175438596491251</v>
      </c>
      <c r="V93" s="2">
        <f t="shared" si="58"/>
        <v>9.3567251461988317</v>
      </c>
      <c r="W93" s="2">
        <f t="shared" si="59"/>
        <v>11.69590643274854</v>
      </c>
      <c r="X93" s="2">
        <f t="shared" si="60"/>
        <v>14.03508771929825</v>
      </c>
      <c r="Y93" s="5" t="str">
        <f t="shared" si="61"/>
        <v>1</v>
      </c>
      <c r="Z93" s="5" t="str">
        <f t="shared" si="62"/>
        <v>1</v>
      </c>
      <c r="AA93" s="5" t="str">
        <f t="shared" si="63"/>
        <v>1</v>
      </c>
      <c r="AB93" s="5" t="str">
        <f t="shared" si="64"/>
        <v>1</v>
      </c>
      <c r="AC93" s="5" t="str">
        <f t="shared" si="65"/>
        <v>1</v>
      </c>
      <c r="AD93" s="5" t="str">
        <f t="shared" si="66"/>
        <v>1</v>
      </c>
      <c r="AE93" s="5" t="str">
        <f t="shared" si="67"/>
        <v>1</v>
      </c>
    </row>
    <row r="94" spans="1:31" ht="14.4" x14ac:dyDescent="0.3">
      <c r="A94" s="14">
        <v>91</v>
      </c>
      <c r="B94" s="24" t="s">
        <v>122</v>
      </c>
      <c r="C94" s="10">
        <v>54</v>
      </c>
      <c r="D94" s="10">
        <v>57</v>
      </c>
      <c r="E94" s="16">
        <v>365</v>
      </c>
      <c r="F94" s="26">
        <v>2.0000000000000001E-4</v>
      </c>
      <c r="G94" s="10">
        <v>1200</v>
      </c>
      <c r="H94" s="12">
        <v>2.9999999999999997E-4</v>
      </c>
      <c r="I94" s="17">
        <v>10950</v>
      </c>
      <c r="J94" s="22">
        <v>54</v>
      </c>
      <c r="K94" s="18">
        <f t="shared" si="47"/>
        <v>7.5789473684210532E-3</v>
      </c>
      <c r="L94" s="2">
        <f t="shared" si="48"/>
        <v>7.0175438596491234E-4</v>
      </c>
      <c r="M94" s="2">
        <f t="shared" si="49"/>
        <v>1.4035087719298247E-3</v>
      </c>
      <c r="N94" s="2">
        <f t="shared" si="50"/>
        <v>2.1052631578947372E-3</v>
      </c>
      <c r="O94" s="2">
        <f t="shared" si="51"/>
        <v>2.8070175438596493E-3</v>
      </c>
      <c r="P94" s="2">
        <f t="shared" si="52"/>
        <v>3.5087719298245615E-3</v>
      </c>
      <c r="Q94" s="2">
        <f t="shared" si="53"/>
        <v>4.2105263157894745E-3</v>
      </c>
      <c r="R94" s="2">
        <f t="shared" si="54"/>
        <v>25.263157894736846</v>
      </c>
      <c r="S94" s="2">
        <f t="shared" si="55"/>
        <v>2.3391812865497079</v>
      </c>
      <c r="T94" s="2">
        <f t="shared" si="56"/>
        <v>4.6783625730994158</v>
      </c>
      <c r="U94" s="2">
        <f t="shared" si="57"/>
        <v>7.0175438596491251</v>
      </c>
      <c r="V94" s="2">
        <f t="shared" si="58"/>
        <v>9.3567251461988317</v>
      </c>
      <c r="W94" s="2">
        <f t="shared" si="59"/>
        <v>11.69590643274854</v>
      </c>
      <c r="X94" s="2">
        <f t="shared" si="60"/>
        <v>14.03508771929825</v>
      </c>
      <c r="Y94" s="5" t="str">
        <f t="shared" si="61"/>
        <v>1</v>
      </c>
      <c r="Z94" s="5" t="str">
        <f t="shared" si="62"/>
        <v>1</v>
      </c>
      <c r="AA94" s="5" t="str">
        <f t="shared" si="63"/>
        <v>1</v>
      </c>
      <c r="AB94" s="5" t="str">
        <f t="shared" si="64"/>
        <v>1</v>
      </c>
      <c r="AC94" s="5" t="str">
        <f t="shared" si="65"/>
        <v>1</v>
      </c>
      <c r="AD94" s="5" t="str">
        <f t="shared" si="66"/>
        <v>1</v>
      </c>
      <c r="AE94" s="5" t="str">
        <f t="shared" si="67"/>
        <v>1</v>
      </c>
    </row>
    <row r="95" spans="1:31" ht="14.4" x14ac:dyDescent="0.3">
      <c r="A95" s="14">
        <v>92</v>
      </c>
      <c r="B95" s="24" t="s">
        <v>188</v>
      </c>
      <c r="C95" s="10">
        <v>55</v>
      </c>
      <c r="D95" s="10">
        <v>70</v>
      </c>
      <c r="E95" s="16">
        <v>365</v>
      </c>
      <c r="F95" s="26">
        <v>2.0000000000000001E-4</v>
      </c>
      <c r="G95" s="10">
        <v>900</v>
      </c>
      <c r="H95" s="12">
        <v>2.9999999999999997E-4</v>
      </c>
      <c r="I95" s="17">
        <v>10950</v>
      </c>
      <c r="J95" s="22">
        <v>10</v>
      </c>
      <c r="K95" s="18">
        <f t="shared" si="47"/>
        <v>8.571428571428571E-4</v>
      </c>
      <c r="L95" s="2">
        <f t="shared" si="48"/>
        <v>4.2857142857142855E-4</v>
      </c>
      <c r="M95" s="2">
        <f t="shared" si="49"/>
        <v>8.571428571428571E-4</v>
      </c>
      <c r="N95" s="2">
        <f t="shared" si="50"/>
        <v>1.2857142857142856E-3</v>
      </c>
      <c r="O95" s="2">
        <f t="shared" si="51"/>
        <v>1.7142857142857142E-3</v>
      </c>
      <c r="P95" s="2">
        <f t="shared" si="52"/>
        <v>2.142857142857143E-3</v>
      </c>
      <c r="Q95" s="2">
        <f t="shared" si="53"/>
        <v>2.5714285714285713E-3</v>
      </c>
      <c r="R95" s="2">
        <f t="shared" si="54"/>
        <v>2.8571428571428572</v>
      </c>
      <c r="S95" s="2">
        <f t="shared" si="55"/>
        <v>1.4285714285714286</v>
      </c>
      <c r="T95" s="2">
        <f t="shared" si="56"/>
        <v>2.8571428571428572</v>
      </c>
      <c r="U95" s="2">
        <f t="shared" si="57"/>
        <v>4.2857142857142856</v>
      </c>
      <c r="V95" s="2">
        <f t="shared" si="58"/>
        <v>5.7142857142857144</v>
      </c>
      <c r="W95" s="2">
        <f t="shared" si="59"/>
        <v>7.1428571428571441</v>
      </c>
      <c r="X95" s="2">
        <f t="shared" si="60"/>
        <v>8.5714285714285712</v>
      </c>
      <c r="Y95" s="5" t="str">
        <f t="shared" si="61"/>
        <v>1</v>
      </c>
      <c r="Z95" s="5" t="str">
        <f t="shared" si="62"/>
        <v>1</v>
      </c>
      <c r="AA95" s="5" t="str">
        <f t="shared" si="63"/>
        <v>1</v>
      </c>
      <c r="AB95" s="5" t="str">
        <f t="shared" si="64"/>
        <v>1</v>
      </c>
      <c r="AC95" s="5" t="str">
        <f t="shared" si="65"/>
        <v>1</v>
      </c>
      <c r="AD95" s="5" t="str">
        <f t="shared" si="66"/>
        <v>1</v>
      </c>
      <c r="AE95" s="5" t="str">
        <f t="shared" si="67"/>
        <v>1</v>
      </c>
    </row>
    <row r="96" spans="1:31" ht="14.4" x14ac:dyDescent="0.3">
      <c r="A96" s="14">
        <v>93</v>
      </c>
      <c r="B96" s="24" t="s">
        <v>143</v>
      </c>
      <c r="C96" s="10">
        <v>55</v>
      </c>
      <c r="D96" s="10">
        <v>70</v>
      </c>
      <c r="E96" s="16">
        <v>365</v>
      </c>
      <c r="F96" s="26">
        <v>2.0000000000000001E-4</v>
      </c>
      <c r="G96" s="10">
        <v>900</v>
      </c>
      <c r="H96" s="12">
        <v>2.9999999999999997E-4</v>
      </c>
      <c r="I96" s="17">
        <v>10950</v>
      </c>
      <c r="J96" s="22">
        <v>10</v>
      </c>
      <c r="K96" s="18">
        <f t="shared" si="47"/>
        <v>8.571428571428571E-4</v>
      </c>
      <c r="L96" s="2">
        <f t="shared" si="48"/>
        <v>4.2857142857142855E-4</v>
      </c>
      <c r="M96" s="2">
        <f t="shared" si="49"/>
        <v>8.571428571428571E-4</v>
      </c>
      <c r="N96" s="2">
        <f t="shared" si="50"/>
        <v>1.2857142857142856E-3</v>
      </c>
      <c r="O96" s="2">
        <f t="shared" si="51"/>
        <v>1.7142857142857142E-3</v>
      </c>
      <c r="P96" s="2">
        <f t="shared" si="52"/>
        <v>2.142857142857143E-3</v>
      </c>
      <c r="Q96" s="2">
        <f t="shared" si="53"/>
        <v>2.5714285714285713E-3</v>
      </c>
      <c r="R96" s="2">
        <f t="shared" si="54"/>
        <v>2.8571428571428572</v>
      </c>
      <c r="S96" s="2">
        <f t="shared" si="55"/>
        <v>1.4285714285714286</v>
      </c>
      <c r="T96" s="2">
        <f t="shared" si="56"/>
        <v>2.8571428571428572</v>
      </c>
      <c r="U96" s="2">
        <f t="shared" si="57"/>
        <v>4.2857142857142856</v>
      </c>
      <c r="V96" s="2">
        <f t="shared" si="58"/>
        <v>5.7142857142857144</v>
      </c>
      <c r="W96" s="2">
        <f t="shared" si="59"/>
        <v>7.1428571428571441</v>
      </c>
      <c r="X96" s="2">
        <f t="shared" si="60"/>
        <v>8.5714285714285712</v>
      </c>
      <c r="Y96" s="5" t="str">
        <f t="shared" si="61"/>
        <v>1</v>
      </c>
      <c r="Z96" s="5" t="str">
        <f t="shared" si="62"/>
        <v>1</v>
      </c>
      <c r="AA96" s="5" t="str">
        <f t="shared" si="63"/>
        <v>1</v>
      </c>
      <c r="AB96" s="5" t="str">
        <f t="shared" si="64"/>
        <v>1</v>
      </c>
      <c r="AC96" s="5" t="str">
        <f t="shared" si="65"/>
        <v>1</v>
      </c>
      <c r="AD96" s="5" t="str">
        <f t="shared" si="66"/>
        <v>1</v>
      </c>
      <c r="AE96" s="5" t="str">
        <f t="shared" si="67"/>
        <v>1</v>
      </c>
    </row>
    <row r="97" spans="1:31" ht="14.4" x14ac:dyDescent="0.3">
      <c r="A97" s="14">
        <v>94</v>
      </c>
      <c r="B97" s="24" t="s">
        <v>152</v>
      </c>
      <c r="C97" s="10">
        <v>55</v>
      </c>
      <c r="D97" s="10">
        <v>70</v>
      </c>
      <c r="E97" s="16">
        <v>365</v>
      </c>
      <c r="F97" s="26">
        <v>2.0000000000000001E-4</v>
      </c>
      <c r="G97" s="10">
        <v>900</v>
      </c>
      <c r="H97" s="12">
        <v>2.9999999999999997E-4</v>
      </c>
      <c r="I97" s="17">
        <v>10950</v>
      </c>
      <c r="J97" s="22">
        <v>10</v>
      </c>
      <c r="K97" s="18">
        <f t="shared" si="47"/>
        <v>8.571428571428571E-4</v>
      </c>
      <c r="L97" s="2">
        <f t="shared" si="48"/>
        <v>4.2857142857142855E-4</v>
      </c>
      <c r="M97" s="2">
        <f t="shared" si="49"/>
        <v>8.571428571428571E-4</v>
      </c>
      <c r="N97" s="2">
        <f t="shared" si="50"/>
        <v>1.2857142857142856E-3</v>
      </c>
      <c r="O97" s="2">
        <f t="shared" si="51"/>
        <v>1.7142857142857142E-3</v>
      </c>
      <c r="P97" s="2">
        <f t="shared" si="52"/>
        <v>2.142857142857143E-3</v>
      </c>
      <c r="Q97" s="2">
        <f t="shared" si="53"/>
        <v>2.5714285714285713E-3</v>
      </c>
      <c r="R97" s="2">
        <f t="shared" si="54"/>
        <v>2.8571428571428572</v>
      </c>
      <c r="S97" s="2">
        <f t="shared" si="55"/>
        <v>1.4285714285714286</v>
      </c>
      <c r="T97" s="2">
        <f t="shared" si="56"/>
        <v>2.8571428571428572</v>
      </c>
      <c r="U97" s="2">
        <f t="shared" si="57"/>
        <v>4.2857142857142856</v>
      </c>
      <c r="V97" s="2">
        <f t="shared" si="58"/>
        <v>5.7142857142857144</v>
      </c>
      <c r="W97" s="2">
        <f t="shared" si="59"/>
        <v>7.1428571428571441</v>
      </c>
      <c r="X97" s="2">
        <f t="shared" si="60"/>
        <v>8.5714285714285712</v>
      </c>
      <c r="Y97" s="5" t="str">
        <f t="shared" si="61"/>
        <v>1</v>
      </c>
      <c r="Z97" s="5" t="str">
        <f t="shared" si="62"/>
        <v>1</v>
      </c>
      <c r="AA97" s="5" t="str">
        <f t="shared" si="63"/>
        <v>1</v>
      </c>
      <c r="AB97" s="5" t="str">
        <f t="shared" si="64"/>
        <v>1</v>
      </c>
      <c r="AC97" s="5" t="str">
        <f t="shared" si="65"/>
        <v>1</v>
      </c>
      <c r="AD97" s="5" t="str">
        <f t="shared" si="66"/>
        <v>1</v>
      </c>
      <c r="AE97" s="5" t="str">
        <f t="shared" si="67"/>
        <v>1</v>
      </c>
    </row>
    <row r="98" spans="1:31" ht="14.4" x14ac:dyDescent="0.3">
      <c r="A98" s="14">
        <v>95</v>
      </c>
      <c r="B98" s="24" t="s">
        <v>189</v>
      </c>
      <c r="C98" s="10">
        <v>60</v>
      </c>
      <c r="D98" s="10">
        <v>64</v>
      </c>
      <c r="E98" s="16">
        <v>365</v>
      </c>
      <c r="F98" s="26">
        <v>2.0000000000000001E-4</v>
      </c>
      <c r="G98" s="10">
        <v>1500</v>
      </c>
      <c r="H98" s="12">
        <v>2.9999999999999997E-4</v>
      </c>
      <c r="I98" s="17">
        <v>10950</v>
      </c>
      <c r="J98" s="22">
        <v>30</v>
      </c>
      <c r="K98" s="18">
        <f t="shared" si="47"/>
        <v>4.6874999999999998E-3</v>
      </c>
      <c r="L98" s="2">
        <f t="shared" si="48"/>
        <v>7.8125000000000004E-4</v>
      </c>
      <c r="M98" s="2">
        <f t="shared" si="49"/>
        <v>1.5625000000000001E-3</v>
      </c>
      <c r="N98" s="2">
        <f t="shared" si="50"/>
        <v>2.3437499999999999E-3</v>
      </c>
      <c r="O98" s="2">
        <f t="shared" si="51"/>
        <v>3.1250000000000002E-3</v>
      </c>
      <c r="P98" s="2">
        <f t="shared" si="52"/>
        <v>3.90625E-3</v>
      </c>
      <c r="Q98" s="2">
        <f t="shared" si="53"/>
        <v>4.6874999999999998E-3</v>
      </c>
      <c r="R98" s="2">
        <f t="shared" si="54"/>
        <v>15.625</v>
      </c>
      <c r="S98" s="2">
        <f t="shared" si="55"/>
        <v>2.604166666666667</v>
      </c>
      <c r="T98" s="2">
        <f t="shared" si="56"/>
        <v>5.2083333333333339</v>
      </c>
      <c r="U98" s="2">
        <f t="shared" si="57"/>
        <v>7.8125</v>
      </c>
      <c r="V98" s="2">
        <f t="shared" si="58"/>
        <v>10.416666666666668</v>
      </c>
      <c r="W98" s="2">
        <f t="shared" si="59"/>
        <v>13.020833333333334</v>
      </c>
      <c r="X98" s="2">
        <f t="shared" si="60"/>
        <v>15.625</v>
      </c>
      <c r="Y98" s="5" t="str">
        <f t="shared" si="61"/>
        <v>1</v>
      </c>
      <c r="Z98" s="5" t="str">
        <f t="shared" si="62"/>
        <v>1</v>
      </c>
      <c r="AA98" s="5" t="str">
        <f t="shared" si="63"/>
        <v>1</v>
      </c>
      <c r="AB98" s="5" t="str">
        <f t="shared" si="64"/>
        <v>1</v>
      </c>
      <c r="AC98" s="5" t="str">
        <f t="shared" si="65"/>
        <v>1</v>
      </c>
      <c r="AD98" s="5" t="str">
        <f t="shared" si="66"/>
        <v>1</v>
      </c>
      <c r="AE98" s="5" t="str">
        <f t="shared" si="67"/>
        <v>1</v>
      </c>
    </row>
    <row r="99" spans="1:31" ht="14.4" x14ac:dyDescent="0.3">
      <c r="A99" s="14">
        <v>96</v>
      </c>
      <c r="B99" s="24" t="s">
        <v>190</v>
      </c>
      <c r="C99" s="10">
        <v>60</v>
      </c>
      <c r="D99" s="10">
        <v>64</v>
      </c>
      <c r="E99" s="16">
        <v>365</v>
      </c>
      <c r="F99" s="26">
        <v>2.0000000000000001E-4</v>
      </c>
      <c r="G99" s="10">
        <v>1500</v>
      </c>
      <c r="H99" s="12">
        <v>2.9999999999999997E-4</v>
      </c>
      <c r="I99" s="17">
        <v>10950</v>
      </c>
      <c r="J99" s="22">
        <v>30</v>
      </c>
      <c r="K99" s="18">
        <f t="shared" si="47"/>
        <v>4.6874999999999998E-3</v>
      </c>
      <c r="L99" s="2">
        <f t="shared" si="48"/>
        <v>7.8125000000000004E-4</v>
      </c>
      <c r="M99" s="2">
        <f t="shared" si="49"/>
        <v>1.5625000000000001E-3</v>
      </c>
      <c r="N99" s="2">
        <f t="shared" si="50"/>
        <v>2.3437499999999999E-3</v>
      </c>
      <c r="O99" s="2">
        <f t="shared" si="51"/>
        <v>3.1250000000000002E-3</v>
      </c>
      <c r="P99" s="2">
        <f t="shared" si="52"/>
        <v>3.90625E-3</v>
      </c>
      <c r="Q99" s="2">
        <f t="shared" si="53"/>
        <v>4.6874999999999998E-3</v>
      </c>
      <c r="R99" s="2">
        <f t="shared" si="54"/>
        <v>15.625</v>
      </c>
      <c r="S99" s="2">
        <f t="shared" si="55"/>
        <v>2.604166666666667</v>
      </c>
      <c r="T99" s="2">
        <f t="shared" si="56"/>
        <v>5.2083333333333339</v>
      </c>
      <c r="U99" s="2">
        <f t="shared" si="57"/>
        <v>7.8125</v>
      </c>
      <c r="V99" s="2">
        <f t="shared" si="58"/>
        <v>10.416666666666668</v>
      </c>
      <c r="W99" s="2">
        <f t="shared" si="59"/>
        <v>13.020833333333334</v>
      </c>
      <c r="X99" s="2">
        <f t="shared" si="60"/>
        <v>15.625</v>
      </c>
      <c r="Y99" s="5" t="str">
        <f t="shared" si="61"/>
        <v>1</v>
      </c>
      <c r="Z99" s="5" t="str">
        <f t="shared" si="62"/>
        <v>1</v>
      </c>
      <c r="AA99" s="5" t="str">
        <f t="shared" si="63"/>
        <v>1</v>
      </c>
      <c r="AB99" s="5" t="str">
        <f t="shared" si="64"/>
        <v>1</v>
      </c>
      <c r="AC99" s="5" t="str">
        <f t="shared" si="65"/>
        <v>1</v>
      </c>
      <c r="AD99" s="5" t="str">
        <f t="shared" si="66"/>
        <v>1</v>
      </c>
      <c r="AE99" s="5" t="str">
        <f t="shared" si="67"/>
        <v>1</v>
      </c>
    </row>
    <row r="100" spans="1:31" ht="14.4" x14ac:dyDescent="0.3">
      <c r="A100" s="14">
        <v>97</v>
      </c>
      <c r="B100" s="24" t="s">
        <v>117</v>
      </c>
      <c r="C100" s="10">
        <v>60</v>
      </c>
      <c r="D100" s="10">
        <v>64</v>
      </c>
      <c r="E100" s="16">
        <v>365</v>
      </c>
      <c r="F100" s="26">
        <v>2.0000000000000001E-4</v>
      </c>
      <c r="G100" s="10">
        <v>1500</v>
      </c>
      <c r="H100" s="12">
        <v>2.9999999999999997E-4</v>
      </c>
      <c r="I100" s="17">
        <v>10950</v>
      </c>
      <c r="J100" s="22">
        <v>30</v>
      </c>
      <c r="K100" s="18">
        <f t="shared" si="47"/>
        <v>4.6874999999999998E-3</v>
      </c>
      <c r="L100" s="2">
        <f t="shared" si="48"/>
        <v>7.8125000000000004E-4</v>
      </c>
      <c r="M100" s="2">
        <f t="shared" si="49"/>
        <v>1.5625000000000001E-3</v>
      </c>
      <c r="N100" s="2">
        <f t="shared" si="50"/>
        <v>2.3437499999999999E-3</v>
      </c>
      <c r="O100" s="2">
        <f t="shared" si="51"/>
        <v>3.1250000000000002E-3</v>
      </c>
      <c r="P100" s="2">
        <f t="shared" si="52"/>
        <v>3.90625E-3</v>
      </c>
      <c r="Q100" s="2">
        <f t="shared" si="53"/>
        <v>4.6874999999999998E-3</v>
      </c>
      <c r="R100" s="2">
        <f t="shared" si="54"/>
        <v>15.625</v>
      </c>
      <c r="S100" s="2">
        <f t="shared" si="55"/>
        <v>2.604166666666667</v>
      </c>
      <c r="T100" s="2">
        <f t="shared" si="56"/>
        <v>5.2083333333333339</v>
      </c>
      <c r="U100" s="2">
        <f t="shared" si="57"/>
        <v>7.8125</v>
      </c>
      <c r="V100" s="2">
        <f t="shared" si="58"/>
        <v>10.416666666666668</v>
      </c>
      <c r="W100" s="2">
        <f t="shared" si="59"/>
        <v>13.020833333333334</v>
      </c>
      <c r="X100" s="2">
        <f t="shared" si="60"/>
        <v>15.625</v>
      </c>
      <c r="Y100" s="5" t="str">
        <f t="shared" si="61"/>
        <v>1</v>
      </c>
      <c r="Z100" s="5" t="str">
        <f t="shared" si="62"/>
        <v>1</v>
      </c>
      <c r="AA100" s="5" t="str">
        <f t="shared" si="63"/>
        <v>1</v>
      </c>
      <c r="AB100" s="5" t="str">
        <f t="shared" si="64"/>
        <v>1</v>
      </c>
      <c r="AC100" s="5" t="str">
        <f t="shared" si="65"/>
        <v>1</v>
      </c>
      <c r="AD100" s="5" t="str">
        <f t="shared" si="66"/>
        <v>1</v>
      </c>
      <c r="AE100" s="5" t="str">
        <f t="shared" si="67"/>
        <v>1</v>
      </c>
    </row>
    <row r="101" spans="1:31" ht="14.4" x14ac:dyDescent="0.3">
      <c r="A101" s="14">
        <v>98</v>
      </c>
      <c r="B101" s="24" t="s">
        <v>120</v>
      </c>
      <c r="C101" s="10">
        <v>60</v>
      </c>
      <c r="D101" s="10">
        <v>64</v>
      </c>
      <c r="E101" s="16">
        <v>365</v>
      </c>
      <c r="F101" s="26">
        <v>2.0000000000000001E-4</v>
      </c>
      <c r="G101" s="10">
        <v>1500</v>
      </c>
      <c r="H101" s="12">
        <v>2.9999999999999997E-4</v>
      </c>
      <c r="I101" s="17">
        <v>10950</v>
      </c>
      <c r="J101" s="22">
        <v>30</v>
      </c>
      <c r="K101" s="18">
        <f t="shared" si="47"/>
        <v>4.6874999999999998E-3</v>
      </c>
      <c r="L101" s="2">
        <f t="shared" si="48"/>
        <v>7.8125000000000004E-4</v>
      </c>
      <c r="M101" s="2">
        <f t="shared" si="49"/>
        <v>1.5625000000000001E-3</v>
      </c>
      <c r="N101" s="2">
        <f t="shared" si="50"/>
        <v>2.3437499999999999E-3</v>
      </c>
      <c r="O101" s="2">
        <f t="shared" si="51"/>
        <v>3.1250000000000002E-3</v>
      </c>
      <c r="P101" s="2">
        <f t="shared" si="52"/>
        <v>3.90625E-3</v>
      </c>
      <c r="Q101" s="2">
        <f t="shared" si="53"/>
        <v>4.6874999999999998E-3</v>
      </c>
      <c r="R101" s="2">
        <f t="shared" si="54"/>
        <v>15.625</v>
      </c>
      <c r="S101" s="2">
        <f t="shared" si="55"/>
        <v>2.604166666666667</v>
      </c>
      <c r="T101" s="2">
        <f t="shared" si="56"/>
        <v>5.2083333333333339</v>
      </c>
      <c r="U101" s="2">
        <f t="shared" si="57"/>
        <v>7.8125</v>
      </c>
      <c r="V101" s="2">
        <f t="shared" si="58"/>
        <v>10.416666666666668</v>
      </c>
      <c r="W101" s="2">
        <f t="shared" si="59"/>
        <v>13.020833333333334</v>
      </c>
      <c r="X101" s="2">
        <f t="shared" si="60"/>
        <v>15.625</v>
      </c>
      <c r="Y101" s="5" t="str">
        <f t="shared" si="61"/>
        <v>1</v>
      </c>
      <c r="Z101" s="5" t="str">
        <f t="shared" si="62"/>
        <v>1</v>
      </c>
      <c r="AA101" s="5" t="str">
        <f t="shared" si="63"/>
        <v>1</v>
      </c>
      <c r="AB101" s="5" t="str">
        <f t="shared" si="64"/>
        <v>1</v>
      </c>
      <c r="AC101" s="5" t="str">
        <f t="shared" si="65"/>
        <v>1</v>
      </c>
      <c r="AD101" s="5" t="str">
        <f t="shared" si="66"/>
        <v>1</v>
      </c>
      <c r="AE101" s="5" t="str">
        <f t="shared" si="67"/>
        <v>1</v>
      </c>
    </row>
    <row r="102" spans="1:31" ht="14.4" x14ac:dyDescent="0.3">
      <c r="A102" s="14">
        <v>99</v>
      </c>
      <c r="B102" s="24" t="s">
        <v>137</v>
      </c>
      <c r="C102" s="10">
        <v>60</v>
      </c>
      <c r="D102" s="10">
        <v>64</v>
      </c>
      <c r="E102" s="16">
        <v>365</v>
      </c>
      <c r="F102" s="26">
        <v>2.0000000000000001E-4</v>
      </c>
      <c r="G102" s="10">
        <v>1500</v>
      </c>
      <c r="H102" s="12">
        <v>2.9999999999999997E-4</v>
      </c>
      <c r="I102" s="17">
        <v>10950</v>
      </c>
      <c r="J102" s="22">
        <v>30</v>
      </c>
      <c r="K102" s="18">
        <f t="shared" si="47"/>
        <v>4.6874999999999998E-3</v>
      </c>
      <c r="L102" s="2">
        <f t="shared" si="48"/>
        <v>7.8125000000000004E-4</v>
      </c>
      <c r="M102" s="2">
        <f t="shared" si="49"/>
        <v>1.5625000000000001E-3</v>
      </c>
      <c r="N102" s="2">
        <f t="shared" si="50"/>
        <v>2.3437499999999999E-3</v>
      </c>
      <c r="O102" s="2">
        <f t="shared" si="51"/>
        <v>3.1250000000000002E-3</v>
      </c>
      <c r="P102" s="2">
        <f t="shared" si="52"/>
        <v>3.90625E-3</v>
      </c>
      <c r="Q102" s="2">
        <f t="shared" si="53"/>
        <v>4.6874999999999998E-3</v>
      </c>
      <c r="R102" s="2">
        <f t="shared" si="54"/>
        <v>15.625</v>
      </c>
      <c r="S102" s="2">
        <f t="shared" si="55"/>
        <v>2.604166666666667</v>
      </c>
      <c r="T102" s="2">
        <f t="shared" si="56"/>
        <v>5.2083333333333339</v>
      </c>
      <c r="U102" s="2">
        <f t="shared" si="57"/>
        <v>7.8125</v>
      </c>
      <c r="V102" s="2">
        <f t="shared" si="58"/>
        <v>10.416666666666668</v>
      </c>
      <c r="W102" s="2">
        <f t="shared" si="59"/>
        <v>13.020833333333334</v>
      </c>
      <c r="X102" s="2">
        <f t="shared" si="60"/>
        <v>15.625</v>
      </c>
      <c r="Y102" s="5" t="str">
        <f t="shared" si="61"/>
        <v>1</v>
      </c>
      <c r="Z102" s="5" t="str">
        <f t="shared" si="62"/>
        <v>1</v>
      </c>
      <c r="AA102" s="5" t="str">
        <f t="shared" si="63"/>
        <v>1</v>
      </c>
      <c r="AB102" s="5" t="str">
        <f t="shared" si="64"/>
        <v>1</v>
      </c>
      <c r="AC102" s="5" t="str">
        <f t="shared" si="65"/>
        <v>1</v>
      </c>
      <c r="AD102" s="5" t="str">
        <f t="shared" si="66"/>
        <v>1</v>
      </c>
      <c r="AE102" s="5" t="str">
        <f t="shared" si="67"/>
        <v>1</v>
      </c>
    </row>
    <row r="103" spans="1:31" ht="14.4" x14ac:dyDescent="0.3">
      <c r="A103" s="14">
        <v>100</v>
      </c>
      <c r="B103" s="24" t="s">
        <v>135</v>
      </c>
      <c r="C103" s="10">
        <v>67</v>
      </c>
      <c r="D103" s="10">
        <v>57</v>
      </c>
      <c r="E103" s="16">
        <v>365</v>
      </c>
      <c r="F103" s="26">
        <v>2.0000000000000001E-4</v>
      </c>
      <c r="G103" s="10">
        <v>1500</v>
      </c>
      <c r="H103" s="12">
        <v>2.9999999999999997E-4</v>
      </c>
      <c r="I103" s="17">
        <v>10950</v>
      </c>
      <c r="J103" s="22">
        <v>8</v>
      </c>
      <c r="K103" s="18">
        <f t="shared" si="47"/>
        <v>1.4035087719298245E-3</v>
      </c>
      <c r="L103" s="2">
        <f t="shared" si="48"/>
        <v>8.7719298245614037E-4</v>
      </c>
      <c r="M103" s="2">
        <f t="shared" si="49"/>
        <v>1.7543859649122807E-3</v>
      </c>
      <c r="N103" s="2">
        <f t="shared" si="50"/>
        <v>2.631578947368421E-3</v>
      </c>
      <c r="O103" s="2">
        <f t="shared" si="51"/>
        <v>3.5087719298245615E-3</v>
      </c>
      <c r="P103" s="2">
        <f t="shared" si="52"/>
        <v>4.3859649122807015E-3</v>
      </c>
      <c r="Q103" s="2">
        <f t="shared" si="53"/>
        <v>5.263157894736842E-3</v>
      </c>
      <c r="R103" s="2">
        <f t="shared" si="54"/>
        <v>4.6783625730994149</v>
      </c>
      <c r="S103" s="2">
        <f t="shared" si="55"/>
        <v>2.923976608187135</v>
      </c>
      <c r="T103" s="2">
        <f t="shared" si="56"/>
        <v>5.84795321637427</v>
      </c>
      <c r="U103" s="2">
        <f t="shared" si="57"/>
        <v>8.7719298245614041</v>
      </c>
      <c r="V103" s="2">
        <f t="shared" si="58"/>
        <v>11.69590643274854</v>
      </c>
      <c r="W103" s="2">
        <f t="shared" si="59"/>
        <v>14.619883040935672</v>
      </c>
      <c r="X103" s="2">
        <f t="shared" si="60"/>
        <v>17.543859649122808</v>
      </c>
      <c r="Y103" s="5" t="str">
        <f t="shared" si="61"/>
        <v>1</v>
      </c>
      <c r="Z103" s="5" t="str">
        <f t="shared" si="62"/>
        <v>1</v>
      </c>
      <c r="AA103" s="5" t="str">
        <f t="shared" si="63"/>
        <v>1</v>
      </c>
      <c r="AB103" s="5" t="str">
        <f t="shared" si="64"/>
        <v>1</v>
      </c>
      <c r="AC103" s="5" t="str">
        <f t="shared" si="65"/>
        <v>1</v>
      </c>
      <c r="AD103" s="5" t="str">
        <f t="shared" si="66"/>
        <v>1</v>
      </c>
      <c r="AE103" s="5" t="str">
        <f t="shared" si="67"/>
        <v>1</v>
      </c>
    </row>
    <row r="105" spans="1:31" x14ac:dyDescent="0.25">
      <c r="A105" s="3" t="s">
        <v>76</v>
      </c>
    </row>
    <row r="106" spans="1:31" x14ac:dyDescent="0.25">
      <c r="A106" s="3" t="s">
        <v>6</v>
      </c>
    </row>
    <row r="107" spans="1:31" x14ac:dyDescent="0.25">
      <c r="A107" s="3" t="s">
        <v>7</v>
      </c>
    </row>
  </sheetData>
  <mergeCells count="31">
    <mergeCell ref="A1:A2"/>
    <mergeCell ref="D1:D2"/>
    <mergeCell ref="B1:B2"/>
    <mergeCell ref="L1:L2"/>
    <mergeCell ref="Z1:Z2"/>
    <mergeCell ref="M1:M2"/>
    <mergeCell ref="N1:N2"/>
    <mergeCell ref="O1:O2"/>
    <mergeCell ref="P1:P2"/>
    <mergeCell ref="Q1:Q2"/>
    <mergeCell ref="G1:G2"/>
    <mergeCell ref="H1:H2"/>
    <mergeCell ref="I1:I2"/>
    <mergeCell ref="E1:E2"/>
    <mergeCell ref="F1:F2"/>
    <mergeCell ref="S1:S2"/>
    <mergeCell ref="AE1:AE2"/>
    <mergeCell ref="X1:X2"/>
    <mergeCell ref="AA1:AA2"/>
    <mergeCell ref="AB1:AB2"/>
    <mergeCell ref="AC1:AC2"/>
    <mergeCell ref="AD1:AD2"/>
    <mergeCell ref="C1:C2"/>
    <mergeCell ref="J1:J2"/>
    <mergeCell ref="R1:R2"/>
    <mergeCell ref="K1:K2"/>
    <mergeCell ref="Y1:Y2"/>
    <mergeCell ref="U1:U2"/>
    <mergeCell ref="V1:V2"/>
    <mergeCell ref="W1:W2"/>
    <mergeCell ref="T1:T2"/>
  </mergeCells>
  <phoneticPr fontId="4" type="noConversion"/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AE107"/>
  <sheetViews>
    <sheetView workbookViewId="0">
      <selection activeCell="B23" sqref="B23"/>
    </sheetView>
  </sheetViews>
  <sheetFormatPr defaultColWidth="9.109375" defaultRowHeight="13.8" x14ac:dyDescent="0.25"/>
  <cols>
    <col min="1" max="1" width="5.33203125" style="3" customWidth="1"/>
    <col min="2" max="2" width="16" style="25" customWidth="1"/>
    <col min="3" max="4" width="7.5546875" style="6" customWidth="1"/>
    <col min="5" max="5" width="5" style="6" customWidth="1"/>
    <col min="6" max="6" width="10.6640625" style="3" customWidth="1"/>
    <col min="7" max="9" width="9.109375" style="3"/>
    <col min="10" max="10" width="9.109375" style="6"/>
    <col min="11" max="11" width="10" style="3" bestFit="1" customWidth="1"/>
    <col min="12" max="25" width="10.88671875" style="3" customWidth="1"/>
    <col min="26" max="26" width="9.5546875" style="3" bestFit="1" customWidth="1"/>
    <col min="27" max="16384" width="9.109375" style="3"/>
  </cols>
  <sheetData>
    <row r="1" spans="1:31" ht="15" customHeight="1" x14ac:dyDescent="0.25">
      <c r="A1" s="42" t="s">
        <v>104</v>
      </c>
      <c r="B1" s="47" t="s">
        <v>4</v>
      </c>
      <c r="C1" s="45" t="s">
        <v>109</v>
      </c>
      <c r="D1" s="44" t="s">
        <v>0</v>
      </c>
      <c r="E1" s="44" t="s">
        <v>3</v>
      </c>
      <c r="F1" s="41" t="s">
        <v>52</v>
      </c>
      <c r="G1" s="41" t="s">
        <v>1</v>
      </c>
      <c r="H1" s="41" t="s">
        <v>53</v>
      </c>
      <c r="I1" s="44" t="s">
        <v>2</v>
      </c>
      <c r="J1" s="41" t="s">
        <v>96</v>
      </c>
      <c r="K1" s="41" t="s">
        <v>97</v>
      </c>
      <c r="L1" s="41" t="s">
        <v>59</v>
      </c>
      <c r="M1" s="41" t="s">
        <v>60</v>
      </c>
      <c r="N1" s="41" t="s">
        <v>61</v>
      </c>
      <c r="O1" s="41" t="s">
        <v>62</v>
      </c>
      <c r="P1" s="41" t="s">
        <v>63</v>
      </c>
      <c r="Q1" s="41" t="s">
        <v>64</v>
      </c>
      <c r="R1" s="41" t="s">
        <v>95</v>
      </c>
      <c r="S1" s="41" t="s">
        <v>65</v>
      </c>
      <c r="T1" s="41" t="s">
        <v>66</v>
      </c>
      <c r="U1" s="41" t="s">
        <v>67</v>
      </c>
      <c r="V1" s="41" t="s">
        <v>68</v>
      </c>
      <c r="W1" s="41" t="s">
        <v>69</v>
      </c>
      <c r="X1" s="41" t="s">
        <v>70</v>
      </c>
      <c r="Y1" s="41" t="s">
        <v>98</v>
      </c>
      <c r="Z1" s="41" t="s">
        <v>75</v>
      </c>
      <c r="AA1" s="41" t="s">
        <v>71</v>
      </c>
      <c r="AB1" s="41" t="s">
        <v>72</v>
      </c>
      <c r="AC1" s="41" t="s">
        <v>73</v>
      </c>
      <c r="AD1" s="41" t="s">
        <v>74</v>
      </c>
      <c r="AE1" s="41" t="s">
        <v>54</v>
      </c>
    </row>
    <row r="2" spans="1:31" ht="30.75" customHeight="1" x14ac:dyDescent="0.25">
      <c r="A2" s="43"/>
      <c r="B2" s="47"/>
      <c r="C2" s="46"/>
      <c r="D2" s="44"/>
      <c r="E2" s="44"/>
      <c r="F2" s="41"/>
      <c r="G2" s="41"/>
      <c r="H2" s="41"/>
      <c r="I2" s="44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</row>
    <row r="3" spans="1:31" s="9" customFormat="1" ht="13.2" x14ac:dyDescent="0.25">
      <c r="A3" s="7">
        <v>1</v>
      </c>
      <c r="B3" s="23">
        <v>2</v>
      </c>
      <c r="C3" s="7">
        <v>3</v>
      </c>
      <c r="D3" s="8">
        <v>4</v>
      </c>
      <c r="E3" s="7">
        <v>5</v>
      </c>
      <c r="F3" s="8">
        <v>6</v>
      </c>
      <c r="G3" s="7">
        <v>7</v>
      </c>
      <c r="H3" s="8">
        <v>8</v>
      </c>
      <c r="I3" s="7">
        <v>9</v>
      </c>
      <c r="J3" s="8">
        <v>10</v>
      </c>
      <c r="K3" s="7">
        <v>11</v>
      </c>
      <c r="L3" s="8">
        <v>12</v>
      </c>
      <c r="M3" s="7">
        <v>13</v>
      </c>
      <c r="N3" s="8">
        <v>14</v>
      </c>
      <c r="O3" s="7">
        <v>15</v>
      </c>
      <c r="P3" s="8">
        <v>16</v>
      </c>
      <c r="Q3" s="7">
        <v>17</v>
      </c>
      <c r="R3" s="8">
        <v>18</v>
      </c>
      <c r="S3" s="7">
        <v>19</v>
      </c>
      <c r="T3" s="8">
        <v>20</v>
      </c>
      <c r="U3" s="7">
        <v>21</v>
      </c>
      <c r="V3" s="8">
        <v>22</v>
      </c>
      <c r="W3" s="7">
        <v>23</v>
      </c>
      <c r="X3" s="8">
        <v>24</v>
      </c>
      <c r="Y3" s="7">
        <v>25</v>
      </c>
      <c r="Z3" s="8">
        <v>26</v>
      </c>
      <c r="AA3" s="7">
        <v>27</v>
      </c>
      <c r="AB3" s="8">
        <v>28</v>
      </c>
      <c r="AC3" s="7">
        <v>29</v>
      </c>
      <c r="AD3" s="8">
        <v>30</v>
      </c>
      <c r="AE3" s="7">
        <v>31</v>
      </c>
    </row>
    <row r="4" spans="1:31" ht="14.4" x14ac:dyDescent="0.3">
      <c r="A4" s="20">
        <v>1</v>
      </c>
      <c r="B4" s="24" t="s">
        <v>191</v>
      </c>
      <c r="C4" s="10">
        <v>20</v>
      </c>
      <c r="D4" s="10">
        <v>53</v>
      </c>
      <c r="E4" s="20">
        <v>365</v>
      </c>
      <c r="F4" s="26">
        <v>2.9999999999999997E-4</v>
      </c>
      <c r="G4" s="10">
        <v>900</v>
      </c>
      <c r="H4" s="12">
        <v>1E-3</v>
      </c>
      <c r="I4" s="21">
        <v>10950</v>
      </c>
      <c r="J4" s="22">
        <v>20</v>
      </c>
      <c r="K4" s="18">
        <f t="shared" ref="K4:K67" si="0">(F4*G4*E4*J4)/(D4*I4)</f>
        <v>3.3962264150943387E-3</v>
      </c>
      <c r="L4" s="2">
        <f t="shared" ref="L4:L45" si="1">(F4*G4*E4*5)/(D4*I4)</f>
        <v>8.4905660377358467E-4</v>
      </c>
      <c r="M4" s="2">
        <f t="shared" ref="M4:M67" si="2">(F4*G4*E4*10)/(D4*I4)</f>
        <v>1.6981132075471693E-3</v>
      </c>
      <c r="N4" s="2">
        <f t="shared" ref="N4:N67" si="3">(F4*G4*E4*15)/(D4*I4)</f>
        <v>2.5471698113207542E-3</v>
      </c>
      <c r="O4" s="2">
        <f t="shared" ref="O4:O67" si="4">(F4*G4*E4*20)/(D4*I4)</f>
        <v>3.3962264150943387E-3</v>
      </c>
      <c r="P4" s="2">
        <f t="shared" ref="P4:P67" si="5">(F4*G4*E4*25)/(D4*I4)</f>
        <v>4.2452830188679236E-3</v>
      </c>
      <c r="Q4" s="2">
        <f t="shared" ref="Q4:Q67" si="6">(F4*G4*E4*30)/(D4*I4)</f>
        <v>5.0943396226415085E-3</v>
      </c>
      <c r="R4" s="2">
        <f t="shared" ref="R4:R67" si="7">K4/H4</f>
        <v>3.3962264150943384</v>
      </c>
      <c r="S4" s="2">
        <f t="shared" ref="S4:S42" si="8">L4/H4</f>
        <v>0.84905660377358461</v>
      </c>
      <c r="T4" s="2">
        <f t="shared" ref="T4:T67" si="9">M4/H4</f>
        <v>1.6981132075471692</v>
      </c>
      <c r="U4" s="2">
        <f t="shared" ref="U4:U43" si="10">N4/H4</f>
        <v>2.5471698113207544</v>
      </c>
      <c r="V4" s="2">
        <f t="shared" ref="V4:V43" si="11">O4/H4</f>
        <v>3.3962264150943384</v>
      </c>
      <c r="W4" s="2">
        <f t="shared" ref="W4:W43" si="12">P4/H4</f>
        <v>4.2452830188679238</v>
      </c>
      <c r="X4" s="2">
        <f t="shared" ref="X4:X43" si="13">Q4/H4</f>
        <v>5.0943396226415087</v>
      </c>
      <c r="Y4" s="5" t="str">
        <f t="shared" ref="Y4:AE28" si="14">IF(R4&gt;1,"1","2")</f>
        <v>1</v>
      </c>
      <c r="Z4" s="5" t="str">
        <f t="shared" si="14"/>
        <v>2</v>
      </c>
      <c r="AA4" s="5" t="str">
        <f t="shared" si="14"/>
        <v>1</v>
      </c>
      <c r="AB4" s="5" t="str">
        <f t="shared" si="14"/>
        <v>1</v>
      </c>
      <c r="AC4" s="5" t="str">
        <f t="shared" si="14"/>
        <v>1</v>
      </c>
      <c r="AD4" s="5" t="str">
        <f t="shared" si="14"/>
        <v>1</v>
      </c>
      <c r="AE4" s="5" t="str">
        <f t="shared" si="14"/>
        <v>1</v>
      </c>
    </row>
    <row r="5" spans="1:31" ht="14.4" x14ac:dyDescent="0.3">
      <c r="A5" s="20">
        <v>2</v>
      </c>
      <c r="B5" s="24" t="s">
        <v>192</v>
      </c>
      <c r="C5" s="10">
        <v>25</v>
      </c>
      <c r="D5" s="10">
        <v>68</v>
      </c>
      <c r="E5" s="20">
        <v>365</v>
      </c>
      <c r="F5" s="26">
        <v>2.9999999999999997E-4</v>
      </c>
      <c r="G5" s="10">
        <v>1500</v>
      </c>
      <c r="H5" s="12">
        <v>1E-3</v>
      </c>
      <c r="I5" s="21">
        <v>10950</v>
      </c>
      <c r="J5" s="22">
        <v>22</v>
      </c>
      <c r="K5" s="18">
        <f t="shared" si="0"/>
        <v>4.8529411764705876E-3</v>
      </c>
      <c r="L5" s="2">
        <f t="shared" si="1"/>
        <v>1.102941176470588E-3</v>
      </c>
      <c r="M5" s="2">
        <f t="shared" si="2"/>
        <v>2.205882352941176E-3</v>
      </c>
      <c r="N5" s="2">
        <f t="shared" si="3"/>
        <v>3.3088235294117642E-3</v>
      </c>
      <c r="O5" s="2">
        <f t="shared" si="4"/>
        <v>4.411764705882352E-3</v>
      </c>
      <c r="P5" s="2">
        <f t="shared" si="5"/>
        <v>5.5147058823529398E-3</v>
      </c>
      <c r="Q5" s="2">
        <f t="shared" si="6"/>
        <v>6.6176470588235285E-3</v>
      </c>
      <c r="R5" s="2">
        <f t="shared" si="7"/>
        <v>4.8529411764705879</v>
      </c>
      <c r="S5" s="2">
        <f t="shared" si="8"/>
        <v>1.1029411764705879</v>
      </c>
      <c r="T5" s="2">
        <f t="shared" si="9"/>
        <v>2.2058823529411757</v>
      </c>
      <c r="U5" s="2">
        <f t="shared" si="10"/>
        <v>3.3088235294117641</v>
      </c>
      <c r="V5" s="2">
        <f t="shared" si="11"/>
        <v>4.4117647058823515</v>
      </c>
      <c r="W5" s="2">
        <f t="shared" si="12"/>
        <v>5.5147058823529393</v>
      </c>
      <c r="X5" s="2">
        <f t="shared" si="13"/>
        <v>6.6176470588235281</v>
      </c>
      <c r="Y5" s="5" t="str">
        <f t="shared" si="14"/>
        <v>1</v>
      </c>
      <c r="Z5" s="5" t="str">
        <f t="shared" si="14"/>
        <v>1</v>
      </c>
      <c r="AA5" s="5" t="str">
        <f t="shared" si="14"/>
        <v>1</v>
      </c>
      <c r="AB5" s="5" t="str">
        <f t="shared" si="14"/>
        <v>1</v>
      </c>
      <c r="AC5" s="5" t="str">
        <f t="shared" si="14"/>
        <v>1</v>
      </c>
      <c r="AD5" s="5" t="str">
        <f t="shared" si="14"/>
        <v>1</v>
      </c>
      <c r="AE5" s="5" t="str">
        <f t="shared" si="14"/>
        <v>1</v>
      </c>
    </row>
    <row r="6" spans="1:31" ht="14.4" x14ac:dyDescent="0.3">
      <c r="A6" s="20">
        <v>3</v>
      </c>
      <c r="B6" s="24" t="s">
        <v>124</v>
      </c>
      <c r="C6" s="10">
        <v>25</v>
      </c>
      <c r="D6" s="10">
        <v>68</v>
      </c>
      <c r="E6" s="20">
        <v>365</v>
      </c>
      <c r="F6" s="26">
        <v>2.9999999999999997E-4</v>
      </c>
      <c r="G6" s="10">
        <v>1500</v>
      </c>
      <c r="H6" s="12">
        <v>1E-3</v>
      </c>
      <c r="I6" s="21">
        <v>10950</v>
      </c>
      <c r="J6" s="22">
        <v>22</v>
      </c>
      <c r="K6" s="18">
        <f t="shared" si="0"/>
        <v>4.8529411764705876E-3</v>
      </c>
      <c r="L6" s="2">
        <f t="shared" si="1"/>
        <v>1.102941176470588E-3</v>
      </c>
      <c r="M6" s="2">
        <f t="shared" si="2"/>
        <v>2.205882352941176E-3</v>
      </c>
      <c r="N6" s="2">
        <f t="shared" si="3"/>
        <v>3.3088235294117642E-3</v>
      </c>
      <c r="O6" s="2">
        <f t="shared" si="4"/>
        <v>4.411764705882352E-3</v>
      </c>
      <c r="P6" s="2">
        <f t="shared" si="5"/>
        <v>5.5147058823529398E-3</v>
      </c>
      <c r="Q6" s="2">
        <f t="shared" si="6"/>
        <v>6.6176470588235285E-3</v>
      </c>
      <c r="R6" s="2">
        <f t="shared" si="7"/>
        <v>4.8529411764705879</v>
      </c>
      <c r="S6" s="2">
        <f t="shared" si="8"/>
        <v>1.1029411764705879</v>
      </c>
      <c r="T6" s="2">
        <f t="shared" si="9"/>
        <v>2.2058823529411757</v>
      </c>
      <c r="U6" s="2">
        <f t="shared" si="10"/>
        <v>3.3088235294117641</v>
      </c>
      <c r="V6" s="2">
        <f t="shared" si="11"/>
        <v>4.4117647058823515</v>
      </c>
      <c r="W6" s="2">
        <f t="shared" si="12"/>
        <v>5.5147058823529393</v>
      </c>
      <c r="X6" s="2">
        <f t="shared" si="13"/>
        <v>6.6176470588235281</v>
      </c>
      <c r="Y6" s="5" t="str">
        <f t="shared" si="14"/>
        <v>1</v>
      </c>
      <c r="Z6" s="5" t="str">
        <f t="shared" si="14"/>
        <v>1</v>
      </c>
      <c r="AA6" s="5" t="str">
        <f t="shared" si="14"/>
        <v>1</v>
      </c>
      <c r="AB6" s="5" t="str">
        <f t="shared" si="14"/>
        <v>1</v>
      </c>
      <c r="AC6" s="5" t="str">
        <f t="shared" si="14"/>
        <v>1</v>
      </c>
      <c r="AD6" s="5" t="str">
        <f t="shared" si="14"/>
        <v>1</v>
      </c>
      <c r="AE6" s="5" t="str">
        <f t="shared" si="14"/>
        <v>1</v>
      </c>
    </row>
    <row r="7" spans="1:31" ht="14.4" x14ac:dyDescent="0.3">
      <c r="A7" s="20">
        <v>4</v>
      </c>
      <c r="B7" s="24" t="s">
        <v>193</v>
      </c>
      <c r="C7" s="10">
        <v>26</v>
      </c>
      <c r="D7" s="10">
        <v>50</v>
      </c>
      <c r="E7" s="20">
        <v>365</v>
      </c>
      <c r="F7" s="26">
        <v>2.9999999999999997E-4</v>
      </c>
      <c r="G7" s="10">
        <v>900</v>
      </c>
      <c r="H7" s="12">
        <v>1E-3</v>
      </c>
      <c r="I7" s="21">
        <v>10950</v>
      </c>
      <c r="J7" s="22">
        <v>26</v>
      </c>
      <c r="K7" s="18">
        <f t="shared" si="0"/>
        <v>4.6799999999999993E-3</v>
      </c>
      <c r="L7" s="2">
        <f t="shared" si="1"/>
        <v>8.9999999999999976E-4</v>
      </c>
      <c r="M7" s="2">
        <f t="shared" si="2"/>
        <v>1.7999999999999995E-3</v>
      </c>
      <c r="N7" s="2">
        <f t="shared" si="3"/>
        <v>2.6999999999999997E-3</v>
      </c>
      <c r="O7" s="2">
        <f t="shared" si="4"/>
        <v>3.599999999999999E-3</v>
      </c>
      <c r="P7" s="2">
        <f t="shared" si="5"/>
        <v>4.4999999999999988E-3</v>
      </c>
      <c r="Q7" s="2">
        <f t="shared" si="6"/>
        <v>5.3999999999999994E-3</v>
      </c>
      <c r="R7" s="2">
        <f t="shared" si="7"/>
        <v>4.6799999999999988</v>
      </c>
      <c r="S7" s="2">
        <f t="shared" si="8"/>
        <v>0.89999999999999969</v>
      </c>
      <c r="T7" s="2">
        <f t="shared" si="9"/>
        <v>1.7999999999999994</v>
      </c>
      <c r="U7" s="2">
        <f t="shared" si="10"/>
        <v>2.6999999999999997</v>
      </c>
      <c r="V7" s="2">
        <f t="shared" si="11"/>
        <v>3.5999999999999988</v>
      </c>
      <c r="W7" s="2">
        <f t="shared" si="12"/>
        <v>4.4999999999999991</v>
      </c>
      <c r="X7" s="2">
        <f t="shared" si="13"/>
        <v>5.3999999999999995</v>
      </c>
      <c r="Y7" s="5" t="str">
        <f t="shared" si="14"/>
        <v>1</v>
      </c>
      <c r="Z7" s="5" t="str">
        <f t="shared" si="14"/>
        <v>2</v>
      </c>
      <c r="AA7" s="5" t="str">
        <f t="shared" si="14"/>
        <v>1</v>
      </c>
      <c r="AB7" s="5" t="str">
        <f t="shared" si="14"/>
        <v>1</v>
      </c>
      <c r="AC7" s="5" t="str">
        <f t="shared" si="14"/>
        <v>1</v>
      </c>
      <c r="AD7" s="5" t="str">
        <f t="shared" si="14"/>
        <v>1</v>
      </c>
      <c r="AE7" s="5" t="str">
        <f t="shared" si="14"/>
        <v>1</v>
      </c>
    </row>
    <row r="8" spans="1:31" ht="14.4" x14ac:dyDescent="0.3">
      <c r="A8" s="20">
        <v>5</v>
      </c>
      <c r="B8" s="24" t="s">
        <v>194</v>
      </c>
      <c r="C8" s="10">
        <v>27</v>
      </c>
      <c r="D8" s="10">
        <v>43</v>
      </c>
      <c r="E8" s="20">
        <v>365</v>
      </c>
      <c r="F8" s="26">
        <v>2.9999999999999997E-4</v>
      </c>
      <c r="G8" s="10">
        <v>1200</v>
      </c>
      <c r="H8" s="12">
        <v>1E-3</v>
      </c>
      <c r="I8" s="21">
        <v>10950</v>
      </c>
      <c r="J8" s="22">
        <v>27</v>
      </c>
      <c r="K8" s="18">
        <f t="shared" si="0"/>
        <v>7.5348837209302331E-3</v>
      </c>
      <c r="L8" s="2">
        <f t="shared" si="1"/>
        <v>1.3953488372093023E-3</v>
      </c>
      <c r="M8" s="2">
        <f t="shared" si="2"/>
        <v>2.7906976744186047E-3</v>
      </c>
      <c r="N8" s="2">
        <f t="shared" si="3"/>
        <v>4.1860465116279073E-3</v>
      </c>
      <c r="O8" s="2">
        <f t="shared" si="4"/>
        <v>5.5813953488372094E-3</v>
      </c>
      <c r="P8" s="2">
        <f t="shared" si="5"/>
        <v>6.9767441860465115E-3</v>
      </c>
      <c r="Q8" s="2">
        <f t="shared" si="6"/>
        <v>8.3720930232558145E-3</v>
      </c>
      <c r="R8" s="2">
        <f t="shared" si="7"/>
        <v>7.5348837209302326</v>
      </c>
      <c r="S8" s="2">
        <f t="shared" si="8"/>
        <v>1.3953488372093024</v>
      </c>
      <c r="T8" s="2">
        <f t="shared" si="9"/>
        <v>2.7906976744186047</v>
      </c>
      <c r="U8" s="2">
        <f t="shared" si="10"/>
        <v>4.1860465116279073</v>
      </c>
      <c r="V8" s="2">
        <f t="shared" si="11"/>
        <v>5.5813953488372094</v>
      </c>
      <c r="W8" s="2">
        <f t="shared" si="12"/>
        <v>6.9767441860465116</v>
      </c>
      <c r="X8" s="2">
        <f t="shared" si="13"/>
        <v>8.3720930232558146</v>
      </c>
      <c r="Y8" s="5" t="str">
        <f t="shared" si="14"/>
        <v>1</v>
      </c>
      <c r="Z8" s="5" t="str">
        <f t="shared" si="14"/>
        <v>1</v>
      </c>
      <c r="AA8" s="5" t="str">
        <f t="shared" si="14"/>
        <v>1</v>
      </c>
      <c r="AB8" s="5" t="str">
        <f t="shared" si="14"/>
        <v>1</v>
      </c>
      <c r="AC8" s="5" t="str">
        <f t="shared" si="14"/>
        <v>1</v>
      </c>
      <c r="AD8" s="5" t="str">
        <f t="shared" si="14"/>
        <v>1</v>
      </c>
      <c r="AE8" s="5" t="str">
        <f t="shared" si="14"/>
        <v>1</v>
      </c>
    </row>
    <row r="9" spans="1:31" ht="14.4" x14ac:dyDescent="0.3">
      <c r="A9" s="20">
        <v>6</v>
      </c>
      <c r="B9" s="24" t="s">
        <v>114</v>
      </c>
      <c r="C9" s="10">
        <v>27</v>
      </c>
      <c r="D9" s="10">
        <v>43</v>
      </c>
      <c r="E9" s="20">
        <v>365</v>
      </c>
      <c r="F9" s="26">
        <v>2.9999999999999997E-4</v>
      </c>
      <c r="G9" s="10">
        <v>1200</v>
      </c>
      <c r="H9" s="12">
        <v>1E-3</v>
      </c>
      <c r="I9" s="21">
        <v>10950</v>
      </c>
      <c r="J9" s="22">
        <v>27</v>
      </c>
      <c r="K9" s="18">
        <f t="shared" si="0"/>
        <v>7.5348837209302331E-3</v>
      </c>
      <c r="L9" s="2">
        <f t="shared" si="1"/>
        <v>1.3953488372093023E-3</v>
      </c>
      <c r="M9" s="2">
        <f t="shared" si="2"/>
        <v>2.7906976744186047E-3</v>
      </c>
      <c r="N9" s="2">
        <f t="shared" si="3"/>
        <v>4.1860465116279073E-3</v>
      </c>
      <c r="O9" s="2">
        <f t="shared" si="4"/>
        <v>5.5813953488372094E-3</v>
      </c>
      <c r="P9" s="2">
        <f t="shared" si="5"/>
        <v>6.9767441860465115E-3</v>
      </c>
      <c r="Q9" s="2">
        <f t="shared" si="6"/>
        <v>8.3720930232558145E-3</v>
      </c>
      <c r="R9" s="2">
        <f t="shared" si="7"/>
        <v>7.5348837209302326</v>
      </c>
      <c r="S9" s="2">
        <f t="shared" si="8"/>
        <v>1.3953488372093024</v>
      </c>
      <c r="T9" s="2">
        <f t="shared" si="9"/>
        <v>2.7906976744186047</v>
      </c>
      <c r="U9" s="2">
        <f t="shared" si="10"/>
        <v>4.1860465116279073</v>
      </c>
      <c r="V9" s="2">
        <f t="shared" si="11"/>
        <v>5.5813953488372094</v>
      </c>
      <c r="W9" s="2">
        <f t="shared" si="12"/>
        <v>6.9767441860465116</v>
      </c>
      <c r="X9" s="2">
        <f t="shared" si="13"/>
        <v>8.3720930232558146</v>
      </c>
      <c r="Y9" s="5" t="str">
        <f t="shared" si="14"/>
        <v>1</v>
      </c>
      <c r="Z9" s="5" t="str">
        <f t="shared" si="14"/>
        <v>1</v>
      </c>
      <c r="AA9" s="5" t="str">
        <f t="shared" si="14"/>
        <v>1</v>
      </c>
      <c r="AB9" s="5" t="str">
        <f t="shared" si="14"/>
        <v>1</v>
      </c>
      <c r="AC9" s="5" t="str">
        <f t="shared" si="14"/>
        <v>1</v>
      </c>
      <c r="AD9" s="5" t="str">
        <f t="shared" si="14"/>
        <v>1</v>
      </c>
      <c r="AE9" s="5" t="str">
        <f t="shared" si="14"/>
        <v>1</v>
      </c>
    </row>
    <row r="10" spans="1:31" ht="14.4" x14ac:dyDescent="0.3">
      <c r="A10" s="20">
        <v>7</v>
      </c>
      <c r="B10" s="24" t="s">
        <v>195</v>
      </c>
      <c r="C10" s="10">
        <v>27</v>
      </c>
      <c r="D10" s="10">
        <v>65</v>
      </c>
      <c r="E10" s="20">
        <v>365</v>
      </c>
      <c r="F10" s="26">
        <v>2.9999999999999997E-4</v>
      </c>
      <c r="G10" s="10">
        <v>1200</v>
      </c>
      <c r="H10" s="12">
        <v>1E-3</v>
      </c>
      <c r="I10" s="21">
        <v>10950</v>
      </c>
      <c r="J10" s="22">
        <v>27</v>
      </c>
      <c r="K10" s="18">
        <f t="shared" si="0"/>
        <v>4.9846153846153851E-3</v>
      </c>
      <c r="L10" s="2">
        <f t="shared" si="1"/>
        <v>9.2307692307692305E-4</v>
      </c>
      <c r="M10" s="2">
        <f t="shared" si="2"/>
        <v>1.8461538461538461E-3</v>
      </c>
      <c r="N10" s="2">
        <f t="shared" si="3"/>
        <v>2.7692307692307691E-3</v>
      </c>
      <c r="O10" s="2">
        <f t="shared" si="4"/>
        <v>3.6923076923076922E-3</v>
      </c>
      <c r="P10" s="2">
        <f t="shared" si="5"/>
        <v>4.6153846153846158E-3</v>
      </c>
      <c r="Q10" s="2">
        <f t="shared" si="6"/>
        <v>5.5384615384615381E-3</v>
      </c>
      <c r="R10" s="2">
        <f t="shared" si="7"/>
        <v>4.9846153846153847</v>
      </c>
      <c r="S10" s="2">
        <f t="shared" si="8"/>
        <v>0.92307692307692302</v>
      </c>
      <c r="T10" s="2">
        <f t="shared" si="9"/>
        <v>1.846153846153846</v>
      </c>
      <c r="U10" s="2">
        <f t="shared" si="10"/>
        <v>2.7692307692307692</v>
      </c>
      <c r="V10" s="2">
        <f t="shared" si="11"/>
        <v>3.6923076923076921</v>
      </c>
      <c r="W10" s="2">
        <f t="shared" si="12"/>
        <v>4.6153846153846159</v>
      </c>
      <c r="X10" s="2">
        <f t="shared" si="13"/>
        <v>5.5384615384615383</v>
      </c>
      <c r="Y10" s="5" t="str">
        <f t="shared" si="14"/>
        <v>1</v>
      </c>
      <c r="Z10" s="5" t="str">
        <f t="shared" si="14"/>
        <v>2</v>
      </c>
      <c r="AA10" s="5" t="str">
        <f t="shared" si="14"/>
        <v>1</v>
      </c>
      <c r="AB10" s="5" t="str">
        <f t="shared" si="14"/>
        <v>1</v>
      </c>
      <c r="AC10" s="5" t="str">
        <f t="shared" si="14"/>
        <v>1</v>
      </c>
      <c r="AD10" s="5" t="str">
        <f t="shared" si="14"/>
        <v>1</v>
      </c>
      <c r="AE10" s="5" t="str">
        <f t="shared" si="14"/>
        <v>1</v>
      </c>
    </row>
    <row r="11" spans="1:31" ht="14.4" x14ac:dyDescent="0.3">
      <c r="A11" s="20">
        <v>8</v>
      </c>
      <c r="B11" s="24" t="s">
        <v>196</v>
      </c>
      <c r="C11" s="10">
        <v>27</v>
      </c>
      <c r="D11" s="10">
        <v>59</v>
      </c>
      <c r="E11" s="20">
        <v>365</v>
      </c>
      <c r="F11" s="26">
        <v>2.9999999999999997E-4</v>
      </c>
      <c r="G11" s="10">
        <v>900</v>
      </c>
      <c r="H11" s="12">
        <v>1E-3</v>
      </c>
      <c r="I11" s="21">
        <v>10950</v>
      </c>
      <c r="J11" s="22">
        <v>10</v>
      </c>
      <c r="K11" s="18">
        <f t="shared" si="0"/>
        <v>1.5254237288135589E-3</v>
      </c>
      <c r="L11" s="2">
        <f t="shared" si="1"/>
        <v>7.6271186440677945E-4</v>
      </c>
      <c r="M11" s="2">
        <f t="shared" si="2"/>
        <v>1.5254237288135589E-3</v>
      </c>
      <c r="N11" s="2">
        <f t="shared" si="3"/>
        <v>2.2881355932203385E-3</v>
      </c>
      <c r="O11" s="2">
        <f t="shared" si="4"/>
        <v>3.0508474576271178E-3</v>
      </c>
      <c r="P11" s="2">
        <f t="shared" si="5"/>
        <v>3.8135593220338976E-3</v>
      </c>
      <c r="Q11" s="2">
        <f t="shared" si="6"/>
        <v>4.5762711864406769E-3</v>
      </c>
      <c r="R11" s="2">
        <f t="shared" si="7"/>
        <v>1.5254237288135588</v>
      </c>
      <c r="S11" s="2">
        <f t="shared" si="8"/>
        <v>0.76271186440677941</v>
      </c>
      <c r="T11" s="2">
        <f t="shared" si="9"/>
        <v>1.5254237288135588</v>
      </c>
      <c r="U11" s="2">
        <f t="shared" si="10"/>
        <v>2.2881355932203382</v>
      </c>
      <c r="V11" s="2">
        <f t="shared" si="11"/>
        <v>3.0508474576271176</v>
      </c>
      <c r="W11" s="2">
        <f t="shared" si="12"/>
        <v>3.8135593220338975</v>
      </c>
      <c r="X11" s="2">
        <f t="shared" si="13"/>
        <v>4.5762711864406764</v>
      </c>
      <c r="Y11" s="5" t="str">
        <f t="shared" si="14"/>
        <v>1</v>
      </c>
      <c r="Z11" s="5" t="str">
        <f t="shared" si="14"/>
        <v>2</v>
      </c>
      <c r="AA11" s="5" t="str">
        <f t="shared" si="14"/>
        <v>1</v>
      </c>
      <c r="AB11" s="5" t="str">
        <f t="shared" si="14"/>
        <v>1</v>
      </c>
      <c r="AC11" s="5" t="str">
        <f t="shared" si="14"/>
        <v>1</v>
      </c>
      <c r="AD11" s="5" t="str">
        <f t="shared" si="14"/>
        <v>1</v>
      </c>
      <c r="AE11" s="5" t="str">
        <f t="shared" si="14"/>
        <v>1</v>
      </c>
    </row>
    <row r="12" spans="1:31" ht="14.4" x14ac:dyDescent="0.3">
      <c r="A12" s="20">
        <v>9</v>
      </c>
      <c r="B12" s="24" t="s">
        <v>114</v>
      </c>
      <c r="C12" s="10">
        <v>27</v>
      </c>
      <c r="D12" s="10">
        <v>43</v>
      </c>
      <c r="E12" s="20">
        <v>365</v>
      </c>
      <c r="F12" s="26">
        <v>2.9999999999999997E-4</v>
      </c>
      <c r="G12" s="10">
        <v>1200</v>
      </c>
      <c r="H12" s="12">
        <v>1E-3</v>
      </c>
      <c r="I12" s="21">
        <v>10950</v>
      </c>
      <c r="J12" s="22">
        <v>27</v>
      </c>
      <c r="K12" s="18">
        <f t="shared" si="0"/>
        <v>7.5348837209302331E-3</v>
      </c>
      <c r="L12" s="2">
        <f t="shared" si="1"/>
        <v>1.3953488372093023E-3</v>
      </c>
      <c r="M12" s="2">
        <f t="shared" si="2"/>
        <v>2.7906976744186047E-3</v>
      </c>
      <c r="N12" s="2">
        <f t="shared" si="3"/>
        <v>4.1860465116279073E-3</v>
      </c>
      <c r="O12" s="2">
        <f t="shared" si="4"/>
        <v>5.5813953488372094E-3</v>
      </c>
      <c r="P12" s="2">
        <f t="shared" si="5"/>
        <v>6.9767441860465115E-3</v>
      </c>
      <c r="Q12" s="2">
        <f t="shared" si="6"/>
        <v>8.3720930232558145E-3</v>
      </c>
      <c r="R12" s="2">
        <f t="shared" si="7"/>
        <v>7.5348837209302326</v>
      </c>
      <c r="S12" s="2">
        <f t="shared" si="8"/>
        <v>1.3953488372093024</v>
      </c>
      <c r="T12" s="2">
        <f t="shared" si="9"/>
        <v>2.7906976744186047</v>
      </c>
      <c r="U12" s="2">
        <f t="shared" si="10"/>
        <v>4.1860465116279073</v>
      </c>
      <c r="V12" s="2">
        <f t="shared" si="11"/>
        <v>5.5813953488372094</v>
      </c>
      <c r="W12" s="2">
        <f t="shared" si="12"/>
        <v>6.9767441860465116</v>
      </c>
      <c r="X12" s="2">
        <f t="shared" si="13"/>
        <v>8.3720930232558146</v>
      </c>
      <c r="Y12" s="5" t="str">
        <f t="shared" si="14"/>
        <v>1</v>
      </c>
      <c r="Z12" s="5" t="str">
        <f t="shared" si="14"/>
        <v>1</v>
      </c>
      <c r="AA12" s="5" t="str">
        <f t="shared" si="14"/>
        <v>1</v>
      </c>
      <c r="AB12" s="5" t="str">
        <f t="shared" si="14"/>
        <v>1</v>
      </c>
      <c r="AC12" s="5" t="str">
        <f t="shared" si="14"/>
        <v>1</v>
      </c>
      <c r="AD12" s="5" t="str">
        <f t="shared" si="14"/>
        <v>1</v>
      </c>
      <c r="AE12" s="5" t="str">
        <f t="shared" si="14"/>
        <v>1</v>
      </c>
    </row>
    <row r="13" spans="1:31" ht="14.4" x14ac:dyDescent="0.3">
      <c r="A13" s="20">
        <v>10</v>
      </c>
      <c r="B13" s="24" t="s">
        <v>116</v>
      </c>
      <c r="C13" s="10">
        <v>27</v>
      </c>
      <c r="D13" s="10">
        <v>43</v>
      </c>
      <c r="E13" s="20">
        <v>365</v>
      </c>
      <c r="F13" s="26">
        <v>2.9999999999999997E-4</v>
      </c>
      <c r="G13" s="10">
        <v>1200</v>
      </c>
      <c r="H13" s="12">
        <v>1E-3</v>
      </c>
      <c r="I13" s="21">
        <v>10950</v>
      </c>
      <c r="J13" s="22">
        <v>27</v>
      </c>
      <c r="K13" s="18">
        <f t="shared" si="0"/>
        <v>7.5348837209302331E-3</v>
      </c>
      <c r="L13" s="2">
        <f t="shared" si="1"/>
        <v>1.3953488372093023E-3</v>
      </c>
      <c r="M13" s="2">
        <f t="shared" si="2"/>
        <v>2.7906976744186047E-3</v>
      </c>
      <c r="N13" s="2">
        <f t="shared" si="3"/>
        <v>4.1860465116279073E-3</v>
      </c>
      <c r="O13" s="2">
        <f t="shared" si="4"/>
        <v>5.5813953488372094E-3</v>
      </c>
      <c r="P13" s="2">
        <f t="shared" si="5"/>
        <v>6.9767441860465115E-3</v>
      </c>
      <c r="Q13" s="2">
        <f t="shared" si="6"/>
        <v>8.3720930232558145E-3</v>
      </c>
      <c r="R13" s="2">
        <f t="shared" si="7"/>
        <v>7.5348837209302326</v>
      </c>
      <c r="S13" s="2">
        <f t="shared" si="8"/>
        <v>1.3953488372093024</v>
      </c>
      <c r="T13" s="2">
        <f t="shared" si="9"/>
        <v>2.7906976744186047</v>
      </c>
      <c r="U13" s="2">
        <f t="shared" si="10"/>
        <v>4.1860465116279073</v>
      </c>
      <c r="V13" s="2">
        <f t="shared" si="11"/>
        <v>5.5813953488372094</v>
      </c>
      <c r="W13" s="2">
        <f t="shared" si="12"/>
        <v>6.9767441860465116</v>
      </c>
      <c r="X13" s="2">
        <f t="shared" si="13"/>
        <v>8.3720930232558146</v>
      </c>
      <c r="Y13" s="5" t="str">
        <f t="shared" si="14"/>
        <v>1</v>
      </c>
      <c r="Z13" s="5" t="str">
        <f t="shared" si="14"/>
        <v>1</v>
      </c>
      <c r="AA13" s="5" t="str">
        <f t="shared" si="14"/>
        <v>1</v>
      </c>
      <c r="AB13" s="5" t="str">
        <f t="shared" si="14"/>
        <v>1</v>
      </c>
      <c r="AC13" s="5" t="str">
        <f t="shared" si="14"/>
        <v>1</v>
      </c>
      <c r="AD13" s="5" t="str">
        <f t="shared" si="14"/>
        <v>1</v>
      </c>
      <c r="AE13" s="5" t="str">
        <f t="shared" si="14"/>
        <v>1</v>
      </c>
    </row>
    <row r="14" spans="1:31" ht="14.4" x14ac:dyDescent="0.3">
      <c r="A14" s="20">
        <v>11</v>
      </c>
      <c r="B14" s="24" t="s">
        <v>134</v>
      </c>
      <c r="C14" s="10">
        <v>27</v>
      </c>
      <c r="D14" s="10">
        <v>43</v>
      </c>
      <c r="E14" s="20">
        <v>365</v>
      </c>
      <c r="F14" s="26">
        <v>2.9999999999999997E-4</v>
      </c>
      <c r="G14" s="10">
        <v>1200</v>
      </c>
      <c r="H14" s="12">
        <v>1E-3</v>
      </c>
      <c r="I14" s="21">
        <v>10950</v>
      </c>
      <c r="J14" s="22">
        <v>27</v>
      </c>
      <c r="K14" s="18">
        <f t="shared" si="0"/>
        <v>7.5348837209302331E-3</v>
      </c>
      <c r="L14" s="2">
        <f t="shared" si="1"/>
        <v>1.3953488372093023E-3</v>
      </c>
      <c r="M14" s="2">
        <f t="shared" si="2"/>
        <v>2.7906976744186047E-3</v>
      </c>
      <c r="N14" s="2">
        <f t="shared" si="3"/>
        <v>4.1860465116279073E-3</v>
      </c>
      <c r="O14" s="2">
        <f t="shared" si="4"/>
        <v>5.5813953488372094E-3</v>
      </c>
      <c r="P14" s="2">
        <f t="shared" si="5"/>
        <v>6.9767441860465115E-3</v>
      </c>
      <c r="Q14" s="2">
        <f t="shared" si="6"/>
        <v>8.3720930232558145E-3</v>
      </c>
      <c r="R14" s="2">
        <f t="shared" si="7"/>
        <v>7.5348837209302326</v>
      </c>
      <c r="S14" s="2">
        <f t="shared" si="8"/>
        <v>1.3953488372093024</v>
      </c>
      <c r="T14" s="2">
        <f t="shared" si="9"/>
        <v>2.7906976744186047</v>
      </c>
      <c r="U14" s="2">
        <f t="shared" si="10"/>
        <v>4.1860465116279073</v>
      </c>
      <c r="V14" s="2">
        <f t="shared" si="11"/>
        <v>5.5813953488372094</v>
      </c>
      <c r="W14" s="2">
        <f t="shared" si="12"/>
        <v>6.9767441860465116</v>
      </c>
      <c r="X14" s="2">
        <f t="shared" si="13"/>
        <v>8.3720930232558146</v>
      </c>
      <c r="Y14" s="5" t="str">
        <f t="shared" si="14"/>
        <v>1</v>
      </c>
      <c r="Z14" s="5" t="str">
        <f t="shared" si="14"/>
        <v>1</v>
      </c>
      <c r="AA14" s="5" t="str">
        <f t="shared" si="14"/>
        <v>1</v>
      </c>
      <c r="AB14" s="5" t="str">
        <f t="shared" si="14"/>
        <v>1</v>
      </c>
      <c r="AC14" s="5" t="str">
        <f t="shared" si="14"/>
        <v>1</v>
      </c>
      <c r="AD14" s="5" t="str">
        <f t="shared" si="14"/>
        <v>1</v>
      </c>
      <c r="AE14" s="5" t="str">
        <f t="shared" si="14"/>
        <v>1</v>
      </c>
    </row>
    <row r="15" spans="1:31" ht="14.4" x14ac:dyDescent="0.3">
      <c r="A15" s="20">
        <v>12</v>
      </c>
      <c r="B15" s="24" t="s">
        <v>136</v>
      </c>
      <c r="C15" s="10">
        <v>27</v>
      </c>
      <c r="D15" s="10">
        <v>43</v>
      </c>
      <c r="E15" s="20">
        <v>365</v>
      </c>
      <c r="F15" s="26">
        <v>2.9999999999999997E-4</v>
      </c>
      <c r="G15" s="10">
        <v>1200</v>
      </c>
      <c r="H15" s="12">
        <v>1E-3</v>
      </c>
      <c r="I15" s="21">
        <v>10950</v>
      </c>
      <c r="J15" s="22">
        <v>27</v>
      </c>
      <c r="K15" s="18">
        <f t="shared" si="0"/>
        <v>7.5348837209302331E-3</v>
      </c>
      <c r="L15" s="2">
        <f t="shared" si="1"/>
        <v>1.3953488372093023E-3</v>
      </c>
      <c r="M15" s="2">
        <f t="shared" si="2"/>
        <v>2.7906976744186047E-3</v>
      </c>
      <c r="N15" s="2">
        <f t="shared" si="3"/>
        <v>4.1860465116279073E-3</v>
      </c>
      <c r="O15" s="2">
        <f t="shared" si="4"/>
        <v>5.5813953488372094E-3</v>
      </c>
      <c r="P15" s="2">
        <f t="shared" si="5"/>
        <v>6.9767441860465115E-3</v>
      </c>
      <c r="Q15" s="2">
        <f t="shared" si="6"/>
        <v>8.3720930232558145E-3</v>
      </c>
      <c r="R15" s="2">
        <f t="shared" si="7"/>
        <v>7.5348837209302326</v>
      </c>
      <c r="S15" s="2">
        <f t="shared" si="8"/>
        <v>1.3953488372093024</v>
      </c>
      <c r="T15" s="2">
        <f t="shared" si="9"/>
        <v>2.7906976744186047</v>
      </c>
      <c r="U15" s="2">
        <f t="shared" si="10"/>
        <v>4.1860465116279073</v>
      </c>
      <c r="V15" s="2">
        <f t="shared" si="11"/>
        <v>5.5813953488372094</v>
      </c>
      <c r="W15" s="2">
        <f t="shared" si="12"/>
        <v>6.9767441860465116</v>
      </c>
      <c r="X15" s="2">
        <f t="shared" si="13"/>
        <v>8.3720930232558146</v>
      </c>
      <c r="Y15" s="5" t="str">
        <f t="shared" si="14"/>
        <v>1</v>
      </c>
      <c r="Z15" s="5" t="str">
        <f t="shared" si="14"/>
        <v>1</v>
      </c>
      <c r="AA15" s="5" t="str">
        <f t="shared" si="14"/>
        <v>1</v>
      </c>
      <c r="AB15" s="5" t="str">
        <f t="shared" si="14"/>
        <v>1</v>
      </c>
      <c r="AC15" s="5" t="str">
        <f t="shared" si="14"/>
        <v>1</v>
      </c>
      <c r="AD15" s="5" t="str">
        <f t="shared" si="14"/>
        <v>1</v>
      </c>
      <c r="AE15" s="5" t="str">
        <f t="shared" si="14"/>
        <v>1</v>
      </c>
    </row>
    <row r="16" spans="1:31" ht="14.4" x14ac:dyDescent="0.3">
      <c r="A16" s="20">
        <v>13</v>
      </c>
      <c r="B16" s="24" t="s">
        <v>145</v>
      </c>
      <c r="C16" s="10">
        <v>27</v>
      </c>
      <c r="D16" s="10">
        <v>65</v>
      </c>
      <c r="E16" s="20">
        <v>365</v>
      </c>
      <c r="F16" s="26">
        <v>2.9999999999999997E-4</v>
      </c>
      <c r="G16" s="10">
        <v>1200</v>
      </c>
      <c r="H16" s="12">
        <v>1E-3</v>
      </c>
      <c r="I16" s="21">
        <v>10950</v>
      </c>
      <c r="J16" s="22">
        <v>27</v>
      </c>
      <c r="K16" s="18">
        <f t="shared" si="0"/>
        <v>4.9846153846153851E-3</v>
      </c>
      <c r="L16" s="2">
        <f t="shared" si="1"/>
        <v>9.2307692307692305E-4</v>
      </c>
      <c r="M16" s="2">
        <f t="shared" si="2"/>
        <v>1.8461538461538461E-3</v>
      </c>
      <c r="N16" s="2">
        <f t="shared" si="3"/>
        <v>2.7692307692307691E-3</v>
      </c>
      <c r="O16" s="2">
        <f t="shared" si="4"/>
        <v>3.6923076923076922E-3</v>
      </c>
      <c r="P16" s="2">
        <f t="shared" si="5"/>
        <v>4.6153846153846158E-3</v>
      </c>
      <c r="Q16" s="2">
        <f t="shared" si="6"/>
        <v>5.5384615384615381E-3</v>
      </c>
      <c r="R16" s="2">
        <f t="shared" si="7"/>
        <v>4.9846153846153847</v>
      </c>
      <c r="S16" s="2">
        <f t="shared" si="8"/>
        <v>0.92307692307692302</v>
      </c>
      <c r="T16" s="2">
        <f t="shared" si="9"/>
        <v>1.846153846153846</v>
      </c>
      <c r="U16" s="2">
        <f t="shared" si="10"/>
        <v>2.7692307692307692</v>
      </c>
      <c r="V16" s="2">
        <f t="shared" si="11"/>
        <v>3.6923076923076921</v>
      </c>
      <c r="W16" s="2">
        <f t="shared" si="12"/>
        <v>4.6153846153846159</v>
      </c>
      <c r="X16" s="2">
        <f t="shared" si="13"/>
        <v>5.5384615384615383</v>
      </c>
      <c r="Y16" s="5" t="str">
        <f t="shared" si="14"/>
        <v>1</v>
      </c>
      <c r="Z16" s="5" t="str">
        <f t="shared" si="14"/>
        <v>2</v>
      </c>
      <c r="AA16" s="5" t="str">
        <f t="shared" si="14"/>
        <v>1</v>
      </c>
      <c r="AB16" s="5" t="str">
        <f t="shared" si="14"/>
        <v>1</v>
      </c>
      <c r="AC16" s="5" t="str">
        <f t="shared" si="14"/>
        <v>1</v>
      </c>
      <c r="AD16" s="5" t="str">
        <f t="shared" si="14"/>
        <v>1</v>
      </c>
      <c r="AE16" s="5" t="str">
        <f t="shared" si="14"/>
        <v>1</v>
      </c>
    </row>
    <row r="17" spans="1:31" ht="14.4" x14ac:dyDescent="0.3">
      <c r="A17" s="20">
        <v>14</v>
      </c>
      <c r="B17" s="24" t="s">
        <v>155</v>
      </c>
      <c r="C17" s="10">
        <v>27</v>
      </c>
      <c r="D17" s="10">
        <v>43</v>
      </c>
      <c r="E17" s="20">
        <v>365</v>
      </c>
      <c r="F17" s="26">
        <v>2.9999999999999997E-4</v>
      </c>
      <c r="G17" s="10">
        <v>1200</v>
      </c>
      <c r="H17" s="12">
        <v>1E-3</v>
      </c>
      <c r="I17" s="21">
        <v>10950</v>
      </c>
      <c r="J17" s="22">
        <v>27</v>
      </c>
      <c r="K17" s="18">
        <f t="shared" si="0"/>
        <v>7.5348837209302331E-3</v>
      </c>
      <c r="L17" s="2">
        <f t="shared" si="1"/>
        <v>1.3953488372093023E-3</v>
      </c>
      <c r="M17" s="2">
        <f t="shared" si="2"/>
        <v>2.7906976744186047E-3</v>
      </c>
      <c r="N17" s="2">
        <f t="shared" si="3"/>
        <v>4.1860465116279073E-3</v>
      </c>
      <c r="O17" s="2">
        <f t="shared" si="4"/>
        <v>5.5813953488372094E-3</v>
      </c>
      <c r="P17" s="2">
        <f t="shared" si="5"/>
        <v>6.9767441860465115E-3</v>
      </c>
      <c r="Q17" s="2">
        <f t="shared" si="6"/>
        <v>8.3720930232558145E-3</v>
      </c>
      <c r="R17" s="2">
        <f t="shared" si="7"/>
        <v>7.5348837209302326</v>
      </c>
      <c r="S17" s="2">
        <f t="shared" si="8"/>
        <v>1.3953488372093024</v>
      </c>
      <c r="T17" s="2">
        <f t="shared" si="9"/>
        <v>2.7906976744186047</v>
      </c>
      <c r="U17" s="2">
        <f t="shared" si="10"/>
        <v>4.1860465116279073</v>
      </c>
      <c r="V17" s="2">
        <f t="shared" si="11"/>
        <v>5.5813953488372094</v>
      </c>
      <c r="W17" s="2">
        <f t="shared" si="12"/>
        <v>6.9767441860465116</v>
      </c>
      <c r="X17" s="2">
        <f t="shared" si="13"/>
        <v>8.3720930232558146</v>
      </c>
      <c r="Y17" s="5" t="str">
        <f t="shared" si="14"/>
        <v>1</v>
      </c>
      <c r="Z17" s="5" t="str">
        <f t="shared" si="14"/>
        <v>1</v>
      </c>
      <c r="AA17" s="5" t="str">
        <f t="shared" si="14"/>
        <v>1</v>
      </c>
      <c r="AB17" s="5" t="str">
        <f t="shared" si="14"/>
        <v>1</v>
      </c>
      <c r="AC17" s="5" t="str">
        <f t="shared" si="14"/>
        <v>1</v>
      </c>
      <c r="AD17" s="5" t="str">
        <f t="shared" si="14"/>
        <v>1</v>
      </c>
      <c r="AE17" s="5" t="str">
        <f t="shared" si="14"/>
        <v>1</v>
      </c>
    </row>
    <row r="18" spans="1:31" ht="14.4" x14ac:dyDescent="0.3">
      <c r="A18" s="20">
        <v>15</v>
      </c>
      <c r="B18" s="24" t="s">
        <v>105</v>
      </c>
      <c r="C18" s="10">
        <v>28</v>
      </c>
      <c r="D18" s="10">
        <v>70</v>
      </c>
      <c r="E18" s="20">
        <v>365</v>
      </c>
      <c r="F18" s="26">
        <v>2.9999999999999997E-4</v>
      </c>
      <c r="G18" s="10">
        <v>900</v>
      </c>
      <c r="H18" s="12">
        <v>1E-3</v>
      </c>
      <c r="I18" s="21">
        <v>10950</v>
      </c>
      <c r="J18" s="22">
        <v>28</v>
      </c>
      <c r="K18" s="18">
        <f t="shared" si="0"/>
        <v>3.5999999999999995E-3</v>
      </c>
      <c r="L18" s="2">
        <f t="shared" si="1"/>
        <v>6.4285714285714272E-4</v>
      </c>
      <c r="M18" s="2">
        <f t="shared" si="2"/>
        <v>1.2857142857142854E-3</v>
      </c>
      <c r="N18" s="2">
        <f t="shared" si="3"/>
        <v>1.9285714285714284E-3</v>
      </c>
      <c r="O18" s="2">
        <f t="shared" si="4"/>
        <v>2.5714285714285709E-3</v>
      </c>
      <c r="P18" s="2">
        <f t="shared" si="5"/>
        <v>3.2142857142857138E-3</v>
      </c>
      <c r="Q18" s="2">
        <f t="shared" si="6"/>
        <v>3.8571428571428567E-3</v>
      </c>
      <c r="R18" s="2">
        <f t="shared" si="7"/>
        <v>3.5999999999999992</v>
      </c>
      <c r="S18" s="2">
        <f t="shared" si="8"/>
        <v>0.64285714285714268</v>
      </c>
      <c r="T18" s="2">
        <f t="shared" si="9"/>
        <v>1.2857142857142854</v>
      </c>
      <c r="U18" s="2">
        <f t="shared" si="10"/>
        <v>1.9285714285714284</v>
      </c>
      <c r="V18" s="2">
        <f t="shared" si="11"/>
        <v>2.5714285714285707</v>
      </c>
      <c r="W18" s="2">
        <f t="shared" si="12"/>
        <v>3.2142857142857135</v>
      </c>
      <c r="X18" s="2">
        <f t="shared" si="13"/>
        <v>3.8571428571428568</v>
      </c>
      <c r="Y18" s="5" t="str">
        <f t="shared" si="14"/>
        <v>1</v>
      </c>
      <c r="Z18" s="5" t="str">
        <f t="shared" si="14"/>
        <v>2</v>
      </c>
      <c r="AA18" s="5" t="str">
        <f t="shared" si="14"/>
        <v>1</v>
      </c>
      <c r="AB18" s="5" t="str">
        <f t="shared" si="14"/>
        <v>1</v>
      </c>
      <c r="AC18" s="5" t="str">
        <f t="shared" si="14"/>
        <v>1</v>
      </c>
      <c r="AD18" s="5" t="str">
        <f t="shared" si="14"/>
        <v>1</v>
      </c>
      <c r="AE18" s="5" t="str">
        <f t="shared" si="14"/>
        <v>1</v>
      </c>
    </row>
    <row r="19" spans="1:31" ht="14.4" x14ac:dyDescent="0.3">
      <c r="A19" s="20">
        <v>16</v>
      </c>
      <c r="B19" s="24" t="s">
        <v>149</v>
      </c>
      <c r="C19" s="10">
        <v>28</v>
      </c>
      <c r="D19" s="10">
        <v>70</v>
      </c>
      <c r="E19" s="20">
        <v>365</v>
      </c>
      <c r="F19" s="26">
        <v>2.9999999999999997E-4</v>
      </c>
      <c r="G19" s="10">
        <v>900</v>
      </c>
      <c r="H19" s="12">
        <v>1E-3</v>
      </c>
      <c r="I19" s="21">
        <v>10950</v>
      </c>
      <c r="J19" s="22">
        <v>28</v>
      </c>
      <c r="K19" s="18">
        <f t="shared" si="0"/>
        <v>3.5999999999999995E-3</v>
      </c>
      <c r="L19" s="2">
        <f t="shared" si="1"/>
        <v>6.4285714285714272E-4</v>
      </c>
      <c r="M19" s="2">
        <f t="shared" si="2"/>
        <v>1.2857142857142854E-3</v>
      </c>
      <c r="N19" s="2">
        <f t="shared" si="3"/>
        <v>1.9285714285714284E-3</v>
      </c>
      <c r="O19" s="2">
        <f t="shared" si="4"/>
        <v>2.5714285714285709E-3</v>
      </c>
      <c r="P19" s="2">
        <f t="shared" si="5"/>
        <v>3.2142857142857138E-3</v>
      </c>
      <c r="Q19" s="2">
        <f t="shared" si="6"/>
        <v>3.8571428571428567E-3</v>
      </c>
      <c r="R19" s="2">
        <f t="shared" si="7"/>
        <v>3.5999999999999992</v>
      </c>
      <c r="S19" s="2">
        <f t="shared" si="8"/>
        <v>0.64285714285714268</v>
      </c>
      <c r="T19" s="2">
        <f t="shared" si="9"/>
        <v>1.2857142857142854</v>
      </c>
      <c r="U19" s="2">
        <f t="shared" si="10"/>
        <v>1.9285714285714284</v>
      </c>
      <c r="V19" s="2">
        <f t="shared" si="11"/>
        <v>2.5714285714285707</v>
      </c>
      <c r="W19" s="2">
        <f t="shared" si="12"/>
        <v>3.2142857142857135</v>
      </c>
      <c r="X19" s="2">
        <f t="shared" si="13"/>
        <v>3.8571428571428568</v>
      </c>
      <c r="Y19" s="5" t="str">
        <f t="shared" si="14"/>
        <v>1</v>
      </c>
      <c r="Z19" s="5" t="str">
        <f t="shared" si="14"/>
        <v>2</v>
      </c>
      <c r="AA19" s="5" t="str">
        <f t="shared" si="14"/>
        <v>1</v>
      </c>
      <c r="AB19" s="5" t="str">
        <f t="shared" si="14"/>
        <v>1</v>
      </c>
      <c r="AC19" s="5" t="str">
        <f t="shared" si="14"/>
        <v>1</v>
      </c>
      <c r="AD19" s="5" t="str">
        <f t="shared" si="14"/>
        <v>1</v>
      </c>
      <c r="AE19" s="5" t="str">
        <f t="shared" si="14"/>
        <v>1</v>
      </c>
    </row>
    <row r="20" spans="1:31" s="35" customFormat="1" ht="14.4" x14ac:dyDescent="0.3">
      <c r="A20" s="27">
        <v>17</v>
      </c>
      <c r="B20" s="28" t="s">
        <v>110</v>
      </c>
      <c r="C20" s="29">
        <v>29</v>
      </c>
      <c r="D20" s="29">
        <v>69</v>
      </c>
      <c r="E20" s="27">
        <v>365</v>
      </c>
      <c r="F20" s="26">
        <v>2.9999999999999997E-4</v>
      </c>
      <c r="G20" s="29">
        <v>1200</v>
      </c>
      <c r="H20" s="30">
        <v>1E-3</v>
      </c>
      <c r="I20" s="31">
        <v>10950</v>
      </c>
      <c r="J20" s="26">
        <v>30</v>
      </c>
      <c r="K20" s="32">
        <f t="shared" si="0"/>
        <v>5.2173913043478265E-3</v>
      </c>
      <c r="L20" s="33">
        <f t="shared" si="1"/>
        <v>8.6956521739130438E-4</v>
      </c>
      <c r="M20" s="33">
        <f t="shared" si="2"/>
        <v>1.7391304347826088E-3</v>
      </c>
      <c r="N20" s="33">
        <f t="shared" si="3"/>
        <v>2.6086956521739132E-3</v>
      </c>
      <c r="O20" s="33">
        <f t="shared" si="4"/>
        <v>3.4782608695652175E-3</v>
      </c>
      <c r="P20" s="33">
        <f t="shared" si="5"/>
        <v>4.3478260869565218E-3</v>
      </c>
      <c r="Q20" s="33">
        <f t="shared" si="6"/>
        <v>5.2173913043478265E-3</v>
      </c>
      <c r="R20" s="33">
        <f t="shared" si="7"/>
        <v>5.2173913043478262</v>
      </c>
      <c r="S20" s="33">
        <f t="shared" si="8"/>
        <v>0.86956521739130432</v>
      </c>
      <c r="T20" s="33">
        <f t="shared" si="9"/>
        <v>1.7391304347826086</v>
      </c>
      <c r="U20" s="33">
        <f t="shared" si="10"/>
        <v>2.6086956521739131</v>
      </c>
      <c r="V20" s="33">
        <f t="shared" si="11"/>
        <v>3.4782608695652173</v>
      </c>
      <c r="W20" s="33">
        <f t="shared" si="12"/>
        <v>4.3478260869565215</v>
      </c>
      <c r="X20" s="33">
        <f t="shared" si="13"/>
        <v>5.2173913043478262</v>
      </c>
      <c r="Y20" s="34" t="str">
        <f t="shared" si="14"/>
        <v>1</v>
      </c>
      <c r="Z20" s="34" t="str">
        <f t="shared" si="14"/>
        <v>2</v>
      </c>
      <c r="AA20" s="34" t="str">
        <f t="shared" si="14"/>
        <v>1</v>
      </c>
      <c r="AB20" s="34" t="str">
        <f t="shared" si="14"/>
        <v>1</v>
      </c>
      <c r="AC20" s="34" t="str">
        <f t="shared" si="14"/>
        <v>1</v>
      </c>
      <c r="AD20" s="34" t="str">
        <f t="shared" si="14"/>
        <v>1</v>
      </c>
      <c r="AE20" s="34" t="str">
        <f t="shared" si="14"/>
        <v>1</v>
      </c>
    </row>
    <row r="21" spans="1:31" s="35" customFormat="1" ht="14.4" x14ac:dyDescent="0.3">
      <c r="A21" s="27">
        <v>18</v>
      </c>
      <c r="B21" s="28" t="s">
        <v>197</v>
      </c>
      <c r="C21" s="29">
        <v>29</v>
      </c>
      <c r="D21" s="29">
        <v>69</v>
      </c>
      <c r="E21" s="27">
        <v>365</v>
      </c>
      <c r="F21" s="26">
        <v>2.9999999999999997E-4</v>
      </c>
      <c r="G21" s="29">
        <v>1200</v>
      </c>
      <c r="H21" s="30">
        <v>1E-3</v>
      </c>
      <c r="I21" s="31">
        <v>10950</v>
      </c>
      <c r="J21" s="26">
        <v>30</v>
      </c>
      <c r="K21" s="32">
        <f t="shared" si="0"/>
        <v>5.2173913043478265E-3</v>
      </c>
      <c r="L21" s="33">
        <f t="shared" si="1"/>
        <v>8.6956521739130438E-4</v>
      </c>
      <c r="M21" s="33">
        <f t="shared" si="2"/>
        <v>1.7391304347826088E-3</v>
      </c>
      <c r="N21" s="33">
        <f t="shared" si="3"/>
        <v>2.6086956521739132E-3</v>
      </c>
      <c r="O21" s="33">
        <f t="shared" si="4"/>
        <v>3.4782608695652175E-3</v>
      </c>
      <c r="P21" s="33">
        <f t="shared" si="5"/>
        <v>4.3478260869565218E-3</v>
      </c>
      <c r="Q21" s="33">
        <f t="shared" si="6"/>
        <v>5.2173913043478265E-3</v>
      </c>
      <c r="R21" s="33">
        <f t="shared" si="7"/>
        <v>5.2173913043478262</v>
      </c>
      <c r="S21" s="33">
        <f t="shared" si="8"/>
        <v>0.86956521739130432</v>
      </c>
      <c r="T21" s="33">
        <f t="shared" si="9"/>
        <v>1.7391304347826086</v>
      </c>
      <c r="U21" s="33">
        <f t="shared" si="10"/>
        <v>2.6086956521739131</v>
      </c>
      <c r="V21" s="33">
        <f t="shared" si="11"/>
        <v>3.4782608695652173</v>
      </c>
      <c r="W21" s="33">
        <f t="shared" si="12"/>
        <v>4.3478260869565215</v>
      </c>
      <c r="X21" s="33">
        <f t="shared" si="13"/>
        <v>5.2173913043478262</v>
      </c>
      <c r="Y21" s="34" t="str">
        <f t="shared" si="14"/>
        <v>1</v>
      </c>
      <c r="Z21" s="34" t="str">
        <f t="shared" si="14"/>
        <v>2</v>
      </c>
      <c r="AA21" s="34" t="str">
        <f t="shared" si="14"/>
        <v>1</v>
      </c>
      <c r="AB21" s="34" t="str">
        <f t="shared" si="14"/>
        <v>1</v>
      </c>
      <c r="AC21" s="34" t="str">
        <f t="shared" si="14"/>
        <v>1</v>
      </c>
      <c r="AD21" s="34" t="str">
        <f t="shared" si="14"/>
        <v>1</v>
      </c>
      <c r="AE21" s="34" t="str">
        <f t="shared" si="14"/>
        <v>1</v>
      </c>
    </row>
    <row r="22" spans="1:31" ht="14.4" x14ac:dyDescent="0.3">
      <c r="A22" s="20">
        <v>19</v>
      </c>
      <c r="B22" s="24" t="s">
        <v>113</v>
      </c>
      <c r="C22" s="10">
        <v>30</v>
      </c>
      <c r="D22" s="10">
        <v>58</v>
      </c>
      <c r="E22" s="20">
        <v>365</v>
      </c>
      <c r="F22" s="26">
        <v>2.9999999999999997E-4</v>
      </c>
      <c r="G22" s="10">
        <v>1200</v>
      </c>
      <c r="H22" s="12">
        <v>1E-3</v>
      </c>
      <c r="I22" s="21">
        <v>10950</v>
      </c>
      <c r="J22" s="22">
        <v>30</v>
      </c>
      <c r="K22" s="18">
        <f t="shared" si="0"/>
        <v>6.2068965517241377E-3</v>
      </c>
      <c r="L22" s="2">
        <f t="shared" si="1"/>
        <v>1.0344827586206897E-3</v>
      </c>
      <c r="M22" s="2">
        <f t="shared" si="2"/>
        <v>2.0689655172413794E-3</v>
      </c>
      <c r="N22" s="2">
        <f t="shared" si="3"/>
        <v>3.1034482758620688E-3</v>
      </c>
      <c r="O22" s="2">
        <f t="shared" si="4"/>
        <v>4.1379310344827587E-3</v>
      </c>
      <c r="P22" s="2">
        <f t="shared" si="5"/>
        <v>5.1724137931034482E-3</v>
      </c>
      <c r="Q22" s="2">
        <f t="shared" si="6"/>
        <v>6.2068965517241377E-3</v>
      </c>
      <c r="R22" s="2">
        <f t="shared" si="7"/>
        <v>6.2068965517241379</v>
      </c>
      <c r="S22" s="2">
        <f t="shared" si="8"/>
        <v>1.0344827586206897</v>
      </c>
      <c r="T22" s="2">
        <f t="shared" si="9"/>
        <v>2.0689655172413794</v>
      </c>
      <c r="U22" s="2">
        <f t="shared" si="10"/>
        <v>3.103448275862069</v>
      </c>
      <c r="V22" s="2">
        <f t="shared" si="11"/>
        <v>4.1379310344827589</v>
      </c>
      <c r="W22" s="2">
        <f t="shared" si="12"/>
        <v>5.1724137931034484</v>
      </c>
      <c r="X22" s="2">
        <f t="shared" si="13"/>
        <v>6.2068965517241379</v>
      </c>
      <c r="Y22" s="5" t="str">
        <f t="shared" si="14"/>
        <v>1</v>
      </c>
      <c r="Z22" s="5" t="str">
        <f t="shared" si="14"/>
        <v>1</v>
      </c>
      <c r="AA22" s="5" t="str">
        <f t="shared" si="14"/>
        <v>1</v>
      </c>
      <c r="AB22" s="5" t="str">
        <f t="shared" si="14"/>
        <v>1</v>
      </c>
      <c r="AC22" s="5" t="str">
        <f t="shared" si="14"/>
        <v>1</v>
      </c>
      <c r="AD22" s="5" t="str">
        <f t="shared" si="14"/>
        <v>1</v>
      </c>
      <c r="AE22" s="5" t="str">
        <f t="shared" si="14"/>
        <v>1</v>
      </c>
    </row>
    <row r="23" spans="1:31" ht="14.4" x14ac:dyDescent="0.3">
      <c r="A23" s="20">
        <v>20</v>
      </c>
      <c r="B23" s="24" t="s">
        <v>157</v>
      </c>
      <c r="C23" s="10">
        <v>30</v>
      </c>
      <c r="D23" s="10">
        <v>62</v>
      </c>
      <c r="E23" s="20">
        <v>365</v>
      </c>
      <c r="F23" s="26">
        <v>2.9999999999999997E-4</v>
      </c>
      <c r="G23" s="10">
        <v>900</v>
      </c>
      <c r="H23" s="12">
        <v>1E-3</v>
      </c>
      <c r="I23" s="21">
        <v>10950</v>
      </c>
      <c r="J23" s="22">
        <v>30</v>
      </c>
      <c r="K23" s="18">
        <f t="shared" si="0"/>
        <v>4.354838709677419E-3</v>
      </c>
      <c r="L23" s="2">
        <f t="shared" si="1"/>
        <v>7.2580645161290306E-4</v>
      </c>
      <c r="M23" s="2">
        <f t="shared" si="2"/>
        <v>1.4516129032258061E-3</v>
      </c>
      <c r="N23" s="2">
        <f t="shared" si="3"/>
        <v>2.1774193548387095E-3</v>
      </c>
      <c r="O23" s="2">
        <f t="shared" si="4"/>
        <v>2.9032258064516123E-3</v>
      </c>
      <c r="P23" s="2">
        <f t="shared" si="5"/>
        <v>3.6290322580645154E-3</v>
      </c>
      <c r="Q23" s="2">
        <f t="shared" si="6"/>
        <v>4.354838709677419E-3</v>
      </c>
      <c r="R23" s="2">
        <f t="shared" si="7"/>
        <v>4.354838709677419</v>
      </c>
      <c r="S23" s="2">
        <f t="shared" si="8"/>
        <v>0.72580645161290303</v>
      </c>
      <c r="T23" s="2">
        <f t="shared" si="9"/>
        <v>1.4516129032258061</v>
      </c>
      <c r="U23" s="2">
        <f t="shared" si="10"/>
        <v>2.1774193548387095</v>
      </c>
      <c r="V23" s="2">
        <f t="shared" si="11"/>
        <v>2.9032258064516121</v>
      </c>
      <c r="W23" s="2">
        <f t="shared" si="12"/>
        <v>3.6290322580645151</v>
      </c>
      <c r="X23" s="2">
        <f t="shared" si="13"/>
        <v>4.354838709677419</v>
      </c>
      <c r="Y23" s="5" t="str">
        <f t="shared" si="14"/>
        <v>1</v>
      </c>
      <c r="Z23" s="5" t="str">
        <f t="shared" si="14"/>
        <v>2</v>
      </c>
      <c r="AA23" s="5" t="str">
        <f t="shared" si="14"/>
        <v>1</v>
      </c>
      <c r="AB23" s="5" t="str">
        <f t="shared" si="14"/>
        <v>1</v>
      </c>
      <c r="AC23" s="5" t="str">
        <f t="shared" si="14"/>
        <v>1</v>
      </c>
      <c r="AD23" s="5" t="str">
        <f t="shared" si="14"/>
        <v>1</v>
      </c>
      <c r="AE23" s="5" t="str">
        <f t="shared" si="14"/>
        <v>1</v>
      </c>
    </row>
    <row r="24" spans="1:31" ht="14.4" x14ac:dyDescent="0.3">
      <c r="A24" s="20">
        <v>21</v>
      </c>
      <c r="B24" s="24" t="s">
        <v>158</v>
      </c>
      <c r="C24" s="10">
        <v>30</v>
      </c>
      <c r="D24" s="10">
        <v>70</v>
      </c>
      <c r="E24" s="20">
        <v>365</v>
      </c>
      <c r="F24" s="26">
        <v>2.9999999999999997E-4</v>
      </c>
      <c r="G24" s="10">
        <v>900</v>
      </c>
      <c r="H24" s="12">
        <v>1E-3</v>
      </c>
      <c r="I24" s="21">
        <v>10950</v>
      </c>
      <c r="J24" s="22">
        <v>15</v>
      </c>
      <c r="K24" s="18">
        <f t="shared" si="0"/>
        <v>1.9285714285714284E-3</v>
      </c>
      <c r="L24" s="2">
        <f t="shared" si="1"/>
        <v>6.4285714285714272E-4</v>
      </c>
      <c r="M24" s="2">
        <f t="shared" si="2"/>
        <v>1.2857142857142854E-3</v>
      </c>
      <c r="N24" s="2">
        <f t="shared" si="3"/>
        <v>1.9285714285714284E-3</v>
      </c>
      <c r="O24" s="2">
        <f t="shared" si="4"/>
        <v>2.5714285714285709E-3</v>
      </c>
      <c r="P24" s="2">
        <f t="shared" si="5"/>
        <v>3.2142857142857138E-3</v>
      </c>
      <c r="Q24" s="2">
        <f t="shared" si="6"/>
        <v>3.8571428571428567E-3</v>
      </c>
      <c r="R24" s="2">
        <f t="shared" si="7"/>
        <v>1.9285714285714284</v>
      </c>
      <c r="S24" s="2">
        <f t="shared" si="8"/>
        <v>0.64285714285714268</v>
      </c>
      <c r="T24" s="2">
        <f t="shared" si="9"/>
        <v>1.2857142857142854</v>
      </c>
      <c r="U24" s="2">
        <f t="shared" si="10"/>
        <v>1.9285714285714284</v>
      </c>
      <c r="V24" s="2">
        <f t="shared" si="11"/>
        <v>2.5714285714285707</v>
      </c>
      <c r="W24" s="2">
        <f t="shared" si="12"/>
        <v>3.2142857142857135</v>
      </c>
      <c r="X24" s="2">
        <f t="shared" si="13"/>
        <v>3.8571428571428568</v>
      </c>
      <c r="Y24" s="5" t="str">
        <f t="shared" si="14"/>
        <v>1</v>
      </c>
      <c r="Z24" s="5" t="str">
        <f t="shared" si="14"/>
        <v>2</v>
      </c>
      <c r="AA24" s="5" t="str">
        <f t="shared" si="14"/>
        <v>1</v>
      </c>
      <c r="AB24" s="5" t="str">
        <f t="shared" si="14"/>
        <v>1</v>
      </c>
      <c r="AC24" s="5" t="str">
        <f t="shared" si="14"/>
        <v>1</v>
      </c>
      <c r="AD24" s="5" t="str">
        <f t="shared" si="14"/>
        <v>1</v>
      </c>
      <c r="AE24" s="5" t="str">
        <f t="shared" si="14"/>
        <v>1</v>
      </c>
    </row>
    <row r="25" spans="1:31" ht="14.4" x14ac:dyDescent="0.3">
      <c r="A25" s="20">
        <v>22</v>
      </c>
      <c r="B25" s="24" t="s">
        <v>113</v>
      </c>
      <c r="C25" s="10">
        <v>30</v>
      </c>
      <c r="D25" s="10">
        <v>58</v>
      </c>
      <c r="E25" s="20">
        <v>365</v>
      </c>
      <c r="F25" s="26">
        <v>2.9999999999999997E-4</v>
      </c>
      <c r="G25" s="10">
        <v>1200</v>
      </c>
      <c r="H25" s="12">
        <v>1E-3</v>
      </c>
      <c r="I25" s="21">
        <v>10950</v>
      </c>
      <c r="J25" s="22">
        <v>30</v>
      </c>
      <c r="K25" s="18">
        <f t="shared" si="0"/>
        <v>6.2068965517241377E-3</v>
      </c>
      <c r="L25" s="2">
        <f t="shared" si="1"/>
        <v>1.0344827586206897E-3</v>
      </c>
      <c r="M25" s="2">
        <f t="shared" si="2"/>
        <v>2.0689655172413794E-3</v>
      </c>
      <c r="N25" s="2">
        <f t="shared" si="3"/>
        <v>3.1034482758620688E-3</v>
      </c>
      <c r="O25" s="2">
        <f t="shared" si="4"/>
        <v>4.1379310344827587E-3</v>
      </c>
      <c r="P25" s="2">
        <f t="shared" si="5"/>
        <v>5.1724137931034482E-3</v>
      </c>
      <c r="Q25" s="2">
        <f t="shared" si="6"/>
        <v>6.2068965517241377E-3</v>
      </c>
      <c r="R25" s="2">
        <f t="shared" si="7"/>
        <v>6.2068965517241379</v>
      </c>
      <c r="S25" s="2">
        <f t="shared" si="8"/>
        <v>1.0344827586206897</v>
      </c>
      <c r="T25" s="2">
        <f t="shared" si="9"/>
        <v>2.0689655172413794</v>
      </c>
      <c r="U25" s="2">
        <f t="shared" si="10"/>
        <v>3.103448275862069</v>
      </c>
      <c r="V25" s="2">
        <f t="shared" si="11"/>
        <v>4.1379310344827589</v>
      </c>
      <c r="W25" s="2">
        <f t="shared" si="12"/>
        <v>5.1724137931034484</v>
      </c>
      <c r="X25" s="2">
        <f t="shared" si="13"/>
        <v>6.2068965517241379</v>
      </c>
      <c r="Y25" s="5" t="str">
        <f t="shared" si="14"/>
        <v>1</v>
      </c>
      <c r="Z25" s="5" t="str">
        <f t="shared" si="14"/>
        <v>1</v>
      </c>
      <c r="AA25" s="5" t="str">
        <f t="shared" si="14"/>
        <v>1</v>
      </c>
      <c r="AB25" s="5" t="str">
        <f t="shared" si="14"/>
        <v>1</v>
      </c>
      <c r="AC25" s="5" t="str">
        <f t="shared" si="14"/>
        <v>1</v>
      </c>
      <c r="AD25" s="5" t="str">
        <f t="shared" si="14"/>
        <v>1</v>
      </c>
      <c r="AE25" s="5" t="str">
        <f t="shared" si="14"/>
        <v>1</v>
      </c>
    </row>
    <row r="26" spans="1:31" ht="14.4" x14ac:dyDescent="0.3">
      <c r="A26" s="20">
        <v>23</v>
      </c>
      <c r="B26" s="24" t="s">
        <v>129</v>
      </c>
      <c r="C26" s="10">
        <v>30</v>
      </c>
      <c r="D26" s="10">
        <v>70</v>
      </c>
      <c r="E26" s="20">
        <v>365</v>
      </c>
      <c r="F26" s="26">
        <v>2.9999999999999997E-4</v>
      </c>
      <c r="G26" s="10">
        <v>900</v>
      </c>
      <c r="H26" s="12">
        <v>1E-3</v>
      </c>
      <c r="I26" s="21">
        <v>10950</v>
      </c>
      <c r="J26" s="22">
        <v>15</v>
      </c>
      <c r="K26" s="18">
        <f t="shared" si="0"/>
        <v>1.9285714285714284E-3</v>
      </c>
      <c r="L26" s="2">
        <f t="shared" si="1"/>
        <v>6.4285714285714272E-4</v>
      </c>
      <c r="M26" s="2">
        <f t="shared" si="2"/>
        <v>1.2857142857142854E-3</v>
      </c>
      <c r="N26" s="2">
        <f t="shared" si="3"/>
        <v>1.9285714285714284E-3</v>
      </c>
      <c r="O26" s="2">
        <f t="shared" si="4"/>
        <v>2.5714285714285709E-3</v>
      </c>
      <c r="P26" s="2">
        <f t="shared" si="5"/>
        <v>3.2142857142857138E-3</v>
      </c>
      <c r="Q26" s="2">
        <f t="shared" si="6"/>
        <v>3.8571428571428567E-3</v>
      </c>
      <c r="R26" s="2">
        <f t="shared" si="7"/>
        <v>1.9285714285714284</v>
      </c>
      <c r="S26" s="2">
        <f t="shared" si="8"/>
        <v>0.64285714285714268</v>
      </c>
      <c r="T26" s="2">
        <f t="shared" si="9"/>
        <v>1.2857142857142854</v>
      </c>
      <c r="U26" s="2">
        <f t="shared" si="10"/>
        <v>1.9285714285714284</v>
      </c>
      <c r="V26" s="2">
        <f t="shared" si="11"/>
        <v>2.5714285714285707</v>
      </c>
      <c r="W26" s="2">
        <f t="shared" si="12"/>
        <v>3.2142857142857135</v>
      </c>
      <c r="X26" s="2">
        <f t="shared" si="13"/>
        <v>3.8571428571428568</v>
      </c>
      <c r="Y26" s="5" t="str">
        <f t="shared" si="14"/>
        <v>1</v>
      </c>
      <c r="Z26" s="5" t="str">
        <f t="shared" si="14"/>
        <v>2</v>
      </c>
      <c r="AA26" s="5" t="str">
        <f t="shared" si="14"/>
        <v>1</v>
      </c>
      <c r="AB26" s="5" t="str">
        <f t="shared" si="14"/>
        <v>1</v>
      </c>
      <c r="AC26" s="5" t="str">
        <f t="shared" si="14"/>
        <v>1</v>
      </c>
      <c r="AD26" s="5" t="str">
        <f t="shared" si="14"/>
        <v>1</v>
      </c>
      <c r="AE26" s="5" t="str">
        <f t="shared" si="14"/>
        <v>1</v>
      </c>
    </row>
    <row r="27" spans="1:31" ht="14.4" x14ac:dyDescent="0.3">
      <c r="A27" s="20">
        <v>24</v>
      </c>
      <c r="B27" s="24" t="s">
        <v>154</v>
      </c>
      <c r="C27" s="10">
        <v>30</v>
      </c>
      <c r="D27" s="10">
        <v>58</v>
      </c>
      <c r="E27" s="20">
        <v>365</v>
      </c>
      <c r="F27" s="26">
        <v>2.9999999999999997E-4</v>
      </c>
      <c r="G27" s="10">
        <v>1200</v>
      </c>
      <c r="H27" s="12">
        <v>1E-3</v>
      </c>
      <c r="I27" s="21">
        <v>10950</v>
      </c>
      <c r="J27" s="22">
        <v>30</v>
      </c>
      <c r="K27" s="18">
        <f t="shared" si="0"/>
        <v>6.2068965517241377E-3</v>
      </c>
      <c r="L27" s="2">
        <f t="shared" si="1"/>
        <v>1.0344827586206897E-3</v>
      </c>
      <c r="M27" s="2">
        <f t="shared" si="2"/>
        <v>2.0689655172413794E-3</v>
      </c>
      <c r="N27" s="2">
        <f t="shared" si="3"/>
        <v>3.1034482758620688E-3</v>
      </c>
      <c r="O27" s="2">
        <f t="shared" si="4"/>
        <v>4.1379310344827587E-3</v>
      </c>
      <c r="P27" s="2">
        <f t="shared" si="5"/>
        <v>5.1724137931034482E-3</v>
      </c>
      <c r="Q27" s="2">
        <f t="shared" si="6"/>
        <v>6.2068965517241377E-3</v>
      </c>
      <c r="R27" s="2">
        <f t="shared" si="7"/>
        <v>6.2068965517241379</v>
      </c>
      <c r="S27" s="2">
        <f t="shared" si="8"/>
        <v>1.0344827586206897</v>
      </c>
      <c r="T27" s="2">
        <f t="shared" si="9"/>
        <v>2.0689655172413794</v>
      </c>
      <c r="U27" s="2">
        <f t="shared" si="10"/>
        <v>3.103448275862069</v>
      </c>
      <c r="V27" s="2">
        <f t="shared" si="11"/>
        <v>4.1379310344827589</v>
      </c>
      <c r="W27" s="2">
        <f t="shared" si="12"/>
        <v>5.1724137931034484</v>
      </c>
      <c r="X27" s="2">
        <f t="shared" si="13"/>
        <v>6.2068965517241379</v>
      </c>
      <c r="Y27" s="5" t="str">
        <f t="shared" si="14"/>
        <v>1</v>
      </c>
      <c r="Z27" s="5" t="str">
        <f t="shared" si="14"/>
        <v>1</v>
      </c>
      <c r="AA27" s="5" t="str">
        <f t="shared" si="14"/>
        <v>1</v>
      </c>
      <c r="AB27" s="5" t="str">
        <f t="shared" si="14"/>
        <v>1</v>
      </c>
      <c r="AC27" s="5" t="str">
        <f t="shared" si="14"/>
        <v>1</v>
      </c>
      <c r="AD27" s="5" t="str">
        <f t="shared" si="14"/>
        <v>1</v>
      </c>
      <c r="AE27" s="5" t="str">
        <f t="shared" si="14"/>
        <v>1</v>
      </c>
    </row>
    <row r="28" spans="1:31" ht="14.4" x14ac:dyDescent="0.3">
      <c r="A28" s="20">
        <v>25</v>
      </c>
      <c r="B28" s="24" t="s">
        <v>138</v>
      </c>
      <c r="C28" s="10">
        <v>32</v>
      </c>
      <c r="D28" s="10">
        <v>40</v>
      </c>
      <c r="E28" s="20">
        <v>365</v>
      </c>
      <c r="F28" s="26">
        <v>2.9999999999999997E-4</v>
      </c>
      <c r="G28" s="10">
        <v>900</v>
      </c>
      <c r="H28" s="12">
        <v>1E-3</v>
      </c>
      <c r="I28" s="21">
        <v>10950</v>
      </c>
      <c r="J28" s="22">
        <v>22</v>
      </c>
      <c r="K28" s="18">
        <f t="shared" si="0"/>
        <v>4.9499999999999987E-3</v>
      </c>
      <c r="L28" s="2">
        <f t="shared" si="1"/>
        <v>1.1249999999999997E-3</v>
      </c>
      <c r="M28" s="2">
        <f t="shared" si="2"/>
        <v>2.2499999999999994E-3</v>
      </c>
      <c r="N28" s="2">
        <f t="shared" si="3"/>
        <v>3.3749999999999995E-3</v>
      </c>
      <c r="O28" s="2">
        <f t="shared" si="4"/>
        <v>4.4999999999999988E-3</v>
      </c>
      <c r="P28" s="2">
        <f t="shared" si="5"/>
        <v>5.6249999999999989E-3</v>
      </c>
      <c r="Q28" s="2">
        <f t="shared" si="6"/>
        <v>6.7499999999999991E-3</v>
      </c>
      <c r="R28" s="2">
        <f t="shared" si="7"/>
        <v>4.9499999999999984</v>
      </c>
      <c r="S28" s="2">
        <f t="shared" si="8"/>
        <v>1.1249999999999998</v>
      </c>
      <c r="T28" s="2">
        <f t="shared" si="9"/>
        <v>2.2499999999999996</v>
      </c>
      <c r="U28" s="2">
        <f t="shared" si="10"/>
        <v>3.3749999999999996</v>
      </c>
      <c r="V28" s="2">
        <f t="shared" si="11"/>
        <v>4.4999999999999991</v>
      </c>
      <c r="W28" s="2">
        <f t="shared" si="12"/>
        <v>5.6249999999999991</v>
      </c>
      <c r="X28" s="2">
        <f t="shared" si="13"/>
        <v>6.7499999999999991</v>
      </c>
      <c r="Y28" s="5" t="str">
        <f t="shared" si="14"/>
        <v>1</v>
      </c>
      <c r="Z28" s="5" t="str">
        <f t="shared" si="14"/>
        <v>1</v>
      </c>
      <c r="AA28" s="5" t="str">
        <f t="shared" si="14"/>
        <v>1</v>
      </c>
      <c r="AB28" s="5" t="str">
        <f t="shared" si="14"/>
        <v>1</v>
      </c>
      <c r="AC28" s="5" t="str">
        <f t="shared" si="14"/>
        <v>1</v>
      </c>
      <c r="AD28" s="5" t="str">
        <f t="shared" si="14"/>
        <v>1</v>
      </c>
      <c r="AE28" s="5" t="str">
        <f t="shared" si="14"/>
        <v>1</v>
      </c>
    </row>
    <row r="29" spans="1:31" ht="14.4" x14ac:dyDescent="0.3">
      <c r="A29" s="20">
        <v>26</v>
      </c>
      <c r="B29" s="24" t="s">
        <v>159</v>
      </c>
      <c r="C29" s="10">
        <v>32</v>
      </c>
      <c r="D29" s="10">
        <v>39</v>
      </c>
      <c r="E29" s="20">
        <v>365</v>
      </c>
      <c r="F29" s="26">
        <v>2.9999999999999997E-4</v>
      </c>
      <c r="G29" s="10">
        <v>900</v>
      </c>
      <c r="H29" s="12">
        <v>1E-3</v>
      </c>
      <c r="I29" s="21">
        <v>10950</v>
      </c>
      <c r="J29" s="22">
        <v>32</v>
      </c>
      <c r="K29" s="18">
        <f t="shared" si="0"/>
        <v>7.3846153846153836E-3</v>
      </c>
      <c r="L29" s="2">
        <f t="shared" si="1"/>
        <v>1.1538461538461535E-3</v>
      </c>
      <c r="M29" s="2">
        <f t="shared" si="2"/>
        <v>2.307692307692307E-3</v>
      </c>
      <c r="N29" s="2">
        <f t="shared" si="3"/>
        <v>3.4615384615384612E-3</v>
      </c>
      <c r="O29" s="2">
        <f t="shared" si="4"/>
        <v>4.6153846153846141E-3</v>
      </c>
      <c r="P29" s="2">
        <f t="shared" si="5"/>
        <v>5.7692307692307678E-3</v>
      </c>
      <c r="Q29" s="2">
        <f t="shared" si="6"/>
        <v>6.9230769230769224E-3</v>
      </c>
      <c r="R29" s="2">
        <f t="shared" si="7"/>
        <v>7.3846153846153832</v>
      </c>
      <c r="S29" s="2">
        <f t="shared" si="8"/>
        <v>1.1538461538461535</v>
      </c>
      <c r="T29" s="2">
        <f t="shared" si="9"/>
        <v>2.307692307692307</v>
      </c>
      <c r="U29" s="2">
        <f t="shared" si="10"/>
        <v>3.4615384615384612</v>
      </c>
      <c r="V29" s="2">
        <f t="shared" si="11"/>
        <v>4.6153846153846141</v>
      </c>
      <c r="W29" s="2">
        <f t="shared" si="12"/>
        <v>5.7692307692307674</v>
      </c>
      <c r="X29" s="2">
        <f t="shared" si="13"/>
        <v>6.9230769230769225</v>
      </c>
      <c r="Y29" s="5" t="str">
        <f t="shared" ref="Y29:AE53" si="15">IF(R29&gt;1,"1","2")</f>
        <v>1</v>
      </c>
      <c r="Z29" s="5" t="str">
        <f t="shared" si="15"/>
        <v>1</v>
      </c>
      <c r="AA29" s="5" t="str">
        <f t="shared" si="15"/>
        <v>1</v>
      </c>
      <c r="AB29" s="5" t="str">
        <f t="shared" si="15"/>
        <v>1</v>
      </c>
      <c r="AC29" s="5" t="str">
        <f t="shared" si="15"/>
        <v>1</v>
      </c>
      <c r="AD29" s="5" t="str">
        <f t="shared" si="15"/>
        <v>1</v>
      </c>
      <c r="AE29" s="5" t="str">
        <f t="shared" si="15"/>
        <v>1</v>
      </c>
    </row>
    <row r="30" spans="1:31" ht="14.4" x14ac:dyDescent="0.3">
      <c r="A30" s="20">
        <v>27</v>
      </c>
      <c r="B30" s="24" t="s">
        <v>160</v>
      </c>
      <c r="C30" s="10">
        <v>32</v>
      </c>
      <c r="D30" s="10">
        <v>67</v>
      </c>
      <c r="E30" s="20">
        <v>365</v>
      </c>
      <c r="F30" s="26">
        <v>2.9999999999999997E-4</v>
      </c>
      <c r="G30" s="10">
        <v>3300</v>
      </c>
      <c r="H30" s="12">
        <v>1E-3</v>
      </c>
      <c r="I30" s="21">
        <v>10950</v>
      </c>
      <c r="J30" s="22">
        <v>27</v>
      </c>
      <c r="K30" s="18">
        <f t="shared" si="0"/>
        <v>1.3298507462686565E-2</v>
      </c>
      <c r="L30" s="2">
        <f t="shared" si="1"/>
        <v>2.4626865671641789E-3</v>
      </c>
      <c r="M30" s="2">
        <f t="shared" si="2"/>
        <v>4.9253731343283577E-3</v>
      </c>
      <c r="N30" s="2">
        <f t="shared" si="3"/>
        <v>7.3880597014925357E-3</v>
      </c>
      <c r="O30" s="2">
        <f t="shared" si="4"/>
        <v>9.8507462686567154E-3</v>
      </c>
      <c r="P30" s="2">
        <f t="shared" si="5"/>
        <v>1.2313432835820896E-2</v>
      </c>
      <c r="Q30" s="2">
        <f t="shared" si="6"/>
        <v>1.4776119402985071E-2</v>
      </c>
      <c r="R30" s="2">
        <f t="shared" si="7"/>
        <v>13.298507462686565</v>
      </c>
      <c r="S30" s="2">
        <f t="shared" si="8"/>
        <v>2.4626865671641789</v>
      </c>
      <c r="T30" s="2">
        <f t="shared" si="9"/>
        <v>4.9253731343283578</v>
      </c>
      <c r="U30" s="2">
        <f t="shared" si="10"/>
        <v>7.3880597014925353</v>
      </c>
      <c r="V30" s="2">
        <f t="shared" si="11"/>
        <v>9.8507462686567155</v>
      </c>
      <c r="W30" s="2">
        <f t="shared" si="12"/>
        <v>12.313432835820896</v>
      </c>
      <c r="X30" s="2">
        <f t="shared" si="13"/>
        <v>14.776119402985071</v>
      </c>
      <c r="Y30" s="5" t="str">
        <f t="shared" si="15"/>
        <v>1</v>
      </c>
      <c r="Z30" s="5" t="str">
        <f t="shared" si="15"/>
        <v>1</v>
      </c>
      <c r="AA30" s="5" t="str">
        <f t="shared" si="15"/>
        <v>1</v>
      </c>
      <c r="AB30" s="5" t="str">
        <f t="shared" si="15"/>
        <v>1</v>
      </c>
      <c r="AC30" s="5" t="str">
        <f t="shared" si="15"/>
        <v>1</v>
      </c>
      <c r="AD30" s="5" t="str">
        <f t="shared" si="15"/>
        <v>1</v>
      </c>
      <c r="AE30" s="5" t="str">
        <f t="shared" si="15"/>
        <v>1</v>
      </c>
    </row>
    <row r="31" spans="1:31" ht="14.4" x14ac:dyDescent="0.3">
      <c r="A31" s="20">
        <v>28</v>
      </c>
      <c r="B31" s="24" t="s">
        <v>131</v>
      </c>
      <c r="C31" s="10">
        <v>32</v>
      </c>
      <c r="D31" s="10">
        <v>40</v>
      </c>
      <c r="E31" s="20">
        <v>365</v>
      </c>
      <c r="F31" s="26">
        <v>2.9999999999999997E-4</v>
      </c>
      <c r="G31" s="10">
        <v>900</v>
      </c>
      <c r="H31" s="12">
        <v>1E-3</v>
      </c>
      <c r="I31" s="21">
        <v>10950</v>
      </c>
      <c r="J31" s="22">
        <v>22</v>
      </c>
      <c r="K31" s="18">
        <f t="shared" si="0"/>
        <v>4.9499999999999987E-3</v>
      </c>
      <c r="L31" s="2">
        <f t="shared" si="1"/>
        <v>1.1249999999999997E-3</v>
      </c>
      <c r="M31" s="2">
        <f t="shared" si="2"/>
        <v>2.2499999999999994E-3</v>
      </c>
      <c r="N31" s="2">
        <f t="shared" si="3"/>
        <v>3.3749999999999995E-3</v>
      </c>
      <c r="O31" s="2">
        <f t="shared" si="4"/>
        <v>4.4999999999999988E-3</v>
      </c>
      <c r="P31" s="2">
        <f t="shared" si="5"/>
        <v>5.6249999999999989E-3</v>
      </c>
      <c r="Q31" s="2">
        <f t="shared" si="6"/>
        <v>6.7499999999999991E-3</v>
      </c>
      <c r="R31" s="2">
        <f t="shared" si="7"/>
        <v>4.9499999999999984</v>
      </c>
      <c r="S31" s="2">
        <f t="shared" si="8"/>
        <v>1.1249999999999998</v>
      </c>
      <c r="T31" s="2">
        <f t="shared" si="9"/>
        <v>2.2499999999999996</v>
      </c>
      <c r="U31" s="2">
        <f t="shared" si="10"/>
        <v>3.3749999999999996</v>
      </c>
      <c r="V31" s="2">
        <f t="shared" si="11"/>
        <v>4.4999999999999991</v>
      </c>
      <c r="W31" s="2">
        <f t="shared" si="12"/>
        <v>5.6249999999999991</v>
      </c>
      <c r="X31" s="2">
        <f t="shared" si="13"/>
        <v>6.7499999999999991</v>
      </c>
      <c r="Y31" s="5" t="str">
        <f t="shared" si="15"/>
        <v>1</v>
      </c>
      <c r="Z31" s="5" t="str">
        <f t="shared" si="15"/>
        <v>1</v>
      </c>
      <c r="AA31" s="5" t="str">
        <f t="shared" si="15"/>
        <v>1</v>
      </c>
      <c r="AB31" s="5" t="str">
        <f t="shared" si="15"/>
        <v>1</v>
      </c>
      <c r="AC31" s="5" t="str">
        <f t="shared" si="15"/>
        <v>1</v>
      </c>
      <c r="AD31" s="5" t="str">
        <f t="shared" si="15"/>
        <v>1</v>
      </c>
      <c r="AE31" s="5" t="str">
        <f t="shared" si="15"/>
        <v>1</v>
      </c>
    </row>
    <row r="32" spans="1:31" ht="14.4" x14ac:dyDescent="0.3">
      <c r="A32" s="20">
        <v>29</v>
      </c>
      <c r="B32" s="24" t="s">
        <v>148</v>
      </c>
      <c r="C32" s="10">
        <v>32</v>
      </c>
      <c r="D32" s="10">
        <v>39</v>
      </c>
      <c r="E32" s="20">
        <v>365</v>
      </c>
      <c r="F32" s="26">
        <v>2.9999999999999997E-4</v>
      </c>
      <c r="G32" s="10">
        <v>900</v>
      </c>
      <c r="H32" s="12">
        <v>1E-3</v>
      </c>
      <c r="I32" s="21">
        <v>10950</v>
      </c>
      <c r="J32" s="22">
        <v>32</v>
      </c>
      <c r="K32" s="18">
        <f t="shared" si="0"/>
        <v>7.3846153846153836E-3</v>
      </c>
      <c r="L32" s="2">
        <f t="shared" si="1"/>
        <v>1.1538461538461535E-3</v>
      </c>
      <c r="M32" s="2">
        <f t="shared" si="2"/>
        <v>2.307692307692307E-3</v>
      </c>
      <c r="N32" s="2">
        <f t="shared" si="3"/>
        <v>3.4615384615384612E-3</v>
      </c>
      <c r="O32" s="2">
        <f t="shared" si="4"/>
        <v>4.6153846153846141E-3</v>
      </c>
      <c r="P32" s="2">
        <f t="shared" si="5"/>
        <v>5.7692307692307678E-3</v>
      </c>
      <c r="Q32" s="2">
        <f t="shared" si="6"/>
        <v>6.9230769230769224E-3</v>
      </c>
      <c r="R32" s="2">
        <f t="shared" si="7"/>
        <v>7.3846153846153832</v>
      </c>
      <c r="S32" s="2">
        <f t="shared" si="8"/>
        <v>1.1538461538461535</v>
      </c>
      <c r="T32" s="2">
        <f t="shared" si="9"/>
        <v>2.307692307692307</v>
      </c>
      <c r="U32" s="2">
        <f t="shared" si="10"/>
        <v>3.4615384615384612</v>
      </c>
      <c r="V32" s="2">
        <f t="shared" si="11"/>
        <v>4.6153846153846141</v>
      </c>
      <c r="W32" s="2">
        <f t="shared" si="12"/>
        <v>5.7692307692307674</v>
      </c>
      <c r="X32" s="2">
        <f t="shared" si="13"/>
        <v>6.9230769230769225</v>
      </c>
      <c r="Y32" s="5" t="str">
        <f t="shared" si="15"/>
        <v>1</v>
      </c>
      <c r="Z32" s="5" t="str">
        <f t="shared" si="15"/>
        <v>1</v>
      </c>
      <c r="AA32" s="5" t="str">
        <f t="shared" si="15"/>
        <v>1</v>
      </c>
      <c r="AB32" s="5" t="str">
        <f t="shared" si="15"/>
        <v>1</v>
      </c>
      <c r="AC32" s="5" t="str">
        <f t="shared" si="15"/>
        <v>1</v>
      </c>
      <c r="AD32" s="5" t="str">
        <f t="shared" si="15"/>
        <v>1</v>
      </c>
      <c r="AE32" s="5" t="str">
        <f t="shared" si="15"/>
        <v>1</v>
      </c>
    </row>
    <row r="33" spans="1:31" ht="14.4" x14ac:dyDescent="0.3">
      <c r="A33" s="20">
        <v>30</v>
      </c>
      <c r="B33" s="24" t="s">
        <v>111</v>
      </c>
      <c r="C33" s="10">
        <v>33</v>
      </c>
      <c r="D33" s="10">
        <v>75</v>
      </c>
      <c r="E33" s="20">
        <v>365</v>
      </c>
      <c r="F33" s="26">
        <v>2.9999999999999997E-4</v>
      </c>
      <c r="G33" s="10">
        <v>2100</v>
      </c>
      <c r="H33" s="12">
        <v>1E-3</v>
      </c>
      <c r="I33" s="21">
        <v>10950</v>
      </c>
      <c r="J33" s="22">
        <v>8</v>
      </c>
      <c r="K33" s="18">
        <f t="shared" si="0"/>
        <v>2.2399999999999998E-3</v>
      </c>
      <c r="L33" s="2">
        <f t="shared" si="1"/>
        <v>1.3999999999999998E-3</v>
      </c>
      <c r="M33" s="2">
        <f t="shared" si="2"/>
        <v>2.7999999999999995E-3</v>
      </c>
      <c r="N33" s="2">
        <f t="shared" si="3"/>
        <v>4.1999999999999997E-3</v>
      </c>
      <c r="O33" s="2">
        <f t="shared" si="4"/>
        <v>5.5999999999999991E-3</v>
      </c>
      <c r="P33" s="2">
        <f t="shared" si="5"/>
        <v>6.9999999999999993E-3</v>
      </c>
      <c r="Q33" s="2">
        <f t="shared" si="6"/>
        <v>8.3999999999999995E-3</v>
      </c>
      <c r="R33" s="2">
        <f t="shared" si="7"/>
        <v>2.2399999999999998</v>
      </c>
      <c r="S33" s="2">
        <f t="shared" si="8"/>
        <v>1.3999999999999997</v>
      </c>
      <c r="T33" s="2">
        <f t="shared" si="9"/>
        <v>2.7999999999999994</v>
      </c>
      <c r="U33" s="2">
        <f t="shared" si="10"/>
        <v>4.1999999999999993</v>
      </c>
      <c r="V33" s="2">
        <f t="shared" si="11"/>
        <v>5.5999999999999988</v>
      </c>
      <c r="W33" s="2">
        <f t="shared" si="12"/>
        <v>6.9999999999999991</v>
      </c>
      <c r="X33" s="2">
        <f t="shared" si="13"/>
        <v>8.3999999999999986</v>
      </c>
      <c r="Y33" s="5" t="str">
        <f t="shared" si="15"/>
        <v>1</v>
      </c>
      <c r="Z33" s="5" t="str">
        <f t="shared" si="15"/>
        <v>1</v>
      </c>
      <c r="AA33" s="5" t="str">
        <f t="shared" si="15"/>
        <v>1</v>
      </c>
      <c r="AB33" s="5" t="str">
        <f t="shared" si="15"/>
        <v>1</v>
      </c>
      <c r="AC33" s="5" t="str">
        <f t="shared" si="15"/>
        <v>1</v>
      </c>
      <c r="AD33" s="5" t="str">
        <f t="shared" si="15"/>
        <v>1</v>
      </c>
      <c r="AE33" s="5" t="str">
        <f t="shared" si="15"/>
        <v>1</v>
      </c>
    </row>
    <row r="34" spans="1:31" ht="14.4" x14ac:dyDescent="0.3">
      <c r="A34" s="20">
        <v>31</v>
      </c>
      <c r="B34" s="24" t="s">
        <v>161</v>
      </c>
      <c r="C34" s="10">
        <v>34</v>
      </c>
      <c r="D34" s="10">
        <v>65</v>
      </c>
      <c r="E34" s="20">
        <v>365</v>
      </c>
      <c r="F34" s="26">
        <v>2.9999999999999997E-4</v>
      </c>
      <c r="G34" s="10">
        <v>1800</v>
      </c>
      <c r="H34" s="12">
        <v>1E-3</v>
      </c>
      <c r="I34" s="21">
        <v>10950</v>
      </c>
      <c r="J34" s="22">
        <v>34</v>
      </c>
      <c r="K34" s="18">
        <f t="shared" si="0"/>
        <v>9.4153846153846137E-3</v>
      </c>
      <c r="L34" s="2">
        <f t="shared" si="1"/>
        <v>1.3846153846153843E-3</v>
      </c>
      <c r="M34" s="2">
        <f t="shared" si="2"/>
        <v>2.7692307692307686E-3</v>
      </c>
      <c r="N34" s="2">
        <f t="shared" si="3"/>
        <v>4.1538461538461529E-3</v>
      </c>
      <c r="O34" s="2">
        <f t="shared" si="4"/>
        <v>5.5384615384615372E-3</v>
      </c>
      <c r="P34" s="2">
        <f t="shared" si="5"/>
        <v>6.9230769230769216E-3</v>
      </c>
      <c r="Q34" s="2">
        <f t="shared" si="6"/>
        <v>8.3076923076923059E-3</v>
      </c>
      <c r="R34" s="2">
        <f t="shared" si="7"/>
        <v>9.4153846153846139</v>
      </c>
      <c r="S34" s="2">
        <f t="shared" si="8"/>
        <v>1.3846153846153844</v>
      </c>
      <c r="T34" s="2">
        <f t="shared" si="9"/>
        <v>2.7692307692307687</v>
      </c>
      <c r="U34" s="2">
        <f t="shared" si="10"/>
        <v>4.1538461538461524</v>
      </c>
      <c r="V34" s="2">
        <f t="shared" si="11"/>
        <v>5.5384615384615374</v>
      </c>
      <c r="W34" s="2">
        <f t="shared" si="12"/>
        <v>6.9230769230769216</v>
      </c>
      <c r="X34" s="2">
        <f t="shared" si="13"/>
        <v>8.3076923076923048</v>
      </c>
      <c r="Y34" s="5" t="str">
        <f t="shared" si="15"/>
        <v>1</v>
      </c>
      <c r="Z34" s="5" t="str">
        <f t="shared" si="15"/>
        <v>1</v>
      </c>
      <c r="AA34" s="5" t="str">
        <f t="shared" si="15"/>
        <v>1</v>
      </c>
      <c r="AB34" s="5" t="str">
        <f t="shared" si="15"/>
        <v>1</v>
      </c>
      <c r="AC34" s="5" t="str">
        <f t="shared" si="15"/>
        <v>1</v>
      </c>
      <c r="AD34" s="5" t="str">
        <f t="shared" si="15"/>
        <v>1</v>
      </c>
      <c r="AE34" s="5" t="str">
        <f t="shared" si="15"/>
        <v>1</v>
      </c>
    </row>
    <row r="35" spans="1:31" ht="14.4" x14ac:dyDescent="0.3">
      <c r="A35" s="20">
        <v>32</v>
      </c>
      <c r="B35" s="24" t="s">
        <v>162</v>
      </c>
      <c r="C35" s="10">
        <v>34</v>
      </c>
      <c r="D35" s="10">
        <v>64</v>
      </c>
      <c r="E35" s="20">
        <v>365</v>
      </c>
      <c r="F35" s="26">
        <v>2.9999999999999997E-4</v>
      </c>
      <c r="G35" s="10">
        <v>1200</v>
      </c>
      <c r="H35" s="12">
        <v>1E-3</v>
      </c>
      <c r="I35" s="21">
        <v>10950</v>
      </c>
      <c r="J35" s="22">
        <v>11</v>
      </c>
      <c r="K35" s="18">
        <f t="shared" si="0"/>
        <v>2.0625000000000001E-3</v>
      </c>
      <c r="L35" s="2">
        <f t="shared" si="1"/>
        <v>9.3749999999999997E-4</v>
      </c>
      <c r="M35" s="2">
        <f t="shared" si="2"/>
        <v>1.8749999999999999E-3</v>
      </c>
      <c r="N35" s="2">
        <f t="shared" si="3"/>
        <v>2.8124999999999999E-3</v>
      </c>
      <c r="O35" s="2">
        <f t="shared" si="4"/>
        <v>3.7499999999999999E-3</v>
      </c>
      <c r="P35" s="2">
        <f t="shared" si="5"/>
        <v>4.6874999999999998E-3</v>
      </c>
      <c r="Q35" s="2">
        <f t="shared" si="6"/>
        <v>5.6249999999999998E-3</v>
      </c>
      <c r="R35" s="2">
        <f t="shared" si="7"/>
        <v>2.0625</v>
      </c>
      <c r="S35" s="2">
        <f t="shared" si="8"/>
        <v>0.9375</v>
      </c>
      <c r="T35" s="2">
        <f t="shared" si="9"/>
        <v>1.875</v>
      </c>
      <c r="U35" s="2">
        <f t="shared" si="10"/>
        <v>2.8125</v>
      </c>
      <c r="V35" s="2">
        <f t="shared" si="11"/>
        <v>3.75</v>
      </c>
      <c r="W35" s="2">
        <f t="shared" si="12"/>
        <v>4.6875</v>
      </c>
      <c r="X35" s="2">
        <f t="shared" si="13"/>
        <v>5.625</v>
      </c>
      <c r="Y35" s="5" t="str">
        <f t="shared" si="15"/>
        <v>1</v>
      </c>
      <c r="Z35" s="5" t="str">
        <f t="shared" si="15"/>
        <v>2</v>
      </c>
      <c r="AA35" s="5" t="str">
        <f t="shared" si="15"/>
        <v>1</v>
      </c>
      <c r="AB35" s="5" t="str">
        <f t="shared" si="15"/>
        <v>1</v>
      </c>
      <c r="AC35" s="5" t="str">
        <f t="shared" si="15"/>
        <v>1</v>
      </c>
      <c r="AD35" s="5" t="str">
        <f t="shared" si="15"/>
        <v>1</v>
      </c>
      <c r="AE35" s="5" t="str">
        <f t="shared" si="15"/>
        <v>1</v>
      </c>
    </row>
    <row r="36" spans="1:31" ht="14.4" x14ac:dyDescent="0.3">
      <c r="A36" s="20">
        <v>33</v>
      </c>
      <c r="B36" s="24" t="s">
        <v>119</v>
      </c>
      <c r="C36" s="10">
        <v>34</v>
      </c>
      <c r="D36" s="10">
        <v>65</v>
      </c>
      <c r="E36" s="20">
        <v>365</v>
      </c>
      <c r="F36" s="26">
        <v>2.9999999999999997E-4</v>
      </c>
      <c r="G36" s="10">
        <v>1800</v>
      </c>
      <c r="H36" s="12">
        <v>1E-3</v>
      </c>
      <c r="I36" s="21">
        <v>10950</v>
      </c>
      <c r="J36" s="22">
        <v>34</v>
      </c>
      <c r="K36" s="18">
        <f t="shared" si="0"/>
        <v>9.4153846153846137E-3</v>
      </c>
      <c r="L36" s="2">
        <f t="shared" si="1"/>
        <v>1.3846153846153843E-3</v>
      </c>
      <c r="M36" s="2">
        <f t="shared" si="2"/>
        <v>2.7692307692307686E-3</v>
      </c>
      <c r="N36" s="2">
        <f t="shared" si="3"/>
        <v>4.1538461538461529E-3</v>
      </c>
      <c r="O36" s="2">
        <f t="shared" si="4"/>
        <v>5.5384615384615372E-3</v>
      </c>
      <c r="P36" s="2">
        <f t="shared" si="5"/>
        <v>6.9230769230769216E-3</v>
      </c>
      <c r="Q36" s="2">
        <f t="shared" si="6"/>
        <v>8.3076923076923059E-3</v>
      </c>
      <c r="R36" s="2">
        <f t="shared" si="7"/>
        <v>9.4153846153846139</v>
      </c>
      <c r="S36" s="2">
        <f t="shared" si="8"/>
        <v>1.3846153846153844</v>
      </c>
      <c r="T36" s="2">
        <f t="shared" si="9"/>
        <v>2.7692307692307687</v>
      </c>
      <c r="U36" s="2">
        <f t="shared" si="10"/>
        <v>4.1538461538461524</v>
      </c>
      <c r="V36" s="2">
        <f t="shared" si="11"/>
        <v>5.5384615384615374</v>
      </c>
      <c r="W36" s="2">
        <f t="shared" si="12"/>
        <v>6.9230769230769216</v>
      </c>
      <c r="X36" s="2">
        <f t="shared" si="13"/>
        <v>8.3076923076923048</v>
      </c>
      <c r="Y36" s="5" t="str">
        <f t="shared" si="15"/>
        <v>1</v>
      </c>
      <c r="Z36" s="5" t="str">
        <f t="shared" si="15"/>
        <v>1</v>
      </c>
      <c r="AA36" s="5" t="str">
        <f t="shared" si="15"/>
        <v>1</v>
      </c>
      <c r="AB36" s="5" t="str">
        <f t="shared" si="15"/>
        <v>1</v>
      </c>
      <c r="AC36" s="5" t="str">
        <f t="shared" si="15"/>
        <v>1</v>
      </c>
      <c r="AD36" s="5" t="str">
        <f t="shared" si="15"/>
        <v>1</v>
      </c>
      <c r="AE36" s="5" t="str">
        <f t="shared" si="15"/>
        <v>1</v>
      </c>
    </row>
    <row r="37" spans="1:31" ht="14.4" x14ac:dyDescent="0.3">
      <c r="A37" s="20">
        <v>34</v>
      </c>
      <c r="B37" s="24" t="s">
        <v>139</v>
      </c>
      <c r="C37" s="10">
        <v>34</v>
      </c>
      <c r="D37" s="10">
        <v>65</v>
      </c>
      <c r="E37" s="21">
        <v>365</v>
      </c>
      <c r="F37" s="26">
        <v>2.9999999999999997E-4</v>
      </c>
      <c r="G37" s="10">
        <v>1800</v>
      </c>
      <c r="H37" s="12">
        <v>1E-3</v>
      </c>
      <c r="I37" s="21">
        <v>10950</v>
      </c>
      <c r="J37" s="22">
        <v>34</v>
      </c>
      <c r="K37" s="18">
        <f t="shared" si="0"/>
        <v>9.4153846153846137E-3</v>
      </c>
      <c r="L37" s="2">
        <f t="shared" si="1"/>
        <v>1.3846153846153843E-3</v>
      </c>
      <c r="M37" s="2">
        <f t="shared" si="2"/>
        <v>2.7692307692307686E-3</v>
      </c>
      <c r="N37" s="2">
        <f t="shared" si="3"/>
        <v>4.1538461538461529E-3</v>
      </c>
      <c r="O37" s="2">
        <f t="shared" si="4"/>
        <v>5.5384615384615372E-3</v>
      </c>
      <c r="P37" s="2">
        <f t="shared" si="5"/>
        <v>6.9230769230769216E-3</v>
      </c>
      <c r="Q37" s="2">
        <f t="shared" si="6"/>
        <v>8.3076923076923059E-3</v>
      </c>
      <c r="R37" s="2">
        <f t="shared" si="7"/>
        <v>9.4153846153846139</v>
      </c>
      <c r="S37" s="2">
        <f t="shared" si="8"/>
        <v>1.3846153846153844</v>
      </c>
      <c r="T37" s="2">
        <f t="shared" si="9"/>
        <v>2.7692307692307687</v>
      </c>
      <c r="U37" s="2">
        <f t="shared" si="10"/>
        <v>4.1538461538461524</v>
      </c>
      <c r="V37" s="2">
        <f t="shared" si="11"/>
        <v>5.5384615384615374</v>
      </c>
      <c r="W37" s="2">
        <f t="shared" si="12"/>
        <v>6.9230769230769216</v>
      </c>
      <c r="X37" s="2">
        <f t="shared" si="13"/>
        <v>8.3076923076923048</v>
      </c>
      <c r="Y37" s="5" t="str">
        <f t="shared" si="15"/>
        <v>1</v>
      </c>
      <c r="Z37" s="5" t="str">
        <f t="shared" si="15"/>
        <v>1</v>
      </c>
      <c r="AA37" s="5" t="str">
        <f t="shared" si="15"/>
        <v>1</v>
      </c>
      <c r="AB37" s="5" t="str">
        <f t="shared" si="15"/>
        <v>1</v>
      </c>
      <c r="AC37" s="5" t="str">
        <f t="shared" si="15"/>
        <v>1</v>
      </c>
      <c r="AD37" s="5" t="str">
        <f t="shared" si="15"/>
        <v>1</v>
      </c>
      <c r="AE37" s="5" t="str">
        <f t="shared" si="15"/>
        <v>1</v>
      </c>
    </row>
    <row r="38" spans="1:31" ht="14.4" x14ac:dyDescent="0.3">
      <c r="A38" s="20">
        <v>35</v>
      </c>
      <c r="B38" s="24" t="s">
        <v>119</v>
      </c>
      <c r="C38" s="10">
        <v>34</v>
      </c>
      <c r="D38" s="10">
        <v>65</v>
      </c>
      <c r="E38" s="21">
        <v>365</v>
      </c>
      <c r="F38" s="26">
        <v>2.9999999999999997E-4</v>
      </c>
      <c r="G38" s="10">
        <v>1800</v>
      </c>
      <c r="H38" s="12">
        <v>1E-3</v>
      </c>
      <c r="I38" s="21">
        <v>10950</v>
      </c>
      <c r="J38" s="22">
        <v>34</v>
      </c>
      <c r="K38" s="18">
        <f t="shared" si="0"/>
        <v>9.4153846153846137E-3</v>
      </c>
      <c r="L38" s="2">
        <f t="shared" si="1"/>
        <v>1.3846153846153843E-3</v>
      </c>
      <c r="M38" s="2">
        <f t="shared" si="2"/>
        <v>2.7692307692307686E-3</v>
      </c>
      <c r="N38" s="2">
        <f t="shared" si="3"/>
        <v>4.1538461538461529E-3</v>
      </c>
      <c r="O38" s="2">
        <f t="shared" si="4"/>
        <v>5.5384615384615372E-3</v>
      </c>
      <c r="P38" s="2">
        <f t="shared" si="5"/>
        <v>6.9230769230769216E-3</v>
      </c>
      <c r="Q38" s="2">
        <f t="shared" si="6"/>
        <v>8.3076923076923059E-3</v>
      </c>
      <c r="R38" s="2">
        <f t="shared" si="7"/>
        <v>9.4153846153846139</v>
      </c>
      <c r="S38" s="2">
        <f t="shared" si="8"/>
        <v>1.3846153846153844</v>
      </c>
      <c r="T38" s="2">
        <f t="shared" si="9"/>
        <v>2.7692307692307687</v>
      </c>
      <c r="U38" s="2">
        <f t="shared" si="10"/>
        <v>4.1538461538461524</v>
      </c>
      <c r="V38" s="2">
        <f t="shared" si="11"/>
        <v>5.5384615384615374</v>
      </c>
      <c r="W38" s="2">
        <f t="shared" si="12"/>
        <v>6.9230769230769216</v>
      </c>
      <c r="X38" s="2">
        <f t="shared" si="13"/>
        <v>8.3076923076923048</v>
      </c>
      <c r="Y38" s="5" t="str">
        <f t="shared" si="15"/>
        <v>1</v>
      </c>
      <c r="Z38" s="5" t="str">
        <f t="shared" si="15"/>
        <v>1</v>
      </c>
      <c r="AA38" s="5" t="str">
        <f t="shared" si="15"/>
        <v>1</v>
      </c>
      <c r="AB38" s="5" t="str">
        <f t="shared" si="15"/>
        <v>1</v>
      </c>
      <c r="AC38" s="5" t="str">
        <f t="shared" si="15"/>
        <v>1</v>
      </c>
      <c r="AD38" s="5" t="str">
        <f t="shared" si="15"/>
        <v>1</v>
      </c>
      <c r="AE38" s="5" t="str">
        <f t="shared" si="15"/>
        <v>1</v>
      </c>
    </row>
    <row r="39" spans="1:31" ht="14.4" x14ac:dyDescent="0.3">
      <c r="A39" s="20">
        <v>36</v>
      </c>
      <c r="B39" s="24" t="s">
        <v>163</v>
      </c>
      <c r="C39" s="10">
        <v>35</v>
      </c>
      <c r="D39" s="10">
        <v>75</v>
      </c>
      <c r="E39" s="21">
        <v>365</v>
      </c>
      <c r="F39" s="26">
        <v>2.9999999999999997E-4</v>
      </c>
      <c r="G39" s="10">
        <v>1200</v>
      </c>
      <c r="H39" s="12">
        <v>1E-3</v>
      </c>
      <c r="I39" s="21">
        <v>10950</v>
      </c>
      <c r="J39" s="22">
        <v>5</v>
      </c>
      <c r="K39" s="18">
        <f t="shared" si="0"/>
        <v>8.0000000000000004E-4</v>
      </c>
      <c r="L39" s="2">
        <f t="shared" si="1"/>
        <v>8.0000000000000004E-4</v>
      </c>
      <c r="M39" s="2">
        <f t="shared" si="2"/>
        <v>1.6000000000000001E-3</v>
      </c>
      <c r="N39" s="2">
        <f t="shared" si="3"/>
        <v>2.3999999999999998E-3</v>
      </c>
      <c r="O39" s="2">
        <f t="shared" si="4"/>
        <v>3.2000000000000002E-3</v>
      </c>
      <c r="P39" s="2">
        <f t="shared" si="5"/>
        <v>4.0000000000000001E-3</v>
      </c>
      <c r="Q39" s="2">
        <f t="shared" si="6"/>
        <v>4.7999999999999996E-3</v>
      </c>
      <c r="R39" s="2">
        <f t="shared" si="7"/>
        <v>0.8</v>
      </c>
      <c r="S39" s="2">
        <f t="shared" si="8"/>
        <v>0.8</v>
      </c>
      <c r="T39" s="2">
        <f t="shared" si="9"/>
        <v>1.6</v>
      </c>
      <c r="U39" s="2">
        <f t="shared" si="10"/>
        <v>2.4</v>
      </c>
      <c r="V39" s="2">
        <f t="shared" si="11"/>
        <v>3.2</v>
      </c>
      <c r="W39" s="2">
        <f t="shared" si="12"/>
        <v>4</v>
      </c>
      <c r="X39" s="2">
        <f t="shared" si="13"/>
        <v>4.8</v>
      </c>
      <c r="Y39" s="5" t="str">
        <f t="shared" si="15"/>
        <v>2</v>
      </c>
      <c r="Z39" s="5" t="str">
        <f t="shared" si="15"/>
        <v>2</v>
      </c>
      <c r="AA39" s="5" t="str">
        <f t="shared" si="15"/>
        <v>1</v>
      </c>
      <c r="AB39" s="5" t="str">
        <f t="shared" si="15"/>
        <v>1</v>
      </c>
      <c r="AC39" s="5" t="str">
        <f t="shared" si="15"/>
        <v>1</v>
      </c>
      <c r="AD39" s="5" t="str">
        <f t="shared" si="15"/>
        <v>1</v>
      </c>
      <c r="AE39" s="5" t="str">
        <f t="shared" si="15"/>
        <v>1</v>
      </c>
    </row>
    <row r="40" spans="1:31" ht="14.4" x14ac:dyDescent="0.3">
      <c r="A40" s="20">
        <v>37</v>
      </c>
      <c r="B40" s="24" t="s">
        <v>164</v>
      </c>
      <c r="C40" s="10">
        <v>35</v>
      </c>
      <c r="D40" s="10">
        <v>85</v>
      </c>
      <c r="E40" s="21">
        <v>365</v>
      </c>
      <c r="F40" s="26">
        <v>2.9999999999999997E-4</v>
      </c>
      <c r="G40" s="10">
        <v>900</v>
      </c>
      <c r="H40" s="12">
        <v>1E-3</v>
      </c>
      <c r="I40" s="21">
        <v>10950</v>
      </c>
      <c r="J40" s="22">
        <v>6</v>
      </c>
      <c r="K40" s="18">
        <f t="shared" si="0"/>
        <v>6.3529411764705877E-4</v>
      </c>
      <c r="L40" s="2">
        <f t="shared" si="1"/>
        <v>5.294117647058822E-4</v>
      </c>
      <c r="M40" s="2">
        <f t="shared" si="2"/>
        <v>1.0588235294117644E-3</v>
      </c>
      <c r="N40" s="2">
        <f t="shared" si="3"/>
        <v>1.5882352941176468E-3</v>
      </c>
      <c r="O40" s="2">
        <f t="shared" si="4"/>
        <v>2.1176470588235288E-3</v>
      </c>
      <c r="P40" s="2">
        <f t="shared" si="5"/>
        <v>2.6470588235294112E-3</v>
      </c>
      <c r="Q40" s="2">
        <f t="shared" si="6"/>
        <v>3.1764705882352936E-3</v>
      </c>
      <c r="R40" s="2">
        <f t="shared" si="7"/>
        <v>0.63529411764705879</v>
      </c>
      <c r="S40" s="2">
        <f t="shared" si="8"/>
        <v>0.52941176470588214</v>
      </c>
      <c r="T40" s="2">
        <f t="shared" si="9"/>
        <v>1.0588235294117643</v>
      </c>
      <c r="U40" s="2">
        <f t="shared" si="10"/>
        <v>1.5882352941176467</v>
      </c>
      <c r="V40" s="2">
        <f t="shared" si="11"/>
        <v>2.1176470588235285</v>
      </c>
      <c r="W40" s="2">
        <f t="shared" si="12"/>
        <v>2.6470588235294112</v>
      </c>
      <c r="X40" s="2">
        <f t="shared" si="13"/>
        <v>3.1764705882352935</v>
      </c>
      <c r="Y40" s="5" t="str">
        <f t="shared" si="15"/>
        <v>2</v>
      </c>
      <c r="Z40" s="5" t="str">
        <f t="shared" si="15"/>
        <v>2</v>
      </c>
      <c r="AA40" s="5" t="str">
        <f t="shared" si="15"/>
        <v>1</v>
      </c>
      <c r="AB40" s="5" t="str">
        <f t="shared" si="15"/>
        <v>1</v>
      </c>
      <c r="AC40" s="5" t="str">
        <f t="shared" si="15"/>
        <v>1</v>
      </c>
      <c r="AD40" s="5" t="str">
        <f t="shared" si="15"/>
        <v>1</v>
      </c>
      <c r="AE40" s="5" t="str">
        <f t="shared" si="15"/>
        <v>1</v>
      </c>
    </row>
    <row r="41" spans="1:31" ht="14.4" x14ac:dyDescent="0.3">
      <c r="A41" s="20">
        <v>38</v>
      </c>
      <c r="B41" s="24" t="s">
        <v>165</v>
      </c>
      <c r="C41" s="10">
        <v>35</v>
      </c>
      <c r="D41" s="10">
        <v>55</v>
      </c>
      <c r="E41" s="21">
        <v>365</v>
      </c>
      <c r="F41" s="26">
        <v>2.9999999999999997E-4</v>
      </c>
      <c r="G41" s="10">
        <v>900</v>
      </c>
      <c r="H41" s="12">
        <v>1E-3</v>
      </c>
      <c r="I41" s="21">
        <v>10950</v>
      </c>
      <c r="J41" s="22">
        <v>35</v>
      </c>
      <c r="K41" s="18">
        <f t="shared" si="0"/>
        <v>5.7272727272727267E-3</v>
      </c>
      <c r="L41" s="2">
        <f t="shared" si="1"/>
        <v>8.1818181818181794E-4</v>
      </c>
      <c r="M41" s="2">
        <f t="shared" si="2"/>
        <v>1.6363636363636359E-3</v>
      </c>
      <c r="N41" s="2">
        <f t="shared" si="3"/>
        <v>2.454545454545454E-3</v>
      </c>
      <c r="O41" s="2">
        <f t="shared" si="4"/>
        <v>3.2727272727272718E-3</v>
      </c>
      <c r="P41" s="2">
        <f t="shared" si="5"/>
        <v>4.0909090909090904E-3</v>
      </c>
      <c r="Q41" s="2">
        <f t="shared" si="6"/>
        <v>4.9090909090909081E-3</v>
      </c>
      <c r="R41" s="2">
        <f t="shared" si="7"/>
        <v>5.7272727272727266</v>
      </c>
      <c r="S41" s="2">
        <f t="shared" si="8"/>
        <v>0.8181818181818179</v>
      </c>
      <c r="T41" s="2">
        <f t="shared" si="9"/>
        <v>1.6363636363636358</v>
      </c>
      <c r="U41" s="2">
        <f t="shared" si="10"/>
        <v>2.4545454545454541</v>
      </c>
      <c r="V41" s="2">
        <f t="shared" si="11"/>
        <v>3.2727272727272716</v>
      </c>
      <c r="W41" s="2">
        <f t="shared" si="12"/>
        <v>4.0909090909090899</v>
      </c>
      <c r="X41" s="2">
        <f t="shared" si="13"/>
        <v>4.9090909090909083</v>
      </c>
      <c r="Y41" s="5" t="str">
        <f t="shared" si="15"/>
        <v>1</v>
      </c>
      <c r="Z41" s="5" t="str">
        <f t="shared" si="15"/>
        <v>2</v>
      </c>
      <c r="AA41" s="5" t="str">
        <f t="shared" si="15"/>
        <v>1</v>
      </c>
      <c r="AB41" s="5" t="str">
        <f t="shared" si="15"/>
        <v>1</v>
      </c>
      <c r="AC41" s="5" t="str">
        <f t="shared" si="15"/>
        <v>1</v>
      </c>
      <c r="AD41" s="5" t="str">
        <f t="shared" si="15"/>
        <v>1</v>
      </c>
      <c r="AE41" s="5" t="str">
        <f t="shared" si="15"/>
        <v>1</v>
      </c>
    </row>
    <row r="42" spans="1:31" ht="14.4" x14ac:dyDescent="0.3">
      <c r="A42" s="20">
        <v>39</v>
      </c>
      <c r="B42" s="24" t="s">
        <v>106</v>
      </c>
      <c r="C42" s="10">
        <v>35</v>
      </c>
      <c r="D42" s="10">
        <v>55</v>
      </c>
      <c r="E42" s="21">
        <v>365</v>
      </c>
      <c r="F42" s="26">
        <v>2.9999999999999997E-4</v>
      </c>
      <c r="G42" s="10">
        <v>1200</v>
      </c>
      <c r="H42" s="12">
        <v>1E-3</v>
      </c>
      <c r="I42" s="21">
        <v>10950</v>
      </c>
      <c r="J42" s="22">
        <v>4</v>
      </c>
      <c r="K42" s="18">
        <f t="shared" si="0"/>
        <v>8.7272727272727274E-4</v>
      </c>
      <c r="L42" s="2">
        <f t="shared" si="1"/>
        <v>1.090909090909091E-3</v>
      </c>
      <c r="M42" s="2">
        <f t="shared" si="2"/>
        <v>2.1818181818181819E-3</v>
      </c>
      <c r="N42" s="2">
        <f t="shared" si="3"/>
        <v>3.2727272727272726E-3</v>
      </c>
      <c r="O42" s="2">
        <f t="shared" si="4"/>
        <v>4.3636363636363638E-3</v>
      </c>
      <c r="P42" s="2">
        <f t="shared" si="5"/>
        <v>5.454545454545455E-3</v>
      </c>
      <c r="Q42" s="2">
        <f t="shared" si="6"/>
        <v>6.5454545454545453E-3</v>
      </c>
      <c r="R42" s="2">
        <f t="shared" si="7"/>
        <v>0.87272727272727268</v>
      </c>
      <c r="S42" s="2">
        <f t="shared" si="8"/>
        <v>1.0909090909090908</v>
      </c>
      <c r="T42" s="2">
        <f t="shared" si="9"/>
        <v>2.1818181818181817</v>
      </c>
      <c r="U42" s="2">
        <f t="shared" si="10"/>
        <v>3.2727272727272725</v>
      </c>
      <c r="V42" s="2">
        <f t="shared" si="11"/>
        <v>4.3636363636363633</v>
      </c>
      <c r="W42" s="2">
        <f t="shared" si="12"/>
        <v>5.454545454545455</v>
      </c>
      <c r="X42" s="2">
        <f t="shared" si="13"/>
        <v>6.545454545454545</v>
      </c>
      <c r="Y42" s="5" t="str">
        <f t="shared" si="15"/>
        <v>2</v>
      </c>
      <c r="Z42" s="5" t="str">
        <f t="shared" si="15"/>
        <v>1</v>
      </c>
      <c r="AA42" s="5" t="str">
        <f t="shared" si="15"/>
        <v>1</v>
      </c>
      <c r="AB42" s="5" t="str">
        <f t="shared" si="15"/>
        <v>1</v>
      </c>
      <c r="AC42" s="5" t="str">
        <f t="shared" si="15"/>
        <v>1</v>
      </c>
      <c r="AD42" s="5" t="str">
        <f t="shared" si="15"/>
        <v>1</v>
      </c>
      <c r="AE42" s="5" t="str">
        <f t="shared" si="15"/>
        <v>1</v>
      </c>
    </row>
    <row r="43" spans="1:31" ht="14.4" x14ac:dyDescent="0.3">
      <c r="A43" s="20">
        <v>40</v>
      </c>
      <c r="B43" s="24" t="s">
        <v>166</v>
      </c>
      <c r="C43" s="10">
        <v>35</v>
      </c>
      <c r="D43" s="10">
        <v>47</v>
      </c>
      <c r="E43" s="21">
        <v>365</v>
      </c>
      <c r="F43" s="26">
        <v>2.9999999999999997E-4</v>
      </c>
      <c r="G43" s="10">
        <v>1200</v>
      </c>
      <c r="H43" s="12">
        <v>1E-3</v>
      </c>
      <c r="I43" s="21">
        <v>10950</v>
      </c>
      <c r="J43" s="22">
        <v>20</v>
      </c>
      <c r="K43" s="18">
        <f t="shared" si="0"/>
        <v>5.106382978723404E-3</v>
      </c>
      <c r="L43" s="2">
        <f t="shared" si="1"/>
        <v>1.276595744680851E-3</v>
      </c>
      <c r="M43" s="2">
        <f t="shared" si="2"/>
        <v>2.553191489361702E-3</v>
      </c>
      <c r="N43" s="2">
        <f t="shared" si="3"/>
        <v>3.829787234042553E-3</v>
      </c>
      <c r="O43" s="2">
        <f t="shared" si="4"/>
        <v>5.106382978723404E-3</v>
      </c>
      <c r="P43" s="2">
        <f t="shared" si="5"/>
        <v>6.382978723404255E-3</v>
      </c>
      <c r="Q43" s="2">
        <f t="shared" si="6"/>
        <v>7.659574468085106E-3</v>
      </c>
      <c r="R43" s="2">
        <f t="shared" si="7"/>
        <v>5.1063829787234036</v>
      </c>
      <c r="S43" s="2">
        <f>L43/H43</f>
        <v>1.2765957446808509</v>
      </c>
      <c r="T43" s="2">
        <f t="shared" si="9"/>
        <v>2.5531914893617018</v>
      </c>
      <c r="U43" s="2">
        <f t="shared" si="10"/>
        <v>3.8297872340425529</v>
      </c>
      <c r="V43" s="2">
        <f t="shared" si="11"/>
        <v>5.1063829787234036</v>
      </c>
      <c r="W43" s="2">
        <f t="shared" si="12"/>
        <v>6.3829787234042552</v>
      </c>
      <c r="X43" s="2">
        <f t="shared" si="13"/>
        <v>7.6595744680851059</v>
      </c>
      <c r="Y43" s="5" t="str">
        <f t="shared" si="15"/>
        <v>1</v>
      </c>
      <c r="Z43" s="5" t="str">
        <f t="shared" si="15"/>
        <v>1</v>
      </c>
      <c r="AA43" s="5" t="str">
        <f t="shared" si="15"/>
        <v>1</v>
      </c>
      <c r="AB43" s="5" t="str">
        <f t="shared" si="15"/>
        <v>1</v>
      </c>
      <c r="AC43" s="5" t="str">
        <f t="shared" si="15"/>
        <v>1</v>
      </c>
      <c r="AD43" s="5" t="str">
        <f t="shared" si="15"/>
        <v>1</v>
      </c>
      <c r="AE43" s="5" t="str">
        <f t="shared" si="15"/>
        <v>1</v>
      </c>
    </row>
    <row r="44" spans="1:31" ht="14.4" x14ac:dyDescent="0.3">
      <c r="A44" s="20">
        <v>41</v>
      </c>
      <c r="B44" s="24" t="s">
        <v>118</v>
      </c>
      <c r="C44" s="10">
        <v>35</v>
      </c>
      <c r="D44" s="10">
        <v>75</v>
      </c>
      <c r="E44" s="21">
        <v>365</v>
      </c>
      <c r="F44" s="26">
        <v>2.9999999999999997E-4</v>
      </c>
      <c r="G44" s="10">
        <v>1200</v>
      </c>
      <c r="H44" s="12">
        <v>1E-3</v>
      </c>
      <c r="I44" s="21">
        <v>10950</v>
      </c>
      <c r="J44" s="22">
        <v>5</v>
      </c>
      <c r="K44" s="18">
        <f t="shared" si="0"/>
        <v>8.0000000000000004E-4</v>
      </c>
      <c r="L44" s="2">
        <f t="shared" si="1"/>
        <v>8.0000000000000004E-4</v>
      </c>
      <c r="M44" s="2">
        <f t="shared" si="2"/>
        <v>1.6000000000000001E-3</v>
      </c>
      <c r="N44" s="2">
        <f t="shared" si="3"/>
        <v>2.3999999999999998E-3</v>
      </c>
      <c r="O44" s="2">
        <f t="shared" si="4"/>
        <v>3.2000000000000002E-3</v>
      </c>
      <c r="P44" s="2">
        <f t="shared" si="5"/>
        <v>4.0000000000000001E-3</v>
      </c>
      <c r="Q44" s="2">
        <f t="shared" si="6"/>
        <v>4.7999999999999996E-3</v>
      </c>
      <c r="R44" s="2">
        <f t="shared" si="7"/>
        <v>0.8</v>
      </c>
      <c r="S44" s="2">
        <f t="shared" ref="S44:S103" si="16">L44/H44</f>
        <v>0.8</v>
      </c>
      <c r="T44" s="2">
        <f t="shared" si="9"/>
        <v>1.6</v>
      </c>
      <c r="U44" s="2">
        <f>N44/H44</f>
        <v>2.4</v>
      </c>
      <c r="V44" s="2">
        <f>O44/H44</f>
        <v>3.2</v>
      </c>
      <c r="W44" s="2">
        <f>P44/H44</f>
        <v>4</v>
      </c>
      <c r="X44" s="2">
        <f>Q44/H44</f>
        <v>4.8</v>
      </c>
      <c r="Y44" s="5" t="str">
        <f t="shared" si="15"/>
        <v>2</v>
      </c>
      <c r="Z44" s="5" t="str">
        <f t="shared" si="15"/>
        <v>2</v>
      </c>
      <c r="AA44" s="5" t="str">
        <f t="shared" si="15"/>
        <v>1</v>
      </c>
      <c r="AB44" s="5" t="str">
        <f t="shared" si="15"/>
        <v>1</v>
      </c>
      <c r="AC44" s="5" t="str">
        <f t="shared" si="15"/>
        <v>1</v>
      </c>
      <c r="AD44" s="5" t="str">
        <f t="shared" si="15"/>
        <v>1</v>
      </c>
      <c r="AE44" s="5" t="str">
        <f t="shared" si="15"/>
        <v>1</v>
      </c>
    </row>
    <row r="45" spans="1:31" ht="14.4" x14ac:dyDescent="0.3">
      <c r="A45" s="20">
        <v>42</v>
      </c>
      <c r="B45" s="24" t="s">
        <v>130</v>
      </c>
      <c r="C45" s="10">
        <v>35</v>
      </c>
      <c r="D45" s="10">
        <v>47</v>
      </c>
      <c r="E45" s="21">
        <v>365</v>
      </c>
      <c r="F45" s="26">
        <v>2.9999999999999997E-4</v>
      </c>
      <c r="G45" s="10">
        <v>1200</v>
      </c>
      <c r="H45" s="12">
        <v>1E-3</v>
      </c>
      <c r="I45" s="21">
        <v>10950</v>
      </c>
      <c r="J45" s="22">
        <v>20</v>
      </c>
      <c r="K45" s="18">
        <f t="shared" si="0"/>
        <v>5.106382978723404E-3</v>
      </c>
      <c r="L45" s="2">
        <f t="shared" si="1"/>
        <v>1.276595744680851E-3</v>
      </c>
      <c r="M45" s="2">
        <f t="shared" si="2"/>
        <v>2.553191489361702E-3</v>
      </c>
      <c r="N45" s="2">
        <f t="shared" si="3"/>
        <v>3.829787234042553E-3</v>
      </c>
      <c r="O45" s="2">
        <f t="shared" si="4"/>
        <v>5.106382978723404E-3</v>
      </c>
      <c r="P45" s="2">
        <f t="shared" si="5"/>
        <v>6.382978723404255E-3</v>
      </c>
      <c r="Q45" s="2">
        <f t="shared" si="6"/>
        <v>7.659574468085106E-3</v>
      </c>
      <c r="R45" s="2">
        <f t="shared" si="7"/>
        <v>5.1063829787234036</v>
      </c>
      <c r="S45" s="2">
        <f t="shared" si="16"/>
        <v>1.2765957446808509</v>
      </c>
      <c r="T45" s="2">
        <f t="shared" si="9"/>
        <v>2.5531914893617018</v>
      </c>
      <c r="U45" s="2">
        <f>N45/H45</f>
        <v>3.8297872340425529</v>
      </c>
      <c r="V45" s="2">
        <f>O45/H45</f>
        <v>5.1063829787234036</v>
      </c>
      <c r="W45" s="2">
        <f>P45/H45</f>
        <v>6.3829787234042552</v>
      </c>
      <c r="X45" s="2">
        <f>Q45/H45</f>
        <v>7.6595744680851059</v>
      </c>
      <c r="Y45" s="5" t="str">
        <f t="shared" si="15"/>
        <v>1</v>
      </c>
      <c r="Z45" s="5" t="str">
        <f t="shared" si="15"/>
        <v>1</v>
      </c>
      <c r="AA45" s="5" t="str">
        <f t="shared" si="15"/>
        <v>1</v>
      </c>
      <c r="AB45" s="5" t="str">
        <f t="shared" si="15"/>
        <v>1</v>
      </c>
      <c r="AC45" s="5" t="str">
        <f t="shared" si="15"/>
        <v>1</v>
      </c>
      <c r="AD45" s="5" t="str">
        <f t="shared" si="15"/>
        <v>1</v>
      </c>
      <c r="AE45" s="5" t="str">
        <f t="shared" si="15"/>
        <v>1</v>
      </c>
    </row>
    <row r="46" spans="1:31" ht="14.4" x14ac:dyDescent="0.3">
      <c r="A46" s="20">
        <v>43</v>
      </c>
      <c r="B46" s="24" t="s">
        <v>138</v>
      </c>
      <c r="C46" s="10">
        <v>35</v>
      </c>
      <c r="D46" s="10">
        <v>75</v>
      </c>
      <c r="E46" s="21">
        <v>365</v>
      </c>
      <c r="F46" s="26">
        <v>2.9999999999999997E-4</v>
      </c>
      <c r="G46" s="10">
        <v>1200</v>
      </c>
      <c r="H46" s="12">
        <v>1E-3</v>
      </c>
      <c r="I46" s="21">
        <v>10950</v>
      </c>
      <c r="J46" s="22">
        <v>5</v>
      </c>
      <c r="K46" s="18">
        <f t="shared" si="0"/>
        <v>8.0000000000000004E-4</v>
      </c>
      <c r="L46" s="2">
        <f>(F46*G46*E46*5)/(D46*I46)</f>
        <v>8.0000000000000004E-4</v>
      </c>
      <c r="M46" s="2">
        <f t="shared" si="2"/>
        <v>1.6000000000000001E-3</v>
      </c>
      <c r="N46" s="2">
        <f t="shared" si="3"/>
        <v>2.3999999999999998E-3</v>
      </c>
      <c r="O46" s="2">
        <f t="shared" si="4"/>
        <v>3.2000000000000002E-3</v>
      </c>
      <c r="P46" s="2">
        <f t="shared" si="5"/>
        <v>4.0000000000000001E-3</v>
      </c>
      <c r="Q46" s="2">
        <f t="shared" si="6"/>
        <v>4.7999999999999996E-3</v>
      </c>
      <c r="R46" s="2">
        <f t="shared" si="7"/>
        <v>0.8</v>
      </c>
      <c r="S46" s="2">
        <f t="shared" si="16"/>
        <v>0.8</v>
      </c>
      <c r="T46" s="2">
        <f t="shared" si="9"/>
        <v>1.6</v>
      </c>
      <c r="U46" s="2">
        <f t="shared" ref="U46:U103" si="17">N46/H46</f>
        <v>2.4</v>
      </c>
      <c r="V46" s="2">
        <f t="shared" ref="V46:V103" si="18">O46/H46</f>
        <v>3.2</v>
      </c>
      <c r="W46" s="2">
        <f t="shared" ref="W46:W103" si="19">P46/H46</f>
        <v>4</v>
      </c>
      <c r="X46" s="2">
        <f t="shared" ref="X46:X103" si="20">Q46/H46</f>
        <v>4.8</v>
      </c>
      <c r="Y46" s="5" t="str">
        <f t="shared" si="15"/>
        <v>2</v>
      </c>
      <c r="Z46" s="5" t="str">
        <f t="shared" si="15"/>
        <v>2</v>
      </c>
      <c r="AA46" s="5" t="str">
        <f t="shared" si="15"/>
        <v>1</v>
      </c>
      <c r="AB46" s="5" t="str">
        <f t="shared" si="15"/>
        <v>1</v>
      </c>
      <c r="AC46" s="5" t="str">
        <f t="shared" si="15"/>
        <v>1</v>
      </c>
      <c r="AD46" s="5" t="str">
        <f t="shared" si="15"/>
        <v>1</v>
      </c>
      <c r="AE46" s="5" t="str">
        <f t="shared" si="15"/>
        <v>1</v>
      </c>
    </row>
    <row r="47" spans="1:31" ht="14.4" x14ac:dyDescent="0.3">
      <c r="A47" s="20">
        <v>44</v>
      </c>
      <c r="B47" s="24" t="s">
        <v>167</v>
      </c>
      <c r="C47" s="10">
        <v>37</v>
      </c>
      <c r="D47" s="10">
        <v>85</v>
      </c>
      <c r="E47" s="21">
        <v>365</v>
      </c>
      <c r="F47" s="26">
        <v>2.9999999999999997E-4</v>
      </c>
      <c r="G47" s="10">
        <v>1500</v>
      </c>
      <c r="H47" s="12">
        <v>1E-3</v>
      </c>
      <c r="I47" s="21">
        <v>10950</v>
      </c>
      <c r="J47" s="22">
        <v>6</v>
      </c>
      <c r="K47" s="18">
        <f t="shared" si="0"/>
        <v>1.0588235294117644E-3</v>
      </c>
      <c r="L47" s="2">
        <f t="shared" ref="L47:L103" si="21">(F47*G47*E47*5)/(D47*I47)</f>
        <v>8.8235294117647051E-4</v>
      </c>
      <c r="M47" s="2">
        <f t="shared" si="2"/>
        <v>1.764705882352941E-3</v>
      </c>
      <c r="N47" s="2">
        <f t="shared" si="3"/>
        <v>2.6470588235294112E-3</v>
      </c>
      <c r="O47" s="2">
        <f t="shared" si="4"/>
        <v>3.529411764705882E-3</v>
      </c>
      <c r="P47" s="2">
        <f t="shared" si="5"/>
        <v>4.411764705882352E-3</v>
      </c>
      <c r="Q47" s="2">
        <f t="shared" si="6"/>
        <v>5.2941176470588224E-3</v>
      </c>
      <c r="R47" s="2">
        <f t="shared" si="7"/>
        <v>1.0588235294117643</v>
      </c>
      <c r="S47" s="2">
        <f t="shared" si="16"/>
        <v>0.88235294117647045</v>
      </c>
      <c r="T47" s="2">
        <f t="shared" si="9"/>
        <v>1.7647058823529409</v>
      </c>
      <c r="U47" s="2">
        <f t="shared" si="17"/>
        <v>2.6470588235294112</v>
      </c>
      <c r="V47" s="2">
        <f t="shared" si="18"/>
        <v>3.5294117647058818</v>
      </c>
      <c r="W47" s="2">
        <f t="shared" si="19"/>
        <v>4.4117647058823515</v>
      </c>
      <c r="X47" s="2">
        <f t="shared" si="20"/>
        <v>5.2941176470588225</v>
      </c>
      <c r="Y47" s="5" t="str">
        <f t="shared" si="15"/>
        <v>1</v>
      </c>
      <c r="Z47" s="5" t="str">
        <f t="shared" si="15"/>
        <v>2</v>
      </c>
      <c r="AA47" s="5" t="str">
        <f t="shared" si="15"/>
        <v>1</v>
      </c>
      <c r="AB47" s="5" t="str">
        <f t="shared" si="15"/>
        <v>1</v>
      </c>
      <c r="AC47" s="5" t="str">
        <f t="shared" si="15"/>
        <v>1</v>
      </c>
      <c r="AD47" s="5" t="str">
        <f t="shared" si="15"/>
        <v>1</v>
      </c>
      <c r="AE47" s="5" t="str">
        <f t="shared" si="15"/>
        <v>1</v>
      </c>
    </row>
    <row r="48" spans="1:31" ht="14.4" x14ac:dyDescent="0.3">
      <c r="A48" s="20">
        <v>45</v>
      </c>
      <c r="B48" s="24" t="s">
        <v>168</v>
      </c>
      <c r="C48" s="10">
        <v>37</v>
      </c>
      <c r="D48" s="10">
        <v>60</v>
      </c>
      <c r="E48" s="21">
        <v>365</v>
      </c>
      <c r="F48" s="26">
        <v>2.9999999999999997E-4</v>
      </c>
      <c r="G48" s="10">
        <v>2400</v>
      </c>
      <c r="H48" s="12">
        <v>1E-3</v>
      </c>
      <c r="I48" s="21">
        <v>10950</v>
      </c>
      <c r="J48" s="22">
        <v>19</v>
      </c>
      <c r="K48" s="18">
        <f t="shared" si="0"/>
        <v>7.6E-3</v>
      </c>
      <c r="L48" s="2">
        <f t="shared" si="21"/>
        <v>2E-3</v>
      </c>
      <c r="M48" s="2">
        <f t="shared" si="2"/>
        <v>4.0000000000000001E-3</v>
      </c>
      <c r="N48" s="2">
        <f t="shared" si="3"/>
        <v>6.0000000000000001E-3</v>
      </c>
      <c r="O48" s="2">
        <f t="shared" si="4"/>
        <v>8.0000000000000002E-3</v>
      </c>
      <c r="P48" s="2">
        <f t="shared" si="5"/>
        <v>0.01</v>
      </c>
      <c r="Q48" s="2">
        <f t="shared" si="6"/>
        <v>1.2E-2</v>
      </c>
      <c r="R48" s="2">
        <f t="shared" si="7"/>
        <v>7.6</v>
      </c>
      <c r="S48" s="2">
        <f t="shared" si="16"/>
        <v>2</v>
      </c>
      <c r="T48" s="2">
        <f t="shared" si="9"/>
        <v>4</v>
      </c>
      <c r="U48" s="2">
        <f t="shared" si="17"/>
        <v>6</v>
      </c>
      <c r="V48" s="2">
        <f t="shared" si="18"/>
        <v>8</v>
      </c>
      <c r="W48" s="2">
        <f t="shared" si="19"/>
        <v>10</v>
      </c>
      <c r="X48" s="2">
        <f t="shared" si="20"/>
        <v>12</v>
      </c>
      <c r="Y48" s="5" t="str">
        <f t="shared" si="15"/>
        <v>1</v>
      </c>
      <c r="Z48" s="5" t="str">
        <f t="shared" si="15"/>
        <v>1</v>
      </c>
      <c r="AA48" s="5" t="str">
        <f t="shared" si="15"/>
        <v>1</v>
      </c>
      <c r="AB48" s="5" t="str">
        <f t="shared" si="15"/>
        <v>1</v>
      </c>
      <c r="AC48" s="5" t="str">
        <f t="shared" si="15"/>
        <v>1</v>
      </c>
      <c r="AD48" s="5" t="str">
        <f t="shared" si="15"/>
        <v>1</v>
      </c>
      <c r="AE48" s="5" t="str">
        <f t="shared" si="15"/>
        <v>1</v>
      </c>
    </row>
    <row r="49" spans="1:31" ht="14.4" x14ac:dyDescent="0.3">
      <c r="A49" s="20">
        <v>46</v>
      </c>
      <c r="B49" s="24" t="s">
        <v>125</v>
      </c>
      <c r="C49" s="10">
        <v>37</v>
      </c>
      <c r="D49" s="10">
        <v>85</v>
      </c>
      <c r="E49" s="21">
        <v>365</v>
      </c>
      <c r="F49" s="26">
        <v>2.9999999999999997E-4</v>
      </c>
      <c r="G49" s="10">
        <v>1500</v>
      </c>
      <c r="H49" s="12">
        <v>1E-3</v>
      </c>
      <c r="I49" s="21">
        <v>10950</v>
      </c>
      <c r="J49" s="22">
        <v>6</v>
      </c>
      <c r="K49" s="18">
        <f t="shared" si="0"/>
        <v>1.0588235294117644E-3</v>
      </c>
      <c r="L49" s="2">
        <f t="shared" si="21"/>
        <v>8.8235294117647051E-4</v>
      </c>
      <c r="M49" s="2">
        <f t="shared" si="2"/>
        <v>1.764705882352941E-3</v>
      </c>
      <c r="N49" s="2">
        <f t="shared" si="3"/>
        <v>2.6470588235294112E-3</v>
      </c>
      <c r="O49" s="2">
        <f t="shared" si="4"/>
        <v>3.529411764705882E-3</v>
      </c>
      <c r="P49" s="2">
        <f t="shared" si="5"/>
        <v>4.411764705882352E-3</v>
      </c>
      <c r="Q49" s="2">
        <f t="shared" si="6"/>
        <v>5.2941176470588224E-3</v>
      </c>
      <c r="R49" s="2">
        <f t="shared" si="7"/>
        <v>1.0588235294117643</v>
      </c>
      <c r="S49" s="2">
        <f t="shared" si="16"/>
        <v>0.88235294117647045</v>
      </c>
      <c r="T49" s="2">
        <f t="shared" si="9"/>
        <v>1.7647058823529409</v>
      </c>
      <c r="U49" s="2">
        <f t="shared" si="17"/>
        <v>2.6470588235294112</v>
      </c>
      <c r="V49" s="2">
        <f t="shared" si="18"/>
        <v>3.5294117647058818</v>
      </c>
      <c r="W49" s="2">
        <f t="shared" si="19"/>
        <v>4.4117647058823515</v>
      </c>
      <c r="X49" s="2">
        <f t="shared" si="20"/>
        <v>5.2941176470588225</v>
      </c>
      <c r="Y49" s="5" t="str">
        <f t="shared" si="15"/>
        <v>1</v>
      </c>
      <c r="Z49" s="5" t="str">
        <f t="shared" si="15"/>
        <v>2</v>
      </c>
      <c r="AA49" s="5" t="str">
        <f t="shared" si="15"/>
        <v>1</v>
      </c>
      <c r="AB49" s="5" t="str">
        <f t="shared" si="15"/>
        <v>1</v>
      </c>
      <c r="AC49" s="5" t="str">
        <f t="shared" si="15"/>
        <v>1</v>
      </c>
      <c r="AD49" s="5" t="str">
        <f t="shared" si="15"/>
        <v>1</v>
      </c>
      <c r="AE49" s="5" t="str">
        <f t="shared" si="15"/>
        <v>1</v>
      </c>
    </row>
    <row r="50" spans="1:31" ht="14.4" x14ac:dyDescent="0.3">
      <c r="A50" s="20">
        <v>47</v>
      </c>
      <c r="B50" s="24" t="s">
        <v>128</v>
      </c>
      <c r="C50" s="10">
        <v>37</v>
      </c>
      <c r="D50" s="10">
        <v>60</v>
      </c>
      <c r="E50" s="21">
        <v>365</v>
      </c>
      <c r="F50" s="26">
        <v>2.9999999999999997E-4</v>
      </c>
      <c r="G50" s="10">
        <v>2400</v>
      </c>
      <c r="H50" s="12">
        <v>1E-3</v>
      </c>
      <c r="I50" s="21">
        <v>10950</v>
      </c>
      <c r="J50" s="22">
        <v>19</v>
      </c>
      <c r="K50" s="18">
        <f t="shared" si="0"/>
        <v>7.6E-3</v>
      </c>
      <c r="L50" s="2">
        <f t="shared" si="21"/>
        <v>2E-3</v>
      </c>
      <c r="M50" s="2">
        <f t="shared" si="2"/>
        <v>4.0000000000000001E-3</v>
      </c>
      <c r="N50" s="2">
        <f t="shared" si="3"/>
        <v>6.0000000000000001E-3</v>
      </c>
      <c r="O50" s="2">
        <f t="shared" si="4"/>
        <v>8.0000000000000002E-3</v>
      </c>
      <c r="P50" s="2">
        <f t="shared" si="5"/>
        <v>0.01</v>
      </c>
      <c r="Q50" s="2">
        <f t="shared" si="6"/>
        <v>1.2E-2</v>
      </c>
      <c r="R50" s="2">
        <f t="shared" si="7"/>
        <v>7.6</v>
      </c>
      <c r="S50" s="2">
        <f t="shared" si="16"/>
        <v>2</v>
      </c>
      <c r="T50" s="2">
        <f t="shared" si="9"/>
        <v>4</v>
      </c>
      <c r="U50" s="2">
        <f t="shared" si="17"/>
        <v>6</v>
      </c>
      <c r="V50" s="2">
        <f t="shared" si="18"/>
        <v>8</v>
      </c>
      <c r="W50" s="2">
        <f t="shared" si="19"/>
        <v>10</v>
      </c>
      <c r="X50" s="2">
        <f t="shared" si="20"/>
        <v>12</v>
      </c>
      <c r="Y50" s="5" t="str">
        <f t="shared" si="15"/>
        <v>1</v>
      </c>
      <c r="Z50" s="5" t="str">
        <f t="shared" si="15"/>
        <v>1</v>
      </c>
      <c r="AA50" s="5" t="str">
        <f t="shared" si="15"/>
        <v>1</v>
      </c>
      <c r="AB50" s="5" t="str">
        <f t="shared" si="15"/>
        <v>1</v>
      </c>
      <c r="AC50" s="5" t="str">
        <f t="shared" si="15"/>
        <v>1</v>
      </c>
      <c r="AD50" s="5" t="str">
        <f t="shared" si="15"/>
        <v>1</v>
      </c>
      <c r="AE50" s="5" t="str">
        <f t="shared" si="15"/>
        <v>1</v>
      </c>
    </row>
    <row r="51" spans="1:31" ht="14.4" x14ac:dyDescent="0.3">
      <c r="A51" s="20">
        <v>48</v>
      </c>
      <c r="B51" s="24" t="s">
        <v>169</v>
      </c>
      <c r="C51" s="10">
        <v>38</v>
      </c>
      <c r="D51" s="10">
        <v>43</v>
      </c>
      <c r="E51" s="21">
        <v>365</v>
      </c>
      <c r="F51" s="26">
        <v>2.9999999999999997E-4</v>
      </c>
      <c r="G51" s="10">
        <v>2100</v>
      </c>
      <c r="H51" s="12">
        <v>1E-3</v>
      </c>
      <c r="I51" s="21">
        <v>10950</v>
      </c>
      <c r="J51" s="22">
        <v>11</v>
      </c>
      <c r="K51" s="18">
        <f t="shared" si="0"/>
        <v>5.3720930232558127E-3</v>
      </c>
      <c r="L51" s="2">
        <f t="shared" si="21"/>
        <v>2.4418604651162785E-3</v>
      </c>
      <c r="M51" s="2">
        <f t="shared" si="2"/>
        <v>4.883720930232557E-3</v>
      </c>
      <c r="N51" s="2">
        <f t="shared" si="3"/>
        <v>7.3255813953488364E-3</v>
      </c>
      <c r="O51" s="2">
        <f t="shared" si="4"/>
        <v>9.7674418604651141E-3</v>
      </c>
      <c r="P51" s="2">
        <f t="shared" si="5"/>
        <v>1.2209302325581393E-2</v>
      </c>
      <c r="Q51" s="2">
        <f t="shared" si="6"/>
        <v>1.4651162790697673E-2</v>
      </c>
      <c r="R51" s="2">
        <f t="shared" si="7"/>
        <v>5.3720930232558128</v>
      </c>
      <c r="S51" s="2">
        <f t="shared" si="16"/>
        <v>2.4418604651162785</v>
      </c>
      <c r="T51" s="2">
        <f t="shared" si="9"/>
        <v>4.883720930232557</v>
      </c>
      <c r="U51" s="2">
        <f t="shared" si="17"/>
        <v>7.325581395348836</v>
      </c>
      <c r="V51" s="2">
        <f t="shared" si="18"/>
        <v>9.7674418604651141</v>
      </c>
      <c r="W51" s="2">
        <f t="shared" si="19"/>
        <v>12.209302325581394</v>
      </c>
      <c r="X51" s="2">
        <f t="shared" si="20"/>
        <v>14.651162790697672</v>
      </c>
      <c r="Y51" s="5" t="str">
        <f t="shared" si="15"/>
        <v>1</v>
      </c>
      <c r="Z51" s="5" t="str">
        <f t="shared" si="15"/>
        <v>1</v>
      </c>
      <c r="AA51" s="5" t="str">
        <f t="shared" si="15"/>
        <v>1</v>
      </c>
      <c r="AB51" s="5" t="str">
        <f t="shared" si="15"/>
        <v>1</v>
      </c>
      <c r="AC51" s="5" t="str">
        <f t="shared" si="15"/>
        <v>1</v>
      </c>
      <c r="AD51" s="5" t="str">
        <f t="shared" si="15"/>
        <v>1</v>
      </c>
      <c r="AE51" s="5" t="str">
        <f t="shared" si="15"/>
        <v>1</v>
      </c>
    </row>
    <row r="52" spans="1:31" ht="14.4" x14ac:dyDescent="0.3">
      <c r="A52" s="20">
        <v>49</v>
      </c>
      <c r="B52" s="24" t="s">
        <v>170</v>
      </c>
      <c r="C52" s="10">
        <v>38</v>
      </c>
      <c r="D52" s="10">
        <v>50</v>
      </c>
      <c r="E52" s="21">
        <v>365</v>
      </c>
      <c r="F52" s="26">
        <v>2.9999999999999997E-4</v>
      </c>
      <c r="G52" s="10">
        <v>900</v>
      </c>
      <c r="H52" s="12">
        <v>1E-3</v>
      </c>
      <c r="I52" s="21">
        <v>10950</v>
      </c>
      <c r="J52" s="22">
        <v>1</v>
      </c>
      <c r="K52" s="18">
        <f t="shared" si="0"/>
        <v>1.7999999999999996E-4</v>
      </c>
      <c r="L52" s="2">
        <f t="shared" si="21"/>
        <v>8.9999999999999976E-4</v>
      </c>
      <c r="M52" s="2">
        <f t="shared" si="2"/>
        <v>1.7999999999999995E-3</v>
      </c>
      <c r="N52" s="2">
        <f t="shared" si="3"/>
        <v>2.6999999999999997E-3</v>
      </c>
      <c r="O52" s="2">
        <f t="shared" si="4"/>
        <v>3.599999999999999E-3</v>
      </c>
      <c r="P52" s="2">
        <f t="shared" si="5"/>
        <v>4.4999999999999988E-3</v>
      </c>
      <c r="Q52" s="2">
        <f t="shared" si="6"/>
        <v>5.3999999999999994E-3</v>
      </c>
      <c r="R52" s="2">
        <f t="shared" si="7"/>
        <v>0.17999999999999997</v>
      </c>
      <c r="S52" s="2">
        <f t="shared" si="16"/>
        <v>0.89999999999999969</v>
      </c>
      <c r="T52" s="2">
        <f t="shared" si="9"/>
        <v>1.7999999999999994</v>
      </c>
      <c r="U52" s="2">
        <f t="shared" si="17"/>
        <v>2.6999999999999997</v>
      </c>
      <c r="V52" s="2">
        <f t="shared" si="18"/>
        <v>3.5999999999999988</v>
      </c>
      <c r="W52" s="2">
        <f t="shared" si="19"/>
        <v>4.4999999999999991</v>
      </c>
      <c r="X52" s="2">
        <f t="shared" si="20"/>
        <v>5.3999999999999995</v>
      </c>
      <c r="Y52" s="5" t="str">
        <f t="shared" si="15"/>
        <v>2</v>
      </c>
      <c r="Z52" s="5" t="str">
        <f t="shared" si="15"/>
        <v>2</v>
      </c>
      <c r="AA52" s="5" t="str">
        <f t="shared" si="15"/>
        <v>1</v>
      </c>
      <c r="AB52" s="5" t="str">
        <f t="shared" si="15"/>
        <v>1</v>
      </c>
      <c r="AC52" s="5" t="str">
        <f t="shared" si="15"/>
        <v>1</v>
      </c>
      <c r="AD52" s="5" t="str">
        <f t="shared" si="15"/>
        <v>1</v>
      </c>
      <c r="AE52" s="5" t="str">
        <f t="shared" si="15"/>
        <v>1</v>
      </c>
    </row>
    <row r="53" spans="1:31" ht="14.4" x14ac:dyDescent="0.3">
      <c r="A53" s="20">
        <v>50</v>
      </c>
      <c r="B53" s="24" t="s">
        <v>121</v>
      </c>
      <c r="C53" s="10">
        <v>38</v>
      </c>
      <c r="D53" s="10">
        <v>43</v>
      </c>
      <c r="E53" s="21">
        <v>365</v>
      </c>
      <c r="F53" s="26">
        <v>2.9999999999999997E-4</v>
      </c>
      <c r="G53" s="10">
        <v>2100</v>
      </c>
      <c r="H53" s="12">
        <v>1E-3</v>
      </c>
      <c r="I53" s="21">
        <v>10950</v>
      </c>
      <c r="J53" s="22">
        <v>11</v>
      </c>
      <c r="K53" s="18">
        <f t="shared" si="0"/>
        <v>5.3720930232558127E-3</v>
      </c>
      <c r="L53" s="2">
        <f t="shared" si="21"/>
        <v>2.4418604651162785E-3</v>
      </c>
      <c r="M53" s="2">
        <f t="shared" si="2"/>
        <v>4.883720930232557E-3</v>
      </c>
      <c r="N53" s="2">
        <f t="shared" si="3"/>
        <v>7.3255813953488364E-3</v>
      </c>
      <c r="O53" s="2">
        <f t="shared" si="4"/>
        <v>9.7674418604651141E-3</v>
      </c>
      <c r="P53" s="2">
        <f t="shared" si="5"/>
        <v>1.2209302325581393E-2</v>
      </c>
      <c r="Q53" s="2">
        <f t="shared" si="6"/>
        <v>1.4651162790697673E-2</v>
      </c>
      <c r="R53" s="2">
        <f t="shared" si="7"/>
        <v>5.3720930232558128</v>
      </c>
      <c r="S53" s="2">
        <f t="shared" si="16"/>
        <v>2.4418604651162785</v>
      </c>
      <c r="T53" s="2">
        <f t="shared" si="9"/>
        <v>4.883720930232557</v>
      </c>
      <c r="U53" s="2">
        <f t="shared" si="17"/>
        <v>7.325581395348836</v>
      </c>
      <c r="V53" s="2">
        <f t="shared" si="18"/>
        <v>9.7674418604651141</v>
      </c>
      <c r="W53" s="2">
        <f t="shared" si="19"/>
        <v>12.209302325581394</v>
      </c>
      <c r="X53" s="2">
        <f t="shared" si="20"/>
        <v>14.651162790697672</v>
      </c>
      <c r="Y53" s="5" t="str">
        <f t="shared" si="15"/>
        <v>1</v>
      </c>
      <c r="Z53" s="5" t="str">
        <f t="shared" si="15"/>
        <v>1</v>
      </c>
      <c r="AA53" s="5" t="str">
        <f t="shared" si="15"/>
        <v>1</v>
      </c>
      <c r="AB53" s="5" t="str">
        <f t="shared" si="15"/>
        <v>1</v>
      </c>
      <c r="AC53" s="5" t="str">
        <f t="shared" si="15"/>
        <v>1</v>
      </c>
      <c r="AD53" s="5" t="str">
        <f t="shared" si="15"/>
        <v>1</v>
      </c>
      <c r="AE53" s="5" t="str">
        <f t="shared" si="15"/>
        <v>1</v>
      </c>
    </row>
    <row r="54" spans="1:31" ht="14.4" x14ac:dyDescent="0.3">
      <c r="A54" s="20">
        <v>51</v>
      </c>
      <c r="B54" s="24" t="s">
        <v>142</v>
      </c>
      <c r="C54" s="10">
        <v>38</v>
      </c>
      <c r="D54" s="10">
        <v>50</v>
      </c>
      <c r="E54" s="21">
        <v>365</v>
      </c>
      <c r="F54" s="26">
        <v>2.9999999999999997E-4</v>
      </c>
      <c r="G54" s="10">
        <v>900</v>
      </c>
      <c r="H54" s="12">
        <v>1E-3</v>
      </c>
      <c r="I54" s="21">
        <v>10950</v>
      </c>
      <c r="J54" s="22">
        <v>1</v>
      </c>
      <c r="K54" s="18">
        <f t="shared" si="0"/>
        <v>1.7999999999999996E-4</v>
      </c>
      <c r="L54" s="2">
        <f t="shared" si="21"/>
        <v>8.9999999999999976E-4</v>
      </c>
      <c r="M54" s="2">
        <f t="shared" si="2"/>
        <v>1.7999999999999995E-3</v>
      </c>
      <c r="N54" s="2">
        <f t="shared" si="3"/>
        <v>2.6999999999999997E-3</v>
      </c>
      <c r="O54" s="2">
        <f t="shared" si="4"/>
        <v>3.599999999999999E-3</v>
      </c>
      <c r="P54" s="2">
        <f t="shared" si="5"/>
        <v>4.4999999999999988E-3</v>
      </c>
      <c r="Q54" s="2">
        <f t="shared" si="6"/>
        <v>5.3999999999999994E-3</v>
      </c>
      <c r="R54" s="2">
        <f t="shared" si="7"/>
        <v>0.17999999999999997</v>
      </c>
      <c r="S54" s="2">
        <f t="shared" si="16"/>
        <v>0.89999999999999969</v>
      </c>
      <c r="T54" s="2">
        <f t="shared" si="9"/>
        <v>1.7999999999999994</v>
      </c>
      <c r="U54" s="2">
        <f t="shared" si="17"/>
        <v>2.6999999999999997</v>
      </c>
      <c r="V54" s="2">
        <f t="shared" si="18"/>
        <v>3.5999999999999988</v>
      </c>
      <c r="W54" s="2">
        <f t="shared" si="19"/>
        <v>4.4999999999999991</v>
      </c>
      <c r="X54" s="2">
        <f t="shared" si="20"/>
        <v>5.3999999999999995</v>
      </c>
      <c r="Y54" s="5" t="str">
        <f t="shared" ref="Y54:AE90" si="22">IF(R54&gt;1,"1","2")</f>
        <v>2</v>
      </c>
      <c r="Z54" s="5" t="str">
        <f t="shared" si="22"/>
        <v>2</v>
      </c>
      <c r="AA54" s="5" t="str">
        <f t="shared" si="22"/>
        <v>1</v>
      </c>
      <c r="AB54" s="5" t="str">
        <f t="shared" si="22"/>
        <v>1</v>
      </c>
      <c r="AC54" s="5" t="str">
        <f t="shared" si="22"/>
        <v>1</v>
      </c>
      <c r="AD54" s="5" t="str">
        <f t="shared" si="22"/>
        <v>1</v>
      </c>
      <c r="AE54" s="5" t="str">
        <f t="shared" si="22"/>
        <v>1</v>
      </c>
    </row>
    <row r="55" spans="1:31" ht="14.4" x14ac:dyDescent="0.3">
      <c r="A55" s="20">
        <v>52</v>
      </c>
      <c r="B55" s="24" t="s">
        <v>142</v>
      </c>
      <c r="C55" s="10">
        <v>38</v>
      </c>
      <c r="D55" s="10">
        <v>50</v>
      </c>
      <c r="E55" s="21">
        <v>365</v>
      </c>
      <c r="F55" s="26">
        <v>2.9999999999999997E-4</v>
      </c>
      <c r="G55" s="10">
        <v>900</v>
      </c>
      <c r="H55" s="12">
        <v>1E-3</v>
      </c>
      <c r="I55" s="21">
        <v>10950</v>
      </c>
      <c r="J55" s="22">
        <v>1</v>
      </c>
      <c r="K55" s="18">
        <f t="shared" si="0"/>
        <v>1.7999999999999996E-4</v>
      </c>
      <c r="L55" s="2">
        <f t="shared" si="21"/>
        <v>8.9999999999999976E-4</v>
      </c>
      <c r="M55" s="2">
        <f t="shared" si="2"/>
        <v>1.7999999999999995E-3</v>
      </c>
      <c r="N55" s="2">
        <f t="shared" si="3"/>
        <v>2.6999999999999997E-3</v>
      </c>
      <c r="O55" s="2">
        <f t="shared" si="4"/>
        <v>3.599999999999999E-3</v>
      </c>
      <c r="P55" s="2">
        <f t="shared" si="5"/>
        <v>4.4999999999999988E-3</v>
      </c>
      <c r="Q55" s="2">
        <f t="shared" si="6"/>
        <v>5.3999999999999994E-3</v>
      </c>
      <c r="R55" s="2">
        <f t="shared" si="7"/>
        <v>0.17999999999999997</v>
      </c>
      <c r="S55" s="2">
        <f t="shared" si="16"/>
        <v>0.89999999999999969</v>
      </c>
      <c r="T55" s="2">
        <f t="shared" si="9"/>
        <v>1.7999999999999994</v>
      </c>
      <c r="U55" s="2">
        <f t="shared" si="17"/>
        <v>2.6999999999999997</v>
      </c>
      <c r="V55" s="2">
        <f t="shared" si="18"/>
        <v>3.5999999999999988</v>
      </c>
      <c r="W55" s="2">
        <f t="shared" si="19"/>
        <v>4.4999999999999991</v>
      </c>
      <c r="X55" s="2">
        <f t="shared" si="20"/>
        <v>5.3999999999999995</v>
      </c>
      <c r="Y55" s="5" t="str">
        <f t="shared" si="22"/>
        <v>2</v>
      </c>
      <c r="Z55" s="5" t="str">
        <f t="shared" si="22"/>
        <v>2</v>
      </c>
      <c r="AA55" s="5" t="str">
        <f t="shared" si="22"/>
        <v>1</v>
      </c>
      <c r="AB55" s="5" t="str">
        <f t="shared" si="22"/>
        <v>1</v>
      </c>
      <c r="AC55" s="5" t="str">
        <f t="shared" si="22"/>
        <v>1</v>
      </c>
      <c r="AD55" s="5" t="str">
        <f t="shared" si="22"/>
        <v>1</v>
      </c>
      <c r="AE55" s="5" t="str">
        <f t="shared" si="22"/>
        <v>1</v>
      </c>
    </row>
    <row r="56" spans="1:31" ht="14.4" x14ac:dyDescent="0.3">
      <c r="A56" s="20">
        <v>53</v>
      </c>
      <c r="B56" s="24" t="s">
        <v>171</v>
      </c>
      <c r="C56" s="10">
        <v>39</v>
      </c>
      <c r="D56" s="10">
        <v>65</v>
      </c>
      <c r="E56" s="21">
        <v>365</v>
      </c>
      <c r="F56" s="26">
        <v>2.9999999999999997E-4</v>
      </c>
      <c r="G56" s="10">
        <v>1200</v>
      </c>
      <c r="H56" s="12">
        <v>1E-3</v>
      </c>
      <c r="I56" s="21">
        <v>10950</v>
      </c>
      <c r="J56" s="22">
        <v>12</v>
      </c>
      <c r="K56" s="18">
        <f t="shared" si="0"/>
        <v>2.2153846153846156E-3</v>
      </c>
      <c r="L56" s="2">
        <f t="shared" si="21"/>
        <v>9.2307692307692305E-4</v>
      </c>
      <c r="M56" s="2">
        <f t="shared" si="2"/>
        <v>1.8461538461538461E-3</v>
      </c>
      <c r="N56" s="2">
        <f t="shared" si="3"/>
        <v>2.7692307692307691E-3</v>
      </c>
      <c r="O56" s="2">
        <f t="shared" si="4"/>
        <v>3.6923076923076922E-3</v>
      </c>
      <c r="P56" s="2">
        <f t="shared" si="5"/>
        <v>4.6153846153846158E-3</v>
      </c>
      <c r="Q56" s="2">
        <f t="shared" si="6"/>
        <v>5.5384615384615381E-3</v>
      </c>
      <c r="R56" s="2">
        <f t="shared" si="7"/>
        <v>2.2153846153846155</v>
      </c>
      <c r="S56" s="2">
        <f t="shared" si="16"/>
        <v>0.92307692307692302</v>
      </c>
      <c r="T56" s="2">
        <f t="shared" si="9"/>
        <v>1.846153846153846</v>
      </c>
      <c r="U56" s="2">
        <f t="shared" si="17"/>
        <v>2.7692307692307692</v>
      </c>
      <c r="V56" s="2">
        <f t="shared" si="18"/>
        <v>3.6923076923076921</v>
      </c>
      <c r="W56" s="2">
        <f t="shared" si="19"/>
        <v>4.6153846153846159</v>
      </c>
      <c r="X56" s="2">
        <f t="shared" si="20"/>
        <v>5.5384615384615383</v>
      </c>
      <c r="Y56" s="5" t="str">
        <f t="shared" si="22"/>
        <v>1</v>
      </c>
      <c r="Z56" s="5" t="str">
        <f t="shared" si="22"/>
        <v>2</v>
      </c>
      <c r="AA56" s="5" t="str">
        <f t="shared" si="22"/>
        <v>1</v>
      </c>
      <c r="AB56" s="5" t="str">
        <f t="shared" si="22"/>
        <v>1</v>
      </c>
      <c r="AC56" s="5" t="str">
        <f t="shared" si="22"/>
        <v>1</v>
      </c>
      <c r="AD56" s="5" t="str">
        <f t="shared" si="22"/>
        <v>1</v>
      </c>
      <c r="AE56" s="5" t="str">
        <f t="shared" si="22"/>
        <v>1</v>
      </c>
    </row>
    <row r="57" spans="1:31" ht="14.4" x14ac:dyDescent="0.3">
      <c r="A57" s="20">
        <v>54</v>
      </c>
      <c r="B57" s="24" t="s">
        <v>172</v>
      </c>
      <c r="C57" s="10">
        <v>39</v>
      </c>
      <c r="D57" s="10">
        <v>83</v>
      </c>
      <c r="E57" s="21">
        <v>365</v>
      </c>
      <c r="F57" s="26">
        <v>2.9999999999999997E-4</v>
      </c>
      <c r="G57" s="10">
        <v>900</v>
      </c>
      <c r="H57" s="12">
        <v>1E-3</v>
      </c>
      <c r="I57" s="21">
        <v>10950</v>
      </c>
      <c r="J57" s="22">
        <v>39</v>
      </c>
      <c r="K57" s="18">
        <f t="shared" si="0"/>
        <v>4.2289156626506017E-3</v>
      </c>
      <c r="L57" s="2">
        <f t="shared" si="21"/>
        <v>5.4216867469879509E-4</v>
      </c>
      <c r="M57" s="2">
        <f t="shared" si="2"/>
        <v>1.0843373493975902E-3</v>
      </c>
      <c r="N57" s="2">
        <f t="shared" si="3"/>
        <v>1.6265060240963853E-3</v>
      </c>
      <c r="O57" s="2">
        <f t="shared" si="4"/>
        <v>2.1686746987951804E-3</v>
      </c>
      <c r="P57" s="2">
        <f t="shared" si="5"/>
        <v>2.7108433734939754E-3</v>
      </c>
      <c r="Q57" s="2">
        <f t="shared" si="6"/>
        <v>3.2530120481927705E-3</v>
      </c>
      <c r="R57" s="2">
        <f t="shared" si="7"/>
        <v>4.2289156626506017</v>
      </c>
      <c r="S57" s="2">
        <f t="shared" si="16"/>
        <v>0.54216867469879504</v>
      </c>
      <c r="T57" s="2">
        <f t="shared" si="9"/>
        <v>1.0843373493975901</v>
      </c>
      <c r="U57" s="2">
        <f t="shared" si="17"/>
        <v>1.6265060240963853</v>
      </c>
      <c r="V57" s="2">
        <f t="shared" si="18"/>
        <v>2.1686746987951802</v>
      </c>
      <c r="W57" s="2">
        <f t="shared" si="19"/>
        <v>2.7108433734939754</v>
      </c>
      <c r="X57" s="2">
        <f t="shared" si="20"/>
        <v>3.2530120481927707</v>
      </c>
      <c r="Y57" s="5" t="str">
        <f t="shared" si="22"/>
        <v>1</v>
      </c>
      <c r="Z57" s="5" t="str">
        <f t="shared" si="22"/>
        <v>2</v>
      </c>
      <c r="AA57" s="5" t="str">
        <f t="shared" si="22"/>
        <v>1</v>
      </c>
      <c r="AB57" s="5" t="str">
        <f t="shared" si="22"/>
        <v>1</v>
      </c>
      <c r="AC57" s="5" t="str">
        <f t="shared" si="22"/>
        <v>1</v>
      </c>
      <c r="AD57" s="5" t="str">
        <f t="shared" si="22"/>
        <v>1</v>
      </c>
      <c r="AE57" s="5" t="str">
        <f t="shared" si="22"/>
        <v>1</v>
      </c>
    </row>
    <row r="58" spans="1:31" ht="14.4" x14ac:dyDescent="0.3">
      <c r="A58" s="20">
        <v>55</v>
      </c>
      <c r="B58" s="24" t="s">
        <v>173</v>
      </c>
      <c r="C58" s="10">
        <v>39</v>
      </c>
      <c r="D58" s="10">
        <v>65</v>
      </c>
      <c r="E58" s="21">
        <v>365</v>
      </c>
      <c r="F58" s="26">
        <v>2.9999999999999997E-4</v>
      </c>
      <c r="G58" s="10">
        <v>900</v>
      </c>
      <c r="H58" s="12">
        <v>1E-3</v>
      </c>
      <c r="I58" s="21">
        <v>10950</v>
      </c>
      <c r="J58" s="22">
        <v>20</v>
      </c>
      <c r="K58" s="18">
        <f t="shared" si="0"/>
        <v>2.7692307692307686E-3</v>
      </c>
      <c r="L58" s="2">
        <f t="shared" si="21"/>
        <v>6.9230769230769216E-4</v>
      </c>
      <c r="M58" s="2">
        <f t="shared" si="2"/>
        <v>1.3846153846153843E-3</v>
      </c>
      <c r="N58" s="2">
        <f t="shared" si="3"/>
        <v>2.0769230769230765E-3</v>
      </c>
      <c r="O58" s="2">
        <f t="shared" si="4"/>
        <v>2.7692307692307686E-3</v>
      </c>
      <c r="P58" s="2">
        <f t="shared" si="5"/>
        <v>3.4615384615384608E-3</v>
      </c>
      <c r="Q58" s="2">
        <f t="shared" si="6"/>
        <v>4.1538461538461529E-3</v>
      </c>
      <c r="R58" s="2">
        <f t="shared" si="7"/>
        <v>2.7692307692307687</v>
      </c>
      <c r="S58" s="2">
        <f t="shared" si="16"/>
        <v>0.69230769230769218</v>
      </c>
      <c r="T58" s="2">
        <f t="shared" si="9"/>
        <v>1.3846153846153844</v>
      </c>
      <c r="U58" s="2">
        <f t="shared" si="17"/>
        <v>2.0769230769230762</v>
      </c>
      <c r="V58" s="2">
        <f t="shared" si="18"/>
        <v>2.7692307692307687</v>
      </c>
      <c r="W58" s="2">
        <f t="shared" si="19"/>
        <v>3.4615384615384608</v>
      </c>
      <c r="X58" s="2">
        <f t="shared" si="20"/>
        <v>4.1538461538461524</v>
      </c>
      <c r="Y58" s="5" t="str">
        <f t="shared" si="22"/>
        <v>1</v>
      </c>
      <c r="Z58" s="5" t="str">
        <f t="shared" si="22"/>
        <v>2</v>
      </c>
      <c r="AA58" s="5" t="str">
        <f t="shared" si="22"/>
        <v>1</v>
      </c>
      <c r="AB58" s="5" t="str">
        <f t="shared" si="22"/>
        <v>1</v>
      </c>
      <c r="AC58" s="5" t="str">
        <f t="shared" si="22"/>
        <v>1</v>
      </c>
      <c r="AD58" s="5" t="str">
        <f t="shared" si="22"/>
        <v>1</v>
      </c>
      <c r="AE58" s="5" t="str">
        <f t="shared" si="22"/>
        <v>1</v>
      </c>
    </row>
    <row r="59" spans="1:31" ht="14.4" x14ac:dyDescent="0.3">
      <c r="A59" s="20">
        <v>56</v>
      </c>
      <c r="B59" s="24" t="s">
        <v>174</v>
      </c>
      <c r="C59" s="10">
        <v>39</v>
      </c>
      <c r="D59" s="10">
        <v>53</v>
      </c>
      <c r="E59" s="21">
        <v>365</v>
      </c>
      <c r="F59" s="26">
        <v>2.9999999999999997E-4</v>
      </c>
      <c r="G59" s="10">
        <v>900</v>
      </c>
      <c r="H59" s="12">
        <v>1E-3</v>
      </c>
      <c r="I59" s="21">
        <v>10950</v>
      </c>
      <c r="J59" s="22">
        <v>4</v>
      </c>
      <c r="K59" s="18">
        <f t="shared" si="0"/>
        <v>6.7924528301886776E-4</v>
      </c>
      <c r="L59" s="2">
        <f t="shared" si="21"/>
        <v>8.4905660377358467E-4</v>
      </c>
      <c r="M59" s="2">
        <f t="shared" si="2"/>
        <v>1.6981132075471693E-3</v>
      </c>
      <c r="N59" s="2">
        <f t="shared" si="3"/>
        <v>2.5471698113207542E-3</v>
      </c>
      <c r="O59" s="2">
        <f t="shared" si="4"/>
        <v>3.3962264150943387E-3</v>
      </c>
      <c r="P59" s="2">
        <f t="shared" si="5"/>
        <v>4.2452830188679236E-3</v>
      </c>
      <c r="Q59" s="2">
        <f t="shared" si="6"/>
        <v>5.0943396226415085E-3</v>
      </c>
      <c r="R59" s="2">
        <f t="shared" si="7"/>
        <v>0.67924528301886777</v>
      </c>
      <c r="S59" s="2">
        <f t="shared" si="16"/>
        <v>0.84905660377358461</v>
      </c>
      <c r="T59" s="2">
        <f t="shared" si="9"/>
        <v>1.6981132075471692</v>
      </c>
      <c r="U59" s="2">
        <f t="shared" si="17"/>
        <v>2.5471698113207544</v>
      </c>
      <c r="V59" s="2">
        <f t="shared" si="18"/>
        <v>3.3962264150943384</v>
      </c>
      <c r="W59" s="2">
        <f t="shared" si="19"/>
        <v>4.2452830188679238</v>
      </c>
      <c r="X59" s="2">
        <f t="shared" si="20"/>
        <v>5.0943396226415087</v>
      </c>
      <c r="Y59" s="5" t="str">
        <f t="shared" si="22"/>
        <v>2</v>
      </c>
      <c r="Z59" s="5" t="str">
        <f t="shared" si="22"/>
        <v>2</v>
      </c>
      <c r="AA59" s="5" t="str">
        <f t="shared" si="22"/>
        <v>1</v>
      </c>
      <c r="AB59" s="5" t="str">
        <f t="shared" si="22"/>
        <v>1</v>
      </c>
      <c r="AC59" s="5" t="str">
        <f t="shared" si="22"/>
        <v>1</v>
      </c>
      <c r="AD59" s="5" t="str">
        <f t="shared" si="22"/>
        <v>1</v>
      </c>
      <c r="AE59" s="5" t="str">
        <f t="shared" si="22"/>
        <v>1</v>
      </c>
    </row>
    <row r="60" spans="1:31" ht="14.4" x14ac:dyDescent="0.3">
      <c r="A60" s="20">
        <v>57</v>
      </c>
      <c r="B60" s="24" t="s">
        <v>146</v>
      </c>
      <c r="C60" s="10">
        <v>39</v>
      </c>
      <c r="D60" s="10">
        <v>83</v>
      </c>
      <c r="E60" s="21">
        <v>365</v>
      </c>
      <c r="F60" s="26">
        <v>2.9999999999999997E-4</v>
      </c>
      <c r="G60" s="10">
        <v>900</v>
      </c>
      <c r="H60" s="12">
        <v>1E-3</v>
      </c>
      <c r="I60" s="21">
        <v>10950</v>
      </c>
      <c r="J60" s="22">
        <v>39</v>
      </c>
      <c r="K60" s="18">
        <f t="shared" si="0"/>
        <v>4.2289156626506017E-3</v>
      </c>
      <c r="L60" s="2">
        <f t="shared" si="21"/>
        <v>5.4216867469879509E-4</v>
      </c>
      <c r="M60" s="2">
        <f t="shared" si="2"/>
        <v>1.0843373493975902E-3</v>
      </c>
      <c r="N60" s="2">
        <f t="shared" si="3"/>
        <v>1.6265060240963853E-3</v>
      </c>
      <c r="O60" s="2">
        <f t="shared" si="4"/>
        <v>2.1686746987951804E-3</v>
      </c>
      <c r="P60" s="2">
        <f t="shared" si="5"/>
        <v>2.7108433734939754E-3</v>
      </c>
      <c r="Q60" s="2">
        <f t="shared" si="6"/>
        <v>3.2530120481927705E-3</v>
      </c>
      <c r="R60" s="2">
        <f t="shared" si="7"/>
        <v>4.2289156626506017</v>
      </c>
      <c r="S60" s="2">
        <f t="shared" si="16"/>
        <v>0.54216867469879504</v>
      </c>
      <c r="T60" s="2">
        <f t="shared" si="9"/>
        <v>1.0843373493975901</v>
      </c>
      <c r="U60" s="2">
        <f t="shared" si="17"/>
        <v>1.6265060240963853</v>
      </c>
      <c r="V60" s="2">
        <f t="shared" si="18"/>
        <v>2.1686746987951802</v>
      </c>
      <c r="W60" s="2">
        <f t="shared" si="19"/>
        <v>2.7108433734939754</v>
      </c>
      <c r="X60" s="2">
        <f t="shared" si="20"/>
        <v>3.2530120481927707</v>
      </c>
      <c r="Y60" s="5" t="str">
        <f t="shared" si="22"/>
        <v>1</v>
      </c>
      <c r="Z60" s="5" t="str">
        <f t="shared" si="22"/>
        <v>2</v>
      </c>
      <c r="AA60" s="5" t="str">
        <f t="shared" si="22"/>
        <v>1</v>
      </c>
      <c r="AB60" s="5" t="str">
        <f t="shared" si="22"/>
        <v>1</v>
      </c>
      <c r="AC60" s="5" t="str">
        <f t="shared" si="22"/>
        <v>1</v>
      </c>
      <c r="AD60" s="5" t="str">
        <f t="shared" si="22"/>
        <v>1</v>
      </c>
      <c r="AE60" s="5" t="str">
        <f t="shared" si="22"/>
        <v>1</v>
      </c>
    </row>
    <row r="61" spans="1:31" ht="14.4" x14ac:dyDescent="0.3">
      <c r="A61" s="20">
        <v>58</v>
      </c>
      <c r="B61" s="24" t="s">
        <v>175</v>
      </c>
      <c r="C61" s="10">
        <v>40</v>
      </c>
      <c r="D61" s="10">
        <v>64</v>
      </c>
      <c r="E61" s="21">
        <v>365</v>
      </c>
      <c r="F61" s="26">
        <v>2.9999999999999997E-4</v>
      </c>
      <c r="G61" s="10">
        <v>900</v>
      </c>
      <c r="H61" s="12">
        <v>1E-3</v>
      </c>
      <c r="I61" s="21">
        <v>10950</v>
      </c>
      <c r="J61" s="22">
        <v>5</v>
      </c>
      <c r="K61" s="18">
        <f t="shared" si="0"/>
        <v>7.0312499999999987E-4</v>
      </c>
      <c r="L61" s="2">
        <f t="shared" si="21"/>
        <v>7.0312499999999987E-4</v>
      </c>
      <c r="M61" s="2">
        <f t="shared" si="2"/>
        <v>1.4062499999999997E-3</v>
      </c>
      <c r="N61" s="2">
        <f t="shared" si="3"/>
        <v>2.1093749999999997E-3</v>
      </c>
      <c r="O61" s="2">
        <f t="shared" si="4"/>
        <v>2.8124999999999995E-3</v>
      </c>
      <c r="P61" s="2">
        <f t="shared" si="5"/>
        <v>3.5156249999999992E-3</v>
      </c>
      <c r="Q61" s="2">
        <f t="shared" si="6"/>
        <v>4.2187499999999994E-3</v>
      </c>
      <c r="R61" s="2">
        <f t="shared" si="7"/>
        <v>0.70312499999999989</v>
      </c>
      <c r="S61" s="2">
        <f t="shared" si="16"/>
        <v>0.70312499999999989</v>
      </c>
      <c r="T61" s="2">
        <f t="shared" si="9"/>
        <v>1.4062499999999998</v>
      </c>
      <c r="U61" s="2">
        <f t="shared" si="17"/>
        <v>2.1093749999999996</v>
      </c>
      <c r="V61" s="2">
        <f t="shared" si="18"/>
        <v>2.8124999999999996</v>
      </c>
      <c r="W61" s="2">
        <f t="shared" si="19"/>
        <v>3.5156249999999991</v>
      </c>
      <c r="X61" s="2">
        <f t="shared" si="20"/>
        <v>4.2187499999999991</v>
      </c>
      <c r="Y61" s="5" t="str">
        <f t="shared" si="22"/>
        <v>2</v>
      </c>
      <c r="Z61" s="5" t="str">
        <f t="shared" si="22"/>
        <v>2</v>
      </c>
      <c r="AA61" s="5" t="str">
        <f t="shared" si="22"/>
        <v>1</v>
      </c>
      <c r="AB61" s="5" t="str">
        <f t="shared" si="22"/>
        <v>1</v>
      </c>
      <c r="AC61" s="5" t="str">
        <f t="shared" si="22"/>
        <v>1</v>
      </c>
      <c r="AD61" s="5" t="str">
        <f t="shared" si="22"/>
        <v>1</v>
      </c>
      <c r="AE61" s="5" t="str">
        <f t="shared" si="22"/>
        <v>1</v>
      </c>
    </row>
    <row r="62" spans="1:31" ht="14.4" x14ac:dyDescent="0.3">
      <c r="A62" s="20">
        <v>59</v>
      </c>
      <c r="B62" s="24" t="s">
        <v>176</v>
      </c>
      <c r="C62" s="10">
        <v>40</v>
      </c>
      <c r="D62" s="10">
        <v>57</v>
      </c>
      <c r="E62" s="21">
        <v>365</v>
      </c>
      <c r="F62" s="26">
        <v>2.9999999999999997E-4</v>
      </c>
      <c r="G62" s="10">
        <v>1500</v>
      </c>
      <c r="H62" s="12">
        <v>1E-3</v>
      </c>
      <c r="I62" s="21">
        <v>10950</v>
      </c>
      <c r="J62" s="22">
        <v>6</v>
      </c>
      <c r="K62" s="18">
        <f t="shared" si="0"/>
        <v>1.5789473684210522E-3</v>
      </c>
      <c r="L62" s="2">
        <f t="shared" si="21"/>
        <v>1.3157894736842103E-3</v>
      </c>
      <c r="M62" s="2">
        <f t="shared" si="2"/>
        <v>2.6315789473684206E-3</v>
      </c>
      <c r="N62" s="2">
        <f t="shared" si="3"/>
        <v>3.9473684210526308E-3</v>
      </c>
      <c r="O62" s="2">
        <f t="shared" si="4"/>
        <v>5.2631578947368411E-3</v>
      </c>
      <c r="P62" s="2">
        <f t="shared" si="5"/>
        <v>6.5789473684210514E-3</v>
      </c>
      <c r="Q62" s="2">
        <f t="shared" si="6"/>
        <v>7.8947368421052617E-3</v>
      </c>
      <c r="R62" s="2">
        <f t="shared" si="7"/>
        <v>1.5789473684210522</v>
      </c>
      <c r="S62" s="2">
        <f t="shared" si="16"/>
        <v>1.3157894736842102</v>
      </c>
      <c r="T62" s="2">
        <f t="shared" si="9"/>
        <v>2.6315789473684204</v>
      </c>
      <c r="U62" s="2">
        <f t="shared" si="17"/>
        <v>3.947368421052631</v>
      </c>
      <c r="V62" s="2">
        <f t="shared" si="18"/>
        <v>5.2631578947368407</v>
      </c>
      <c r="W62" s="2">
        <f t="shared" si="19"/>
        <v>6.5789473684210513</v>
      </c>
      <c r="X62" s="2">
        <f t="shared" si="20"/>
        <v>7.8947368421052619</v>
      </c>
      <c r="Y62" s="5" t="str">
        <f t="shared" si="22"/>
        <v>1</v>
      </c>
      <c r="Z62" s="5" t="str">
        <f t="shared" si="22"/>
        <v>1</v>
      </c>
      <c r="AA62" s="5" t="str">
        <f t="shared" si="22"/>
        <v>1</v>
      </c>
      <c r="AB62" s="5" t="str">
        <f t="shared" si="22"/>
        <v>1</v>
      </c>
      <c r="AC62" s="5" t="str">
        <f t="shared" si="22"/>
        <v>1</v>
      </c>
      <c r="AD62" s="5" t="str">
        <f t="shared" si="22"/>
        <v>1</v>
      </c>
      <c r="AE62" s="5" t="str">
        <f t="shared" si="22"/>
        <v>1</v>
      </c>
    </row>
    <row r="63" spans="1:31" ht="14.4" x14ac:dyDescent="0.3">
      <c r="A63" s="20">
        <v>60</v>
      </c>
      <c r="B63" s="24" t="s">
        <v>107</v>
      </c>
      <c r="C63" s="10">
        <v>40</v>
      </c>
      <c r="D63" s="10">
        <v>76</v>
      </c>
      <c r="E63" s="21">
        <v>365</v>
      </c>
      <c r="F63" s="26">
        <v>2.9999999999999997E-4</v>
      </c>
      <c r="G63" s="10">
        <v>3000</v>
      </c>
      <c r="H63" s="12">
        <v>1E-3</v>
      </c>
      <c r="I63" s="21">
        <v>10950</v>
      </c>
      <c r="J63" s="22">
        <v>1</v>
      </c>
      <c r="K63" s="18">
        <f t="shared" si="0"/>
        <v>3.9473684210526309E-4</v>
      </c>
      <c r="L63" s="2">
        <f t="shared" si="21"/>
        <v>1.9736842105263154E-3</v>
      </c>
      <c r="M63" s="2">
        <f t="shared" si="2"/>
        <v>3.9473684210526308E-3</v>
      </c>
      <c r="N63" s="2">
        <f t="shared" si="3"/>
        <v>5.9210526315789467E-3</v>
      </c>
      <c r="O63" s="2">
        <f t="shared" si="4"/>
        <v>7.8947368421052617E-3</v>
      </c>
      <c r="P63" s="2">
        <f t="shared" si="5"/>
        <v>9.8684210526315767E-3</v>
      </c>
      <c r="Q63" s="2">
        <f t="shared" si="6"/>
        <v>1.1842105263157893E-2</v>
      </c>
      <c r="R63" s="2">
        <f t="shared" si="7"/>
        <v>0.39473684210526311</v>
      </c>
      <c r="S63" s="2">
        <f t="shared" si="16"/>
        <v>1.9736842105263155</v>
      </c>
      <c r="T63" s="2">
        <f t="shared" si="9"/>
        <v>3.947368421052631</v>
      </c>
      <c r="U63" s="2">
        <f t="shared" si="17"/>
        <v>5.9210526315789469</v>
      </c>
      <c r="V63" s="2">
        <f t="shared" si="18"/>
        <v>7.8947368421052619</v>
      </c>
      <c r="W63" s="2">
        <f t="shared" si="19"/>
        <v>9.868421052631577</v>
      </c>
      <c r="X63" s="2">
        <f t="shared" si="20"/>
        <v>11.842105263157894</v>
      </c>
      <c r="Y63" s="5" t="str">
        <f t="shared" si="22"/>
        <v>2</v>
      </c>
      <c r="Z63" s="5" t="str">
        <f t="shared" si="22"/>
        <v>1</v>
      </c>
      <c r="AA63" s="5" t="str">
        <f t="shared" si="22"/>
        <v>1</v>
      </c>
      <c r="AB63" s="5" t="str">
        <f t="shared" si="22"/>
        <v>1</v>
      </c>
      <c r="AC63" s="5" t="str">
        <f t="shared" si="22"/>
        <v>1</v>
      </c>
      <c r="AD63" s="5" t="str">
        <f t="shared" si="22"/>
        <v>1</v>
      </c>
      <c r="AE63" s="5" t="str">
        <f t="shared" si="22"/>
        <v>1</v>
      </c>
    </row>
    <row r="64" spans="1:31" ht="14.4" x14ac:dyDescent="0.3">
      <c r="A64" s="20">
        <v>61</v>
      </c>
      <c r="B64" s="24" t="s">
        <v>147</v>
      </c>
      <c r="C64" s="10">
        <v>40</v>
      </c>
      <c r="D64" s="10">
        <v>64</v>
      </c>
      <c r="E64" s="21">
        <v>365</v>
      </c>
      <c r="F64" s="26">
        <v>2.9999999999999997E-4</v>
      </c>
      <c r="G64" s="10">
        <v>900</v>
      </c>
      <c r="H64" s="12">
        <v>1E-3</v>
      </c>
      <c r="I64" s="21">
        <v>10950</v>
      </c>
      <c r="J64" s="22">
        <v>5</v>
      </c>
      <c r="K64" s="18">
        <f t="shared" si="0"/>
        <v>7.0312499999999987E-4</v>
      </c>
      <c r="L64" s="2">
        <f t="shared" si="21"/>
        <v>7.0312499999999987E-4</v>
      </c>
      <c r="M64" s="2">
        <f t="shared" si="2"/>
        <v>1.4062499999999997E-3</v>
      </c>
      <c r="N64" s="2">
        <f t="shared" si="3"/>
        <v>2.1093749999999997E-3</v>
      </c>
      <c r="O64" s="2">
        <f t="shared" si="4"/>
        <v>2.8124999999999995E-3</v>
      </c>
      <c r="P64" s="2">
        <f t="shared" si="5"/>
        <v>3.5156249999999992E-3</v>
      </c>
      <c r="Q64" s="2">
        <f t="shared" si="6"/>
        <v>4.2187499999999994E-3</v>
      </c>
      <c r="R64" s="2">
        <f t="shared" si="7"/>
        <v>0.70312499999999989</v>
      </c>
      <c r="S64" s="2">
        <f t="shared" si="16"/>
        <v>0.70312499999999989</v>
      </c>
      <c r="T64" s="2">
        <f t="shared" si="9"/>
        <v>1.4062499999999998</v>
      </c>
      <c r="U64" s="2">
        <f t="shared" si="17"/>
        <v>2.1093749999999996</v>
      </c>
      <c r="V64" s="2">
        <f t="shared" si="18"/>
        <v>2.8124999999999996</v>
      </c>
      <c r="W64" s="2">
        <f t="shared" si="19"/>
        <v>3.5156249999999991</v>
      </c>
      <c r="X64" s="2">
        <f t="shared" si="20"/>
        <v>4.2187499999999991</v>
      </c>
      <c r="Y64" s="5" t="str">
        <f t="shared" si="22"/>
        <v>2</v>
      </c>
      <c r="Z64" s="5" t="str">
        <f t="shared" si="22"/>
        <v>2</v>
      </c>
      <c r="AA64" s="5" t="str">
        <f t="shared" si="22"/>
        <v>1</v>
      </c>
      <c r="AB64" s="5" t="str">
        <f t="shared" si="22"/>
        <v>1</v>
      </c>
      <c r="AC64" s="5" t="str">
        <f t="shared" si="22"/>
        <v>1</v>
      </c>
      <c r="AD64" s="5" t="str">
        <f t="shared" si="22"/>
        <v>1</v>
      </c>
      <c r="AE64" s="5" t="str">
        <f t="shared" si="22"/>
        <v>1</v>
      </c>
    </row>
    <row r="65" spans="1:31" ht="14.4" x14ac:dyDescent="0.3">
      <c r="A65" s="20">
        <v>62</v>
      </c>
      <c r="B65" s="24" t="s">
        <v>177</v>
      </c>
      <c r="C65" s="10">
        <v>41</v>
      </c>
      <c r="D65" s="10">
        <v>55</v>
      </c>
      <c r="E65" s="21">
        <v>365</v>
      </c>
      <c r="F65" s="26">
        <v>2.9999999999999997E-4</v>
      </c>
      <c r="G65" s="10">
        <v>2100</v>
      </c>
      <c r="H65" s="12">
        <v>1E-3</v>
      </c>
      <c r="I65" s="21">
        <v>10950</v>
      </c>
      <c r="J65" s="22">
        <v>6</v>
      </c>
      <c r="K65" s="18">
        <f t="shared" si="0"/>
        <v>2.2909090909090904E-3</v>
      </c>
      <c r="L65" s="2">
        <f t="shared" si="21"/>
        <v>1.9090909090909087E-3</v>
      </c>
      <c r="M65" s="2">
        <f t="shared" si="2"/>
        <v>3.8181818181818174E-3</v>
      </c>
      <c r="N65" s="2">
        <f t="shared" si="3"/>
        <v>5.7272727272727267E-3</v>
      </c>
      <c r="O65" s="2">
        <f t="shared" si="4"/>
        <v>7.6363636363636347E-3</v>
      </c>
      <c r="P65" s="2">
        <f t="shared" si="5"/>
        <v>9.5454545454545445E-3</v>
      </c>
      <c r="Q65" s="2">
        <f t="shared" si="6"/>
        <v>1.1454545454545453E-2</v>
      </c>
      <c r="R65" s="2">
        <f t="shared" si="7"/>
        <v>2.2909090909090906</v>
      </c>
      <c r="S65" s="2">
        <f t="shared" si="16"/>
        <v>1.9090909090909087</v>
      </c>
      <c r="T65" s="2">
        <f t="shared" si="9"/>
        <v>3.8181818181818175</v>
      </c>
      <c r="U65" s="2">
        <f t="shared" si="17"/>
        <v>5.7272727272727266</v>
      </c>
      <c r="V65" s="2">
        <f t="shared" si="18"/>
        <v>7.6363636363636349</v>
      </c>
      <c r="W65" s="2">
        <f t="shared" si="19"/>
        <v>9.545454545454545</v>
      </c>
      <c r="X65" s="2">
        <f t="shared" si="20"/>
        <v>11.454545454545453</v>
      </c>
      <c r="Y65" s="5" t="str">
        <f t="shared" si="22"/>
        <v>1</v>
      </c>
      <c r="Z65" s="5" t="str">
        <f t="shared" si="22"/>
        <v>1</v>
      </c>
      <c r="AA65" s="5" t="str">
        <f t="shared" si="22"/>
        <v>1</v>
      </c>
      <c r="AB65" s="5" t="str">
        <f t="shared" si="22"/>
        <v>1</v>
      </c>
      <c r="AC65" s="5" t="str">
        <f t="shared" si="22"/>
        <v>1</v>
      </c>
      <c r="AD65" s="5" t="str">
        <f t="shared" si="22"/>
        <v>1</v>
      </c>
      <c r="AE65" s="5" t="str">
        <f t="shared" si="22"/>
        <v>1</v>
      </c>
    </row>
    <row r="66" spans="1:31" ht="14.4" x14ac:dyDescent="0.3">
      <c r="A66" s="20">
        <v>63</v>
      </c>
      <c r="B66" s="24" t="s">
        <v>126</v>
      </c>
      <c r="C66" s="10">
        <v>41</v>
      </c>
      <c r="D66" s="10">
        <v>55</v>
      </c>
      <c r="E66" s="21">
        <v>365</v>
      </c>
      <c r="F66" s="26">
        <v>2.9999999999999997E-4</v>
      </c>
      <c r="G66" s="10">
        <v>2100</v>
      </c>
      <c r="H66" s="12">
        <v>1E-3</v>
      </c>
      <c r="I66" s="21">
        <v>10950</v>
      </c>
      <c r="J66" s="22">
        <v>6</v>
      </c>
      <c r="K66" s="18">
        <f t="shared" si="0"/>
        <v>2.2909090909090904E-3</v>
      </c>
      <c r="L66" s="2">
        <f t="shared" si="21"/>
        <v>1.9090909090909087E-3</v>
      </c>
      <c r="M66" s="2">
        <f t="shared" si="2"/>
        <v>3.8181818181818174E-3</v>
      </c>
      <c r="N66" s="2">
        <f t="shared" si="3"/>
        <v>5.7272727272727267E-3</v>
      </c>
      <c r="O66" s="2">
        <f t="shared" si="4"/>
        <v>7.6363636363636347E-3</v>
      </c>
      <c r="P66" s="2">
        <f t="shared" si="5"/>
        <v>9.5454545454545445E-3</v>
      </c>
      <c r="Q66" s="2">
        <f t="shared" si="6"/>
        <v>1.1454545454545453E-2</v>
      </c>
      <c r="R66" s="2">
        <f t="shared" si="7"/>
        <v>2.2909090909090906</v>
      </c>
      <c r="S66" s="2">
        <f t="shared" si="16"/>
        <v>1.9090909090909087</v>
      </c>
      <c r="T66" s="2">
        <f t="shared" si="9"/>
        <v>3.8181818181818175</v>
      </c>
      <c r="U66" s="2">
        <f t="shared" si="17"/>
        <v>5.7272727272727266</v>
      </c>
      <c r="V66" s="2">
        <f t="shared" si="18"/>
        <v>7.6363636363636349</v>
      </c>
      <c r="W66" s="2">
        <f t="shared" si="19"/>
        <v>9.545454545454545</v>
      </c>
      <c r="X66" s="2">
        <f t="shared" si="20"/>
        <v>11.454545454545453</v>
      </c>
      <c r="Y66" s="5" t="str">
        <f t="shared" si="22"/>
        <v>1</v>
      </c>
      <c r="Z66" s="5" t="str">
        <f t="shared" si="22"/>
        <v>1</v>
      </c>
      <c r="AA66" s="5" t="str">
        <f t="shared" si="22"/>
        <v>1</v>
      </c>
      <c r="AB66" s="5" t="str">
        <f t="shared" si="22"/>
        <v>1</v>
      </c>
      <c r="AC66" s="5" t="str">
        <f t="shared" si="22"/>
        <v>1</v>
      </c>
      <c r="AD66" s="5" t="str">
        <f t="shared" si="22"/>
        <v>1</v>
      </c>
      <c r="AE66" s="5" t="str">
        <f t="shared" si="22"/>
        <v>1</v>
      </c>
    </row>
    <row r="67" spans="1:31" ht="14.4" x14ac:dyDescent="0.3">
      <c r="A67" s="20">
        <v>64</v>
      </c>
      <c r="B67" s="24" t="s">
        <v>178</v>
      </c>
      <c r="C67" s="10">
        <v>42</v>
      </c>
      <c r="D67" s="10">
        <v>78</v>
      </c>
      <c r="E67" s="21">
        <v>365</v>
      </c>
      <c r="F67" s="26">
        <v>2.9999999999999997E-4</v>
      </c>
      <c r="G67" s="10">
        <v>1500</v>
      </c>
      <c r="H67" s="12">
        <v>1E-3</v>
      </c>
      <c r="I67" s="21">
        <v>10950</v>
      </c>
      <c r="J67" s="22">
        <v>26</v>
      </c>
      <c r="K67" s="18">
        <f t="shared" si="0"/>
        <v>4.9999999999999992E-3</v>
      </c>
      <c r="L67" s="2">
        <f t="shared" si="21"/>
        <v>9.6153846153846137E-4</v>
      </c>
      <c r="M67" s="2">
        <f t="shared" si="2"/>
        <v>1.9230769230769227E-3</v>
      </c>
      <c r="N67" s="2">
        <f t="shared" si="3"/>
        <v>2.8846153846153839E-3</v>
      </c>
      <c r="O67" s="2">
        <f t="shared" si="4"/>
        <v>3.8461538461538455E-3</v>
      </c>
      <c r="P67" s="2">
        <f t="shared" si="5"/>
        <v>4.8076923076923062E-3</v>
      </c>
      <c r="Q67" s="2">
        <f t="shared" si="6"/>
        <v>5.7692307692307678E-3</v>
      </c>
      <c r="R67" s="2">
        <f t="shared" si="7"/>
        <v>4.9999999999999991</v>
      </c>
      <c r="S67" s="2">
        <f t="shared" si="16"/>
        <v>0.96153846153846134</v>
      </c>
      <c r="T67" s="2">
        <f t="shared" si="9"/>
        <v>1.9230769230769227</v>
      </c>
      <c r="U67" s="2">
        <f t="shared" si="17"/>
        <v>2.8846153846153837</v>
      </c>
      <c r="V67" s="2">
        <f t="shared" si="18"/>
        <v>3.8461538461538454</v>
      </c>
      <c r="W67" s="2">
        <f t="shared" si="19"/>
        <v>4.8076923076923057</v>
      </c>
      <c r="X67" s="2">
        <f t="shared" si="20"/>
        <v>5.7692307692307674</v>
      </c>
      <c r="Y67" s="5" t="str">
        <f t="shared" si="22"/>
        <v>1</v>
      </c>
      <c r="Z67" s="5" t="str">
        <f t="shared" si="22"/>
        <v>2</v>
      </c>
      <c r="AA67" s="5" t="str">
        <f t="shared" si="22"/>
        <v>1</v>
      </c>
      <c r="AB67" s="5" t="str">
        <f t="shared" si="22"/>
        <v>1</v>
      </c>
      <c r="AC67" s="5" t="str">
        <f t="shared" si="22"/>
        <v>1</v>
      </c>
      <c r="AD67" s="5" t="str">
        <f t="shared" si="22"/>
        <v>1</v>
      </c>
      <c r="AE67" s="5" t="str">
        <f t="shared" si="22"/>
        <v>1</v>
      </c>
    </row>
    <row r="68" spans="1:31" ht="14.4" x14ac:dyDescent="0.3">
      <c r="A68" s="20">
        <v>65</v>
      </c>
      <c r="B68" s="24" t="s">
        <v>144</v>
      </c>
      <c r="C68" s="10">
        <v>42</v>
      </c>
      <c r="D68" s="10">
        <v>80</v>
      </c>
      <c r="E68" s="21">
        <v>365</v>
      </c>
      <c r="F68" s="26">
        <v>2.9999999999999997E-4</v>
      </c>
      <c r="G68" s="10">
        <v>900</v>
      </c>
      <c r="H68" s="12">
        <v>1E-3</v>
      </c>
      <c r="I68" s="21">
        <v>10950</v>
      </c>
      <c r="J68" s="22">
        <v>20</v>
      </c>
      <c r="K68" s="18">
        <f t="shared" ref="K68:K103" si="23">(F68*G68*E68*J68)/(D68*I68)</f>
        <v>2.2499999999999994E-3</v>
      </c>
      <c r="L68" s="2">
        <f t="shared" si="21"/>
        <v>5.6249999999999985E-4</v>
      </c>
      <c r="M68" s="2">
        <f t="shared" ref="M68:M103" si="24">(F68*G68*E68*10)/(D68*I68)</f>
        <v>1.1249999999999997E-3</v>
      </c>
      <c r="N68" s="2">
        <f t="shared" ref="N68:N103" si="25">(F68*G68*E68*15)/(D68*I68)</f>
        <v>1.6874999999999998E-3</v>
      </c>
      <c r="O68" s="2">
        <f t="shared" ref="O68:O103" si="26">(F68*G68*E68*20)/(D68*I68)</f>
        <v>2.2499999999999994E-3</v>
      </c>
      <c r="P68" s="2">
        <f t="shared" ref="P68:P103" si="27">(F68*G68*E68*25)/(D68*I68)</f>
        <v>2.8124999999999995E-3</v>
      </c>
      <c r="Q68" s="2">
        <f t="shared" ref="Q68:Q103" si="28">(F68*G68*E68*30)/(D68*I68)</f>
        <v>3.3749999999999995E-3</v>
      </c>
      <c r="R68" s="2">
        <f t="shared" ref="R68:R103" si="29">K68/H68</f>
        <v>2.2499999999999996</v>
      </c>
      <c r="S68" s="2">
        <f t="shared" si="16"/>
        <v>0.56249999999999989</v>
      </c>
      <c r="T68" s="2">
        <f t="shared" ref="T68:T103" si="30">M68/H68</f>
        <v>1.1249999999999998</v>
      </c>
      <c r="U68" s="2">
        <f t="shared" si="17"/>
        <v>1.6874999999999998</v>
      </c>
      <c r="V68" s="2">
        <f t="shared" si="18"/>
        <v>2.2499999999999996</v>
      </c>
      <c r="W68" s="2">
        <f t="shared" si="19"/>
        <v>2.8124999999999996</v>
      </c>
      <c r="X68" s="2">
        <f t="shared" si="20"/>
        <v>3.3749999999999996</v>
      </c>
      <c r="Y68" s="5" t="str">
        <f t="shared" si="22"/>
        <v>1</v>
      </c>
      <c r="Z68" s="5" t="str">
        <f t="shared" si="22"/>
        <v>2</v>
      </c>
      <c r="AA68" s="5" t="str">
        <f t="shared" si="22"/>
        <v>1</v>
      </c>
      <c r="AB68" s="5" t="str">
        <f t="shared" si="22"/>
        <v>1</v>
      </c>
      <c r="AC68" s="5" t="str">
        <f t="shared" si="22"/>
        <v>1</v>
      </c>
      <c r="AD68" s="5" t="str">
        <f t="shared" si="22"/>
        <v>1</v>
      </c>
      <c r="AE68" s="5" t="str">
        <f t="shared" si="22"/>
        <v>1</v>
      </c>
    </row>
    <row r="69" spans="1:31" ht="14.4" x14ac:dyDescent="0.3">
      <c r="A69" s="20">
        <v>66</v>
      </c>
      <c r="B69" s="24" t="s">
        <v>179</v>
      </c>
      <c r="C69" s="10">
        <v>42</v>
      </c>
      <c r="D69" s="10">
        <v>49</v>
      </c>
      <c r="E69" s="21">
        <v>365</v>
      </c>
      <c r="F69" s="26">
        <v>2.9999999999999997E-4</v>
      </c>
      <c r="G69" s="10">
        <v>900</v>
      </c>
      <c r="H69" s="12">
        <v>1E-3</v>
      </c>
      <c r="I69" s="21">
        <v>10950</v>
      </c>
      <c r="J69" s="22">
        <v>1</v>
      </c>
      <c r="K69" s="18">
        <f t="shared" si="23"/>
        <v>1.8367346938775507E-4</v>
      </c>
      <c r="L69" s="2">
        <f t="shared" si="21"/>
        <v>9.1836734693877525E-4</v>
      </c>
      <c r="M69" s="2">
        <f t="shared" si="24"/>
        <v>1.8367346938775505E-3</v>
      </c>
      <c r="N69" s="2">
        <f t="shared" si="25"/>
        <v>2.7551020408163262E-3</v>
      </c>
      <c r="O69" s="2">
        <f t="shared" si="26"/>
        <v>3.673469387755101E-3</v>
      </c>
      <c r="P69" s="2">
        <f t="shared" si="27"/>
        <v>4.5918367346938771E-3</v>
      </c>
      <c r="Q69" s="2">
        <f t="shared" si="28"/>
        <v>5.5102040816326523E-3</v>
      </c>
      <c r="R69" s="2">
        <f t="shared" si="29"/>
        <v>0.18367346938775506</v>
      </c>
      <c r="S69" s="2">
        <f t="shared" si="16"/>
        <v>0.9183673469387752</v>
      </c>
      <c r="T69" s="2">
        <f t="shared" si="30"/>
        <v>1.8367346938775504</v>
      </c>
      <c r="U69" s="2">
        <f t="shared" si="17"/>
        <v>2.7551020408163263</v>
      </c>
      <c r="V69" s="2">
        <f t="shared" si="18"/>
        <v>3.6734693877551008</v>
      </c>
      <c r="W69" s="2">
        <f t="shared" si="19"/>
        <v>4.5918367346938771</v>
      </c>
      <c r="X69" s="2">
        <f t="shared" si="20"/>
        <v>5.5102040816326525</v>
      </c>
      <c r="Y69" s="5" t="str">
        <f t="shared" si="22"/>
        <v>2</v>
      </c>
      <c r="Z69" s="5" t="str">
        <f t="shared" si="22"/>
        <v>2</v>
      </c>
      <c r="AA69" s="5" t="str">
        <f t="shared" si="22"/>
        <v>1</v>
      </c>
      <c r="AB69" s="5" t="str">
        <f t="shared" si="22"/>
        <v>1</v>
      </c>
      <c r="AC69" s="5" t="str">
        <f t="shared" si="22"/>
        <v>1</v>
      </c>
      <c r="AD69" s="5" t="str">
        <f t="shared" si="22"/>
        <v>1</v>
      </c>
      <c r="AE69" s="5" t="str">
        <f t="shared" si="22"/>
        <v>1</v>
      </c>
    </row>
    <row r="70" spans="1:31" ht="14.4" x14ac:dyDescent="0.3">
      <c r="A70" s="20">
        <v>67</v>
      </c>
      <c r="B70" s="24" t="s">
        <v>112</v>
      </c>
      <c r="C70" s="10">
        <v>42</v>
      </c>
      <c r="D70" s="10">
        <v>78</v>
      </c>
      <c r="E70" s="21">
        <v>365</v>
      </c>
      <c r="F70" s="26">
        <v>2.9999999999999997E-4</v>
      </c>
      <c r="G70" s="10">
        <v>1500</v>
      </c>
      <c r="H70" s="12">
        <v>1E-3</v>
      </c>
      <c r="I70" s="21">
        <v>10950</v>
      </c>
      <c r="J70" s="22">
        <v>26</v>
      </c>
      <c r="K70" s="18">
        <f t="shared" si="23"/>
        <v>4.9999999999999992E-3</v>
      </c>
      <c r="L70" s="2">
        <f t="shared" si="21"/>
        <v>9.6153846153846137E-4</v>
      </c>
      <c r="M70" s="2">
        <f t="shared" si="24"/>
        <v>1.9230769230769227E-3</v>
      </c>
      <c r="N70" s="2">
        <f t="shared" si="25"/>
        <v>2.8846153846153839E-3</v>
      </c>
      <c r="O70" s="2">
        <f t="shared" si="26"/>
        <v>3.8461538461538455E-3</v>
      </c>
      <c r="P70" s="2">
        <f t="shared" si="27"/>
        <v>4.8076923076923062E-3</v>
      </c>
      <c r="Q70" s="2">
        <f t="shared" si="28"/>
        <v>5.7692307692307678E-3</v>
      </c>
      <c r="R70" s="2">
        <f t="shared" si="29"/>
        <v>4.9999999999999991</v>
      </c>
      <c r="S70" s="2">
        <f t="shared" si="16"/>
        <v>0.96153846153846134</v>
      </c>
      <c r="T70" s="2">
        <f t="shared" si="30"/>
        <v>1.9230769230769227</v>
      </c>
      <c r="U70" s="2">
        <f t="shared" si="17"/>
        <v>2.8846153846153837</v>
      </c>
      <c r="V70" s="2">
        <f t="shared" si="18"/>
        <v>3.8461538461538454</v>
      </c>
      <c r="W70" s="2">
        <f t="shared" si="19"/>
        <v>4.8076923076923057</v>
      </c>
      <c r="X70" s="2">
        <f t="shared" si="20"/>
        <v>5.7692307692307674</v>
      </c>
      <c r="Y70" s="5" t="str">
        <f t="shared" si="22"/>
        <v>1</v>
      </c>
      <c r="Z70" s="5" t="str">
        <f t="shared" si="22"/>
        <v>2</v>
      </c>
      <c r="AA70" s="5" t="str">
        <f t="shared" si="22"/>
        <v>1</v>
      </c>
      <c r="AB70" s="5" t="str">
        <f t="shared" si="22"/>
        <v>1</v>
      </c>
      <c r="AC70" s="5" t="str">
        <f t="shared" si="22"/>
        <v>1</v>
      </c>
      <c r="AD70" s="5" t="str">
        <f t="shared" si="22"/>
        <v>1</v>
      </c>
      <c r="AE70" s="5" t="str">
        <f t="shared" si="22"/>
        <v>1</v>
      </c>
    </row>
    <row r="71" spans="1:31" ht="14.4" x14ac:dyDescent="0.3">
      <c r="A71" s="20">
        <v>68</v>
      </c>
      <c r="B71" s="24" t="s">
        <v>144</v>
      </c>
      <c r="C71" s="10">
        <v>42</v>
      </c>
      <c r="D71" s="10">
        <v>80</v>
      </c>
      <c r="E71" s="21">
        <v>365</v>
      </c>
      <c r="F71" s="26">
        <v>2.9999999999999997E-4</v>
      </c>
      <c r="G71" s="10">
        <v>900</v>
      </c>
      <c r="H71" s="12">
        <v>1E-3</v>
      </c>
      <c r="I71" s="21">
        <v>10950</v>
      </c>
      <c r="J71" s="22">
        <v>20</v>
      </c>
      <c r="K71" s="18">
        <f t="shared" si="23"/>
        <v>2.2499999999999994E-3</v>
      </c>
      <c r="L71" s="2">
        <f t="shared" si="21"/>
        <v>5.6249999999999985E-4</v>
      </c>
      <c r="M71" s="2">
        <f t="shared" si="24"/>
        <v>1.1249999999999997E-3</v>
      </c>
      <c r="N71" s="2">
        <f t="shared" si="25"/>
        <v>1.6874999999999998E-3</v>
      </c>
      <c r="O71" s="2">
        <f t="shared" si="26"/>
        <v>2.2499999999999994E-3</v>
      </c>
      <c r="P71" s="2">
        <f t="shared" si="27"/>
        <v>2.8124999999999995E-3</v>
      </c>
      <c r="Q71" s="2">
        <f t="shared" si="28"/>
        <v>3.3749999999999995E-3</v>
      </c>
      <c r="R71" s="2">
        <f t="shared" si="29"/>
        <v>2.2499999999999996</v>
      </c>
      <c r="S71" s="2">
        <f t="shared" si="16"/>
        <v>0.56249999999999989</v>
      </c>
      <c r="T71" s="2">
        <f t="shared" si="30"/>
        <v>1.1249999999999998</v>
      </c>
      <c r="U71" s="2">
        <f t="shared" si="17"/>
        <v>1.6874999999999998</v>
      </c>
      <c r="V71" s="2">
        <f t="shared" si="18"/>
        <v>2.2499999999999996</v>
      </c>
      <c r="W71" s="2">
        <f t="shared" si="19"/>
        <v>2.8124999999999996</v>
      </c>
      <c r="X71" s="2">
        <f t="shared" si="20"/>
        <v>3.3749999999999996</v>
      </c>
      <c r="Y71" s="5" t="str">
        <f t="shared" si="22"/>
        <v>1</v>
      </c>
      <c r="Z71" s="5" t="str">
        <f t="shared" si="22"/>
        <v>2</v>
      </c>
      <c r="AA71" s="5" t="str">
        <f t="shared" si="22"/>
        <v>1</v>
      </c>
      <c r="AB71" s="5" t="str">
        <f t="shared" si="22"/>
        <v>1</v>
      </c>
      <c r="AC71" s="5" t="str">
        <f t="shared" si="22"/>
        <v>1</v>
      </c>
      <c r="AD71" s="5" t="str">
        <f t="shared" si="22"/>
        <v>1</v>
      </c>
      <c r="AE71" s="5" t="str">
        <f t="shared" si="22"/>
        <v>1</v>
      </c>
    </row>
    <row r="72" spans="1:31" ht="14.4" x14ac:dyDescent="0.3">
      <c r="A72" s="20">
        <v>69</v>
      </c>
      <c r="B72" s="24" t="s">
        <v>153</v>
      </c>
      <c r="C72" s="10">
        <v>42</v>
      </c>
      <c r="D72" s="10">
        <v>80</v>
      </c>
      <c r="E72" s="21">
        <v>365</v>
      </c>
      <c r="F72" s="26">
        <v>2.9999999999999997E-4</v>
      </c>
      <c r="G72" s="10">
        <v>900</v>
      </c>
      <c r="H72" s="12">
        <v>1E-3</v>
      </c>
      <c r="I72" s="21">
        <v>10950</v>
      </c>
      <c r="J72" s="22">
        <v>20</v>
      </c>
      <c r="K72" s="18">
        <f t="shared" si="23"/>
        <v>2.2499999999999994E-3</v>
      </c>
      <c r="L72" s="2">
        <f t="shared" si="21"/>
        <v>5.6249999999999985E-4</v>
      </c>
      <c r="M72" s="2">
        <f t="shared" si="24"/>
        <v>1.1249999999999997E-3</v>
      </c>
      <c r="N72" s="2">
        <f t="shared" si="25"/>
        <v>1.6874999999999998E-3</v>
      </c>
      <c r="O72" s="2">
        <f t="shared" si="26"/>
        <v>2.2499999999999994E-3</v>
      </c>
      <c r="P72" s="2">
        <f t="shared" si="27"/>
        <v>2.8124999999999995E-3</v>
      </c>
      <c r="Q72" s="2">
        <f t="shared" si="28"/>
        <v>3.3749999999999995E-3</v>
      </c>
      <c r="R72" s="2">
        <f t="shared" si="29"/>
        <v>2.2499999999999996</v>
      </c>
      <c r="S72" s="2">
        <f t="shared" si="16"/>
        <v>0.56249999999999989</v>
      </c>
      <c r="T72" s="2">
        <f t="shared" si="30"/>
        <v>1.1249999999999998</v>
      </c>
      <c r="U72" s="2">
        <f t="shared" si="17"/>
        <v>1.6874999999999998</v>
      </c>
      <c r="V72" s="2">
        <f t="shared" si="18"/>
        <v>2.2499999999999996</v>
      </c>
      <c r="W72" s="2">
        <f t="shared" si="19"/>
        <v>2.8124999999999996</v>
      </c>
      <c r="X72" s="2">
        <f t="shared" si="20"/>
        <v>3.3749999999999996</v>
      </c>
      <c r="Y72" s="5" t="str">
        <f t="shared" si="22"/>
        <v>1</v>
      </c>
      <c r="Z72" s="5" t="str">
        <f t="shared" si="22"/>
        <v>2</v>
      </c>
      <c r="AA72" s="5" t="str">
        <f t="shared" si="22"/>
        <v>1</v>
      </c>
      <c r="AB72" s="5" t="str">
        <f t="shared" si="22"/>
        <v>1</v>
      </c>
      <c r="AC72" s="5" t="str">
        <f t="shared" si="22"/>
        <v>1</v>
      </c>
      <c r="AD72" s="5" t="str">
        <f t="shared" si="22"/>
        <v>1</v>
      </c>
      <c r="AE72" s="5" t="str">
        <f t="shared" si="22"/>
        <v>1</v>
      </c>
    </row>
    <row r="73" spans="1:31" ht="14.4" x14ac:dyDescent="0.3">
      <c r="A73" s="20">
        <v>70</v>
      </c>
      <c r="B73" s="24" t="s">
        <v>180</v>
      </c>
      <c r="C73" s="10">
        <v>43</v>
      </c>
      <c r="D73" s="10">
        <v>41</v>
      </c>
      <c r="E73" s="21">
        <v>365</v>
      </c>
      <c r="F73" s="26">
        <v>2.9999999999999997E-4</v>
      </c>
      <c r="G73" s="10">
        <v>1500</v>
      </c>
      <c r="H73" s="12">
        <v>1E-3</v>
      </c>
      <c r="I73" s="21">
        <v>10950</v>
      </c>
      <c r="J73" s="22">
        <v>43</v>
      </c>
      <c r="K73" s="18">
        <f t="shared" si="23"/>
        <v>1.5731707317073167E-2</v>
      </c>
      <c r="L73" s="2">
        <f t="shared" si="21"/>
        <v>1.8292682926829265E-3</v>
      </c>
      <c r="M73" s="2">
        <f t="shared" si="24"/>
        <v>3.658536585365853E-3</v>
      </c>
      <c r="N73" s="2">
        <f t="shared" si="25"/>
        <v>5.4878048780487793E-3</v>
      </c>
      <c r="O73" s="2">
        <f t="shared" si="26"/>
        <v>7.317073170731706E-3</v>
      </c>
      <c r="P73" s="2">
        <f t="shared" si="27"/>
        <v>9.1463414634146319E-3</v>
      </c>
      <c r="Q73" s="2">
        <f t="shared" si="28"/>
        <v>1.0975609756097559E-2</v>
      </c>
      <c r="R73" s="2">
        <f t="shared" si="29"/>
        <v>15.731707317073168</v>
      </c>
      <c r="S73" s="2">
        <f t="shared" si="16"/>
        <v>1.8292682926829265</v>
      </c>
      <c r="T73" s="2">
        <f t="shared" si="30"/>
        <v>3.6585365853658529</v>
      </c>
      <c r="U73" s="2">
        <f t="shared" si="17"/>
        <v>5.4878048780487791</v>
      </c>
      <c r="V73" s="2">
        <f t="shared" si="18"/>
        <v>7.3170731707317058</v>
      </c>
      <c r="W73" s="2">
        <f t="shared" si="19"/>
        <v>9.1463414634146325</v>
      </c>
      <c r="X73" s="2">
        <f t="shared" si="20"/>
        <v>10.975609756097558</v>
      </c>
      <c r="Y73" s="5" t="str">
        <f t="shared" si="22"/>
        <v>1</v>
      </c>
      <c r="Z73" s="5" t="str">
        <f t="shared" si="22"/>
        <v>1</v>
      </c>
      <c r="AA73" s="5" t="str">
        <f t="shared" si="22"/>
        <v>1</v>
      </c>
      <c r="AB73" s="5" t="str">
        <f t="shared" si="22"/>
        <v>1</v>
      </c>
      <c r="AC73" s="5" t="str">
        <f t="shared" si="22"/>
        <v>1</v>
      </c>
      <c r="AD73" s="5" t="str">
        <f t="shared" si="22"/>
        <v>1</v>
      </c>
      <c r="AE73" s="5" t="str">
        <f t="shared" si="22"/>
        <v>1</v>
      </c>
    </row>
    <row r="74" spans="1:31" ht="14.4" x14ac:dyDescent="0.3">
      <c r="A74" s="20">
        <v>71</v>
      </c>
      <c r="B74" s="24" t="s">
        <v>115</v>
      </c>
      <c r="C74" s="10">
        <v>43</v>
      </c>
      <c r="D74" s="10">
        <v>41</v>
      </c>
      <c r="E74" s="21">
        <v>365</v>
      </c>
      <c r="F74" s="26">
        <v>2.9999999999999997E-4</v>
      </c>
      <c r="G74" s="10">
        <v>1500</v>
      </c>
      <c r="H74" s="12">
        <v>1E-3</v>
      </c>
      <c r="I74" s="21">
        <v>10950</v>
      </c>
      <c r="J74" s="22">
        <v>43</v>
      </c>
      <c r="K74" s="18">
        <f t="shared" si="23"/>
        <v>1.5731707317073167E-2</v>
      </c>
      <c r="L74" s="2">
        <f t="shared" si="21"/>
        <v>1.8292682926829265E-3</v>
      </c>
      <c r="M74" s="2">
        <f t="shared" si="24"/>
        <v>3.658536585365853E-3</v>
      </c>
      <c r="N74" s="2">
        <f t="shared" si="25"/>
        <v>5.4878048780487793E-3</v>
      </c>
      <c r="O74" s="2">
        <f t="shared" si="26"/>
        <v>7.317073170731706E-3</v>
      </c>
      <c r="P74" s="2">
        <f t="shared" si="27"/>
        <v>9.1463414634146319E-3</v>
      </c>
      <c r="Q74" s="2">
        <f t="shared" si="28"/>
        <v>1.0975609756097559E-2</v>
      </c>
      <c r="R74" s="2">
        <f t="shared" si="29"/>
        <v>15.731707317073168</v>
      </c>
      <c r="S74" s="2">
        <f t="shared" si="16"/>
        <v>1.8292682926829265</v>
      </c>
      <c r="T74" s="2">
        <f t="shared" si="30"/>
        <v>3.6585365853658529</v>
      </c>
      <c r="U74" s="2">
        <f t="shared" si="17"/>
        <v>5.4878048780487791</v>
      </c>
      <c r="V74" s="2">
        <f t="shared" si="18"/>
        <v>7.3170731707317058</v>
      </c>
      <c r="W74" s="2">
        <f t="shared" si="19"/>
        <v>9.1463414634146325</v>
      </c>
      <c r="X74" s="2">
        <f t="shared" si="20"/>
        <v>10.975609756097558</v>
      </c>
      <c r="Y74" s="5" t="str">
        <f t="shared" si="22"/>
        <v>1</v>
      </c>
      <c r="Z74" s="5" t="str">
        <f t="shared" si="22"/>
        <v>1</v>
      </c>
      <c r="AA74" s="5" t="str">
        <f t="shared" si="22"/>
        <v>1</v>
      </c>
      <c r="AB74" s="5" t="str">
        <f t="shared" si="22"/>
        <v>1</v>
      </c>
      <c r="AC74" s="5" t="str">
        <f t="shared" si="22"/>
        <v>1</v>
      </c>
      <c r="AD74" s="5" t="str">
        <f t="shared" si="22"/>
        <v>1</v>
      </c>
      <c r="AE74" s="5" t="str">
        <f t="shared" si="22"/>
        <v>1</v>
      </c>
    </row>
    <row r="75" spans="1:31" ht="14.4" x14ac:dyDescent="0.3">
      <c r="A75" s="20">
        <v>72</v>
      </c>
      <c r="B75" s="24" t="s">
        <v>133</v>
      </c>
      <c r="C75" s="10">
        <v>43</v>
      </c>
      <c r="D75" s="10">
        <v>41</v>
      </c>
      <c r="E75" s="21">
        <v>365</v>
      </c>
      <c r="F75" s="26">
        <v>2.9999999999999997E-4</v>
      </c>
      <c r="G75" s="10">
        <v>1500</v>
      </c>
      <c r="H75" s="12">
        <v>1E-3</v>
      </c>
      <c r="I75" s="21">
        <v>10950</v>
      </c>
      <c r="J75" s="22">
        <v>43</v>
      </c>
      <c r="K75" s="18">
        <f t="shared" si="23"/>
        <v>1.5731707317073167E-2</v>
      </c>
      <c r="L75" s="2">
        <f t="shared" si="21"/>
        <v>1.8292682926829265E-3</v>
      </c>
      <c r="M75" s="2">
        <f t="shared" si="24"/>
        <v>3.658536585365853E-3</v>
      </c>
      <c r="N75" s="2">
        <f t="shared" si="25"/>
        <v>5.4878048780487793E-3</v>
      </c>
      <c r="O75" s="2">
        <f t="shared" si="26"/>
        <v>7.317073170731706E-3</v>
      </c>
      <c r="P75" s="2">
        <f t="shared" si="27"/>
        <v>9.1463414634146319E-3</v>
      </c>
      <c r="Q75" s="2">
        <f t="shared" si="28"/>
        <v>1.0975609756097559E-2</v>
      </c>
      <c r="R75" s="2">
        <f t="shared" si="29"/>
        <v>15.731707317073168</v>
      </c>
      <c r="S75" s="2">
        <f t="shared" si="16"/>
        <v>1.8292682926829265</v>
      </c>
      <c r="T75" s="2">
        <f t="shared" si="30"/>
        <v>3.6585365853658529</v>
      </c>
      <c r="U75" s="2">
        <f t="shared" si="17"/>
        <v>5.4878048780487791</v>
      </c>
      <c r="V75" s="2">
        <f t="shared" si="18"/>
        <v>7.3170731707317058</v>
      </c>
      <c r="W75" s="2">
        <f t="shared" si="19"/>
        <v>9.1463414634146325</v>
      </c>
      <c r="X75" s="2">
        <f t="shared" si="20"/>
        <v>10.975609756097558</v>
      </c>
      <c r="Y75" s="5" t="str">
        <f t="shared" si="22"/>
        <v>1</v>
      </c>
      <c r="Z75" s="5" t="str">
        <f t="shared" si="22"/>
        <v>1</v>
      </c>
      <c r="AA75" s="5" t="str">
        <f t="shared" si="22"/>
        <v>1</v>
      </c>
      <c r="AB75" s="5" t="str">
        <f t="shared" si="22"/>
        <v>1</v>
      </c>
      <c r="AC75" s="5" t="str">
        <f t="shared" si="22"/>
        <v>1</v>
      </c>
      <c r="AD75" s="5" t="str">
        <f t="shared" si="22"/>
        <v>1</v>
      </c>
      <c r="AE75" s="5" t="str">
        <f t="shared" si="22"/>
        <v>1</v>
      </c>
    </row>
    <row r="76" spans="1:31" ht="14.4" x14ac:dyDescent="0.3">
      <c r="A76" s="20">
        <v>73</v>
      </c>
      <c r="B76" s="24" t="s">
        <v>135</v>
      </c>
      <c r="C76" s="10">
        <v>43</v>
      </c>
      <c r="D76" s="10">
        <v>41</v>
      </c>
      <c r="E76" s="21">
        <v>365</v>
      </c>
      <c r="F76" s="26">
        <v>2.9999999999999997E-4</v>
      </c>
      <c r="G76" s="10">
        <v>1500</v>
      </c>
      <c r="H76" s="12">
        <v>1E-3</v>
      </c>
      <c r="I76" s="21">
        <v>10950</v>
      </c>
      <c r="J76" s="22">
        <v>43</v>
      </c>
      <c r="K76" s="18">
        <f t="shared" si="23"/>
        <v>1.5731707317073167E-2</v>
      </c>
      <c r="L76" s="2">
        <f t="shared" si="21"/>
        <v>1.8292682926829265E-3</v>
      </c>
      <c r="M76" s="2">
        <f t="shared" si="24"/>
        <v>3.658536585365853E-3</v>
      </c>
      <c r="N76" s="2">
        <f t="shared" si="25"/>
        <v>5.4878048780487793E-3</v>
      </c>
      <c r="O76" s="2">
        <f t="shared" si="26"/>
        <v>7.317073170731706E-3</v>
      </c>
      <c r="P76" s="2">
        <f t="shared" si="27"/>
        <v>9.1463414634146319E-3</v>
      </c>
      <c r="Q76" s="2">
        <f t="shared" si="28"/>
        <v>1.0975609756097559E-2</v>
      </c>
      <c r="R76" s="2">
        <f t="shared" si="29"/>
        <v>15.731707317073168</v>
      </c>
      <c r="S76" s="2">
        <f t="shared" si="16"/>
        <v>1.8292682926829265</v>
      </c>
      <c r="T76" s="2">
        <f t="shared" si="30"/>
        <v>3.6585365853658529</v>
      </c>
      <c r="U76" s="2">
        <f t="shared" si="17"/>
        <v>5.4878048780487791</v>
      </c>
      <c r="V76" s="2">
        <f t="shared" si="18"/>
        <v>7.3170731707317058</v>
      </c>
      <c r="W76" s="2">
        <f t="shared" si="19"/>
        <v>9.1463414634146325</v>
      </c>
      <c r="X76" s="2">
        <f t="shared" si="20"/>
        <v>10.975609756097558</v>
      </c>
      <c r="Y76" s="5" t="str">
        <f t="shared" si="22"/>
        <v>1</v>
      </c>
      <c r="Z76" s="5" t="str">
        <f t="shared" si="22"/>
        <v>1</v>
      </c>
      <c r="AA76" s="5" t="str">
        <f t="shared" si="22"/>
        <v>1</v>
      </c>
      <c r="AB76" s="5" t="str">
        <f t="shared" si="22"/>
        <v>1</v>
      </c>
      <c r="AC76" s="5" t="str">
        <f t="shared" si="22"/>
        <v>1</v>
      </c>
      <c r="AD76" s="5" t="str">
        <f t="shared" si="22"/>
        <v>1</v>
      </c>
      <c r="AE76" s="5" t="str">
        <f t="shared" si="22"/>
        <v>1</v>
      </c>
    </row>
    <row r="77" spans="1:31" ht="14.4" x14ac:dyDescent="0.3">
      <c r="A77" s="20">
        <v>74</v>
      </c>
      <c r="B77" s="24" t="s">
        <v>156</v>
      </c>
      <c r="C77" s="10">
        <v>43</v>
      </c>
      <c r="D77" s="10">
        <v>41</v>
      </c>
      <c r="E77" s="21">
        <v>365</v>
      </c>
      <c r="F77" s="26">
        <v>2.9999999999999997E-4</v>
      </c>
      <c r="G77" s="10">
        <v>1500</v>
      </c>
      <c r="H77" s="12">
        <v>1E-3</v>
      </c>
      <c r="I77" s="21">
        <v>10950</v>
      </c>
      <c r="J77" s="22">
        <v>43</v>
      </c>
      <c r="K77" s="18">
        <f t="shared" si="23"/>
        <v>1.5731707317073167E-2</v>
      </c>
      <c r="L77" s="2">
        <f t="shared" si="21"/>
        <v>1.8292682926829265E-3</v>
      </c>
      <c r="M77" s="2">
        <f t="shared" si="24"/>
        <v>3.658536585365853E-3</v>
      </c>
      <c r="N77" s="2">
        <f t="shared" si="25"/>
        <v>5.4878048780487793E-3</v>
      </c>
      <c r="O77" s="2">
        <f t="shared" si="26"/>
        <v>7.317073170731706E-3</v>
      </c>
      <c r="P77" s="2">
        <f t="shared" si="27"/>
        <v>9.1463414634146319E-3</v>
      </c>
      <c r="Q77" s="2">
        <f t="shared" si="28"/>
        <v>1.0975609756097559E-2</v>
      </c>
      <c r="R77" s="2">
        <f t="shared" si="29"/>
        <v>15.731707317073168</v>
      </c>
      <c r="S77" s="2">
        <f t="shared" si="16"/>
        <v>1.8292682926829265</v>
      </c>
      <c r="T77" s="2">
        <f t="shared" si="30"/>
        <v>3.6585365853658529</v>
      </c>
      <c r="U77" s="2">
        <f t="shared" si="17"/>
        <v>5.4878048780487791</v>
      </c>
      <c r="V77" s="2">
        <f t="shared" si="18"/>
        <v>7.3170731707317058</v>
      </c>
      <c r="W77" s="2">
        <f t="shared" si="19"/>
        <v>9.1463414634146325</v>
      </c>
      <c r="X77" s="2">
        <f t="shared" si="20"/>
        <v>10.975609756097558</v>
      </c>
      <c r="Y77" s="5" t="str">
        <f t="shared" si="22"/>
        <v>1</v>
      </c>
      <c r="Z77" s="5" t="str">
        <f t="shared" si="22"/>
        <v>1</v>
      </c>
      <c r="AA77" s="5" t="str">
        <f t="shared" si="22"/>
        <v>1</v>
      </c>
      <c r="AB77" s="5" t="str">
        <f t="shared" si="22"/>
        <v>1</v>
      </c>
      <c r="AC77" s="5" t="str">
        <f t="shared" si="22"/>
        <v>1</v>
      </c>
      <c r="AD77" s="5" t="str">
        <f t="shared" si="22"/>
        <v>1</v>
      </c>
      <c r="AE77" s="5" t="str">
        <f t="shared" si="22"/>
        <v>1</v>
      </c>
    </row>
    <row r="78" spans="1:31" ht="14.4" x14ac:dyDescent="0.3">
      <c r="A78" s="20">
        <v>75</v>
      </c>
      <c r="B78" s="24" t="s">
        <v>108</v>
      </c>
      <c r="C78" s="10">
        <v>44</v>
      </c>
      <c r="D78" s="10">
        <v>81</v>
      </c>
      <c r="E78" s="21">
        <v>365</v>
      </c>
      <c r="F78" s="26">
        <v>2.9999999999999997E-4</v>
      </c>
      <c r="G78" s="10">
        <v>1500</v>
      </c>
      <c r="H78" s="12">
        <v>1E-3</v>
      </c>
      <c r="I78" s="21">
        <v>10950</v>
      </c>
      <c r="J78" s="22">
        <v>21</v>
      </c>
      <c r="K78" s="18">
        <f t="shared" si="23"/>
        <v>3.8888888888888883E-3</v>
      </c>
      <c r="L78" s="2">
        <f t="shared" si="21"/>
        <v>9.2592592592592574E-4</v>
      </c>
      <c r="M78" s="2">
        <f t="shared" si="24"/>
        <v>1.8518518518518515E-3</v>
      </c>
      <c r="N78" s="2">
        <f t="shared" si="25"/>
        <v>2.7777777777777775E-3</v>
      </c>
      <c r="O78" s="2">
        <f t="shared" si="26"/>
        <v>3.703703703703703E-3</v>
      </c>
      <c r="P78" s="2">
        <f t="shared" si="27"/>
        <v>4.6296296296296285E-3</v>
      </c>
      <c r="Q78" s="2">
        <f t="shared" si="28"/>
        <v>5.5555555555555549E-3</v>
      </c>
      <c r="R78" s="2">
        <f t="shared" si="29"/>
        <v>3.8888888888888884</v>
      </c>
      <c r="S78" s="2">
        <f t="shared" si="16"/>
        <v>0.92592592592592571</v>
      </c>
      <c r="T78" s="2">
        <f t="shared" si="30"/>
        <v>1.8518518518518514</v>
      </c>
      <c r="U78" s="2">
        <f t="shared" si="17"/>
        <v>2.7777777777777772</v>
      </c>
      <c r="V78" s="2">
        <f t="shared" si="18"/>
        <v>3.7037037037037028</v>
      </c>
      <c r="W78" s="2">
        <f t="shared" si="19"/>
        <v>4.629629629629628</v>
      </c>
      <c r="X78" s="2">
        <f t="shared" si="20"/>
        <v>5.5555555555555545</v>
      </c>
      <c r="Y78" s="5" t="str">
        <f t="shared" si="22"/>
        <v>1</v>
      </c>
      <c r="Z78" s="5" t="str">
        <f t="shared" si="22"/>
        <v>2</v>
      </c>
      <c r="AA78" s="5" t="str">
        <f t="shared" si="22"/>
        <v>1</v>
      </c>
      <c r="AB78" s="5" t="str">
        <f t="shared" si="22"/>
        <v>1</v>
      </c>
      <c r="AC78" s="5" t="str">
        <f t="shared" si="22"/>
        <v>1</v>
      </c>
      <c r="AD78" s="5" t="str">
        <f t="shared" si="22"/>
        <v>1</v>
      </c>
      <c r="AE78" s="5" t="str">
        <f t="shared" si="22"/>
        <v>1</v>
      </c>
    </row>
    <row r="79" spans="1:31" ht="14.4" x14ac:dyDescent="0.3">
      <c r="A79" s="20">
        <v>76</v>
      </c>
      <c r="B79" s="24" t="s">
        <v>181</v>
      </c>
      <c r="C79" s="10">
        <v>44</v>
      </c>
      <c r="D79" s="10">
        <v>58</v>
      </c>
      <c r="E79" s="21">
        <v>365</v>
      </c>
      <c r="F79" s="26">
        <v>2.9999999999999997E-4</v>
      </c>
      <c r="G79" s="10">
        <v>3000</v>
      </c>
      <c r="H79" s="12">
        <v>1E-3</v>
      </c>
      <c r="I79" s="21">
        <v>10950</v>
      </c>
      <c r="J79" s="22">
        <v>1</v>
      </c>
      <c r="K79" s="18">
        <f t="shared" si="23"/>
        <v>5.1724137931034473E-4</v>
      </c>
      <c r="L79" s="2">
        <f t="shared" si="21"/>
        <v>2.5862068965517237E-3</v>
      </c>
      <c r="M79" s="2">
        <f t="shared" si="24"/>
        <v>5.1724137931034473E-3</v>
      </c>
      <c r="N79" s="2">
        <f t="shared" si="25"/>
        <v>7.7586206896551706E-3</v>
      </c>
      <c r="O79" s="2">
        <f t="shared" si="26"/>
        <v>1.0344827586206895E-2</v>
      </c>
      <c r="P79" s="2">
        <f t="shared" si="27"/>
        <v>1.2931034482758617E-2</v>
      </c>
      <c r="Q79" s="2">
        <f t="shared" si="28"/>
        <v>1.5517241379310341E-2</v>
      </c>
      <c r="R79" s="2">
        <f t="shared" si="29"/>
        <v>0.51724137931034475</v>
      </c>
      <c r="S79" s="2">
        <f t="shared" si="16"/>
        <v>2.5862068965517238</v>
      </c>
      <c r="T79" s="2">
        <f t="shared" si="30"/>
        <v>5.1724137931034475</v>
      </c>
      <c r="U79" s="2">
        <f t="shared" si="17"/>
        <v>7.7586206896551708</v>
      </c>
      <c r="V79" s="2">
        <f t="shared" si="18"/>
        <v>10.344827586206895</v>
      </c>
      <c r="W79" s="2">
        <f t="shared" si="19"/>
        <v>12.931034482758617</v>
      </c>
      <c r="X79" s="2">
        <f t="shared" si="20"/>
        <v>15.517241379310342</v>
      </c>
      <c r="Y79" s="5" t="str">
        <f t="shared" si="22"/>
        <v>2</v>
      </c>
      <c r="Z79" s="5" t="str">
        <f t="shared" si="22"/>
        <v>1</v>
      </c>
      <c r="AA79" s="5" t="str">
        <f t="shared" si="22"/>
        <v>1</v>
      </c>
      <c r="AB79" s="5" t="str">
        <f t="shared" si="22"/>
        <v>1</v>
      </c>
      <c r="AC79" s="5" t="str">
        <f t="shared" si="22"/>
        <v>1</v>
      </c>
      <c r="AD79" s="5" t="str">
        <f t="shared" si="22"/>
        <v>1</v>
      </c>
      <c r="AE79" s="5" t="str">
        <f t="shared" si="22"/>
        <v>1</v>
      </c>
    </row>
    <row r="80" spans="1:31" ht="14.4" x14ac:dyDescent="0.3">
      <c r="A80" s="20">
        <v>77</v>
      </c>
      <c r="B80" s="24" t="s">
        <v>127</v>
      </c>
      <c r="C80" s="10">
        <v>44</v>
      </c>
      <c r="D80" s="10">
        <v>58</v>
      </c>
      <c r="E80" s="21">
        <v>365</v>
      </c>
      <c r="F80" s="26">
        <v>2.9999999999999997E-4</v>
      </c>
      <c r="G80" s="10">
        <v>3000</v>
      </c>
      <c r="H80" s="12">
        <v>1E-3</v>
      </c>
      <c r="I80" s="21">
        <v>10950</v>
      </c>
      <c r="J80" s="22">
        <v>1</v>
      </c>
      <c r="K80" s="18">
        <f t="shared" si="23"/>
        <v>5.1724137931034473E-4</v>
      </c>
      <c r="L80" s="2">
        <f t="shared" si="21"/>
        <v>2.5862068965517237E-3</v>
      </c>
      <c r="M80" s="2">
        <f t="shared" si="24"/>
        <v>5.1724137931034473E-3</v>
      </c>
      <c r="N80" s="2">
        <f t="shared" si="25"/>
        <v>7.7586206896551706E-3</v>
      </c>
      <c r="O80" s="2">
        <f t="shared" si="26"/>
        <v>1.0344827586206895E-2</v>
      </c>
      <c r="P80" s="2">
        <f t="shared" si="27"/>
        <v>1.2931034482758617E-2</v>
      </c>
      <c r="Q80" s="2">
        <f t="shared" si="28"/>
        <v>1.5517241379310341E-2</v>
      </c>
      <c r="R80" s="2">
        <f t="shared" si="29"/>
        <v>0.51724137931034475</v>
      </c>
      <c r="S80" s="2">
        <f t="shared" si="16"/>
        <v>2.5862068965517238</v>
      </c>
      <c r="T80" s="2">
        <f t="shared" si="30"/>
        <v>5.1724137931034475</v>
      </c>
      <c r="U80" s="2">
        <f t="shared" si="17"/>
        <v>7.7586206896551708</v>
      </c>
      <c r="V80" s="2">
        <f t="shared" si="18"/>
        <v>10.344827586206895</v>
      </c>
      <c r="W80" s="2">
        <f t="shared" si="19"/>
        <v>12.931034482758617</v>
      </c>
      <c r="X80" s="2">
        <f t="shared" si="20"/>
        <v>15.517241379310342</v>
      </c>
      <c r="Y80" s="5" t="str">
        <f t="shared" si="22"/>
        <v>2</v>
      </c>
      <c r="Z80" s="5" t="str">
        <f t="shared" si="22"/>
        <v>1</v>
      </c>
      <c r="AA80" s="5" t="str">
        <f t="shared" si="22"/>
        <v>1</v>
      </c>
      <c r="AB80" s="5" t="str">
        <f t="shared" si="22"/>
        <v>1</v>
      </c>
      <c r="AC80" s="5" t="str">
        <f t="shared" si="22"/>
        <v>1</v>
      </c>
      <c r="AD80" s="5" t="str">
        <f t="shared" si="22"/>
        <v>1</v>
      </c>
      <c r="AE80" s="5" t="str">
        <f t="shared" si="22"/>
        <v>1</v>
      </c>
    </row>
    <row r="81" spans="1:31" ht="14.4" x14ac:dyDescent="0.3">
      <c r="A81" s="20">
        <v>78</v>
      </c>
      <c r="B81" s="24" t="s">
        <v>132</v>
      </c>
      <c r="C81" s="10">
        <v>44</v>
      </c>
      <c r="D81" s="10">
        <v>81</v>
      </c>
      <c r="E81" s="21">
        <v>365</v>
      </c>
      <c r="F81" s="26">
        <v>2.9999999999999997E-4</v>
      </c>
      <c r="G81" s="10">
        <v>1500</v>
      </c>
      <c r="H81" s="12">
        <v>1E-3</v>
      </c>
      <c r="I81" s="21">
        <v>10950</v>
      </c>
      <c r="J81" s="22">
        <v>21</v>
      </c>
      <c r="K81" s="18">
        <f t="shared" si="23"/>
        <v>3.8888888888888883E-3</v>
      </c>
      <c r="L81" s="2">
        <f t="shared" si="21"/>
        <v>9.2592592592592574E-4</v>
      </c>
      <c r="M81" s="2">
        <f t="shared" si="24"/>
        <v>1.8518518518518515E-3</v>
      </c>
      <c r="N81" s="2">
        <f t="shared" si="25"/>
        <v>2.7777777777777775E-3</v>
      </c>
      <c r="O81" s="2">
        <f t="shared" si="26"/>
        <v>3.703703703703703E-3</v>
      </c>
      <c r="P81" s="2">
        <f t="shared" si="27"/>
        <v>4.6296296296296285E-3</v>
      </c>
      <c r="Q81" s="2">
        <f t="shared" si="28"/>
        <v>5.5555555555555549E-3</v>
      </c>
      <c r="R81" s="2">
        <f t="shared" si="29"/>
        <v>3.8888888888888884</v>
      </c>
      <c r="S81" s="2">
        <f t="shared" si="16"/>
        <v>0.92592592592592571</v>
      </c>
      <c r="T81" s="2">
        <f t="shared" si="30"/>
        <v>1.8518518518518514</v>
      </c>
      <c r="U81" s="2">
        <f t="shared" si="17"/>
        <v>2.7777777777777772</v>
      </c>
      <c r="V81" s="2">
        <f t="shared" si="18"/>
        <v>3.7037037037037028</v>
      </c>
      <c r="W81" s="2">
        <f t="shared" si="19"/>
        <v>4.629629629629628</v>
      </c>
      <c r="X81" s="2">
        <f t="shared" si="20"/>
        <v>5.5555555555555545</v>
      </c>
      <c r="Y81" s="5" t="str">
        <f t="shared" si="22"/>
        <v>1</v>
      </c>
      <c r="Z81" s="5" t="str">
        <f t="shared" si="22"/>
        <v>2</v>
      </c>
      <c r="AA81" s="5" t="str">
        <f t="shared" si="22"/>
        <v>1</v>
      </c>
      <c r="AB81" s="5" t="str">
        <f t="shared" si="22"/>
        <v>1</v>
      </c>
      <c r="AC81" s="5" t="str">
        <f t="shared" si="22"/>
        <v>1</v>
      </c>
      <c r="AD81" s="5" t="str">
        <f t="shared" si="22"/>
        <v>1</v>
      </c>
      <c r="AE81" s="5" t="str">
        <f t="shared" si="22"/>
        <v>1</v>
      </c>
    </row>
    <row r="82" spans="1:31" ht="14.4" x14ac:dyDescent="0.3">
      <c r="A82" s="20">
        <v>79</v>
      </c>
      <c r="B82" s="24" t="s">
        <v>182</v>
      </c>
      <c r="C82" s="10">
        <v>45</v>
      </c>
      <c r="D82" s="10">
        <v>42</v>
      </c>
      <c r="E82" s="21">
        <v>365</v>
      </c>
      <c r="F82" s="26">
        <v>2.9999999999999997E-4</v>
      </c>
      <c r="G82" s="10">
        <v>1800</v>
      </c>
      <c r="H82" s="12">
        <v>1E-3</v>
      </c>
      <c r="I82" s="21">
        <v>10950</v>
      </c>
      <c r="J82" s="22">
        <v>45</v>
      </c>
      <c r="K82" s="18">
        <f t="shared" si="23"/>
        <v>1.9285714285714281E-2</v>
      </c>
      <c r="L82" s="2">
        <f t="shared" si="21"/>
        <v>2.1428571428571425E-3</v>
      </c>
      <c r="M82" s="2">
        <f t="shared" si="24"/>
        <v>4.2857142857142851E-3</v>
      </c>
      <c r="N82" s="2">
        <f t="shared" si="25"/>
        <v>6.4285714285714276E-3</v>
      </c>
      <c r="O82" s="2">
        <f t="shared" si="26"/>
        <v>8.5714285714285701E-3</v>
      </c>
      <c r="P82" s="2">
        <f t="shared" si="27"/>
        <v>1.0714285714285713E-2</v>
      </c>
      <c r="Q82" s="2">
        <f t="shared" si="28"/>
        <v>1.2857142857142855E-2</v>
      </c>
      <c r="R82" s="2">
        <f t="shared" si="29"/>
        <v>19.285714285714281</v>
      </c>
      <c r="S82" s="2">
        <f t="shared" si="16"/>
        <v>2.1428571428571423</v>
      </c>
      <c r="T82" s="2">
        <f t="shared" si="30"/>
        <v>4.2857142857142847</v>
      </c>
      <c r="U82" s="2">
        <f t="shared" si="17"/>
        <v>6.428571428571427</v>
      </c>
      <c r="V82" s="2">
        <f t="shared" si="18"/>
        <v>8.5714285714285694</v>
      </c>
      <c r="W82" s="2">
        <f t="shared" si="19"/>
        <v>10.714285714285712</v>
      </c>
      <c r="X82" s="2">
        <f t="shared" si="20"/>
        <v>12.857142857142854</v>
      </c>
      <c r="Y82" s="5" t="str">
        <f t="shared" si="22"/>
        <v>1</v>
      </c>
      <c r="Z82" s="5" t="str">
        <f t="shared" si="22"/>
        <v>1</v>
      </c>
      <c r="AA82" s="5" t="str">
        <f t="shared" si="22"/>
        <v>1</v>
      </c>
      <c r="AB82" s="5" t="str">
        <f t="shared" si="22"/>
        <v>1</v>
      </c>
      <c r="AC82" s="5" t="str">
        <f t="shared" si="22"/>
        <v>1</v>
      </c>
      <c r="AD82" s="5" t="str">
        <f t="shared" si="22"/>
        <v>1</v>
      </c>
      <c r="AE82" s="5" t="str">
        <f t="shared" si="22"/>
        <v>1</v>
      </c>
    </row>
    <row r="83" spans="1:31" ht="14.4" x14ac:dyDescent="0.3">
      <c r="A83" s="20">
        <v>80</v>
      </c>
      <c r="B83" s="24" t="s">
        <v>183</v>
      </c>
      <c r="C83" s="10">
        <v>45</v>
      </c>
      <c r="D83" s="10">
        <v>50</v>
      </c>
      <c r="E83" s="21">
        <v>365</v>
      </c>
      <c r="F83" s="26">
        <v>2.9999999999999997E-4</v>
      </c>
      <c r="G83" s="10">
        <v>900</v>
      </c>
      <c r="H83" s="12">
        <v>1E-3</v>
      </c>
      <c r="I83" s="21">
        <v>10950</v>
      </c>
      <c r="J83" s="22">
        <v>1</v>
      </c>
      <c r="K83" s="18">
        <f t="shared" si="23"/>
        <v>1.7999999999999996E-4</v>
      </c>
      <c r="L83" s="2">
        <f t="shared" si="21"/>
        <v>8.9999999999999976E-4</v>
      </c>
      <c r="M83" s="2">
        <f t="shared" si="24"/>
        <v>1.7999999999999995E-3</v>
      </c>
      <c r="N83" s="2">
        <f t="shared" si="25"/>
        <v>2.6999999999999997E-3</v>
      </c>
      <c r="O83" s="2">
        <f t="shared" si="26"/>
        <v>3.599999999999999E-3</v>
      </c>
      <c r="P83" s="2">
        <f t="shared" si="27"/>
        <v>4.4999999999999988E-3</v>
      </c>
      <c r="Q83" s="2">
        <f t="shared" si="28"/>
        <v>5.3999999999999994E-3</v>
      </c>
      <c r="R83" s="2">
        <f t="shared" si="29"/>
        <v>0.17999999999999997</v>
      </c>
      <c r="S83" s="2">
        <f t="shared" si="16"/>
        <v>0.89999999999999969</v>
      </c>
      <c r="T83" s="2">
        <f t="shared" si="30"/>
        <v>1.7999999999999994</v>
      </c>
      <c r="U83" s="2">
        <f t="shared" si="17"/>
        <v>2.6999999999999997</v>
      </c>
      <c r="V83" s="2">
        <f t="shared" si="18"/>
        <v>3.5999999999999988</v>
      </c>
      <c r="W83" s="2">
        <f t="shared" si="19"/>
        <v>4.4999999999999991</v>
      </c>
      <c r="X83" s="2">
        <f t="shared" si="20"/>
        <v>5.3999999999999995</v>
      </c>
      <c r="Y83" s="5" t="str">
        <f t="shared" si="22"/>
        <v>2</v>
      </c>
      <c r="Z83" s="5" t="str">
        <f t="shared" si="22"/>
        <v>2</v>
      </c>
      <c r="AA83" s="5" t="str">
        <f t="shared" si="22"/>
        <v>1</v>
      </c>
      <c r="AB83" s="5" t="str">
        <f t="shared" si="22"/>
        <v>1</v>
      </c>
      <c r="AC83" s="5" t="str">
        <f t="shared" si="22"/>
        <v>1</v>
      </c>
      <c r="AD83" s="5" t="str">
        <f t="shared" si="22"/>
        <v>1</v>
      </c>
      <c r="AE83" s="5" t="str">
        <f t="shared" si="22"/>
        <v>1</v>
      </c>
    </row>
    <row r="84" spans="1:31" ht="14.4" x14ac:dyDescent="0.3">
      <c r="A84" s="20">
        <v>81</v>
      </c>
      <c r="B84" s="24" t="s">
        <v>123</v>
      </c>
      <c r="C84" s="10">
        <v>45</v>
      </c>
      <c r="D84" s="10">
        <v>42</v>
      </c>
      <c r="E84" s="21">
        <v>365</v>
      </c>
      <c r="F84" s="26">
        <v>2.9999999999999997E-4</v>
      </c>
      <c r="G84" s="10">
        <v>1800</v>
      </c>
      <c r="H84" s="12">
        <v>1E-3</v>
      </c>
      <c r="I84" s="21">
        <v>10950</v>
      </c>
      <c r="J84" s="22">
        <v>45</v>
      </c>
      <c r="K84" s="18">
        <f t="shared" si="23"/>
        <v>1.9285714285714281E-2</v>
      </c>
      <c r="L84" s="2">
        <f t="shared" si="21"/>
        <v>2.1428571428571425E-3</v>
      </c>
      <c r="M84" s="2">
        <f t="shared" si="24"/>
        <v>4.2857142857142851E-3</v>
      </c>
      <c r="N84" s="2">
        <f t="shared" si="25"/>
        <v>6.4285714285714276E-3</v>
      </c>
      <c r="O84" s="2">
        <f t="shared" si="26"/>
        <v>8.5714285714285701E-3</v>
      </c>
      <c r="P84" s="2">
        <f t="shared" si="27"/>
        <v>1.0714285714285713E-2</v>
      </c>
      <c r="Q84" s="2">
        <f t="shared" si="28"/>
        <v>1.2857142857142855E-2</v>
      </c>
      <c r="R84" s="2">
        <f t="shared" si="29"/>
        <v>19.285714285714281</v>
      </c>
      <c r="S84" s="2">
        <f t="shared" si="16"/>
        <v>2.1428571428571423</v>
      </c>
      <c r="T84" s="2">
        <f t="shared" si="30"/>
        <v>4.2857142857142847</v>
      </c>
      <c r="U84" s="2">
        <f t="shared" si="17"/>
        <v>6.428571428571427</v>
      </c>
      <c r="V84" s="2">
        <f t="shared" si="18"/>
        <v>8.5714285714285694</v>
      </c>
      <c r="W84" s="2">
        <f t="shared" si="19"/>
        <v>10.714285714285712</v>
      </c>
      <c r="X84" s="2">
        <f t="shared" si="20"/>
        <v>12.857142857142854</v>
      </c>
      <c r="Y84" s="5" t="str">
        <f t="shared" si="22"/>
        <v>1</v>
      </c>
      <c r="Z84" s="5" t="str">
        <f t="shared" si="22"/>
        <v>1</v>
      </c>
      <c r="AA84" s="5" t="str">
        <f t="shared" si="22"/>
        <v>1</v>
      </c>
      <c r="AB84" s="5" t="str">
        <f t="shared" si="22"/>
        <v>1</v>
      </c>
      <c r="AC84" s="5" t="str">
        <f t="shared" si="22"/>
        <v>1</v>
      </c>
      <c r="AD84" s="5" t="str">
        <f t="shared" si="22"/>
        <v>1</v>
      </c>
      <c r="AE84" s="5" t="str">
        <f t="shared" si="22"/>
        <v>1</v>
      </c>
    </row>
    <row r="85" spans="1:31" ht="14.4" x14ac:dyDescent="0.3">
      <c r="A85" s="20">
        <v>82</v>
      </c>
      <c r="B85" s="24" t="s">
        <v>140</v>
      </c>
      <c r="C85" s="10">
        <v>45</v>
      </c>
      <c r="D85" s="10">
        <v>50</v>
      </c>
      <c r="E85" s="21">
        <v>365</v>
      </c>
      <c r="F85" s="26">
        <v>2.9999999999999997E-4</v>
      </c>
      <c r="G85" s="10">
        <v>900</v>
      </c>
      <c r="H85" s="12">
        <v>1E-3</v>
      </c>
      <c r="I85" s="21">
        <v>10950</v>
      </c>
      <c r="J85" s="22">
        <v>1</v>
      </c>
      <c r="K85" s="18">
        <f t="shared" si="23"/>
        <v>1.7999999999999996E-4</v>
      </c>
      <c r="L85" s="2">
        <f t="shared" si="21"/>
        <v>8.9999999999999976E-4</v>
      </c>
      <c r="M85" s="2">
        <f t="shared" si="24"/>
        <v>1.7999999999999995E-3</v>
      </c>
      <c r="N85" s="2">
        <f t="shared" si="25"/>
        <v>2.6999999999999997E-3</v>
      </c>
      <c r="O85" s="2">
        <f t="shared" si="26"/>
        <v>3.599999999999999E-3</v>
      </c>
      <c r="P85" s="2">
        <f t="shared" si="27"/>
        <v>4.4999999999999988E-3</v>
      </c>
      <c r="Q85" s="2">
        <f t="shared" si="28"/>
        <v>5.3999999999999994E-3</v>
      </c>
      <c r="R85" s="2">
        <f t="shared" si="29"/>
        <v>0.17999999999999997</v>
      </c>
      <c r="S85" s="2">
        <f t="shared" si="16"/>
        <v>0.89999999999999969</v>
      </c>
      <c r="T85" s="2">
        <f t="shared" si="30"/>
        <v>1.7999999999999994</v>
      </c>
      <c r="U85" s="2">
        <f t="shared" si="17"/>
        <v>2.6999999999999997</v>
      </c>
      <c r="V85" s="2">
        <f t="shared" si="18"/>
        <v>3.5999999999999988</v>
      </c>
      <c r="W85" s="2">
        <f t="shared" si="19"/>
        <v>4.4999999999999991</v>
      </c>
      <c r="X85" s="2">
        <f t="shared" si="20"/>
        <v>5.3999999999999995</v>
      </c>
      <c r="Y85" s="5" t="str">
        <f t="shared" si="22"/>
        <v>2</v>
      </c>
      <c r="Z85" s="5" t="str">
        <f t="shared" si="22"/>
        <v>2</v>
      </c>
      <c r="AA85" s="5" t="str">
        <f t="shared" si="22"/>
        <v>1</v>
      </c>
      <c r="AB85" s="5" t="str">
        <f t="shared" si="22"/>
        <v>1</v>
      </c>
      <c r="AC85" s="5" t="str">
        <f t="shared" si="22"/>
        <v>1</v>
      </c>
      <c r="AD85" s="5" t="str">
        <f t="shared" si="22"/>
        <v>1</v>
      </c>
      <c r="AE85" s="5" t="str">
        <f t="shared" si="22"/>
        <v>1</v>
      </c>
    </row>
    <row r="86" spans="1:31" ht="14.4" x14ac:dyDescent="0.3">
      <c r="A86" s="20">
        <v>83</v>
      </c>
      <c r="B86" s="24" t="s">
        <v>150</v>
      </c>
      <c r="C86" s="10">
        <v>45</v>
      </c>
      <c r="D86" s="10">
        <v>50</v>
      </c>
      <c r="E86" s="21">
        <v>365</v>
      </c>
      <c r="F86" s="26">
        <v>2.9999999999999997E-4</v>
      </c>
      <c r="G86" s="10">
        <v>900</v>
      </c>
      <c r="H86" s="12">
        <v>1E-3</v>
      </c>
      <c r="I86" s="21">
        <v>10950</v>
      </c>
      <c r="J86" s="22">
        <v>1</v>
      </c>
      <c r="K86" s="18">
        <f t="shared" si="23"/>
        <v>1.7999999999999996E-4</v>
      </c>
      <c r="L86" s="2">
        <f t="shared" si="21"/>
        <v>8.9999999999999976E-4</v>
      </c>
      <c r="M86" s="2">
        <f t="shared" si="24"/>
        <v>1.7999999999999995E-3</v>
      </c>
      <c r="N86" s="2">
        <f t="shared" si="25"/>
        <v>2.6999999999999997E-3</v>
      </c>
      <c r="O86" s="2">
        <f t="shared" si="26"/>
        <v>3.599999999999999E-3</v>
      </c>
      <c r="P86" s="2">
        <f t="shared" si="27"/>
        <v>4.4999999999999988E-3</v>
      </c>
      <c r="Q86" s="2">
        <f t="shared" si="28"/>
        <v>5.3999999999999994E-3</v>
      </c>
      <c r="R86" s="2">
        <f t="shared" si="29"/>
        <v>0.17999999999999997</v>
      </c>
      <c r="S86" s="2">
        <f t="shared" si="16"/>
        <v>0.89999999999999969</v>
      </c>
      <c r="T86" s="2">
        <f t="shared" si="30"/>
        <v>1.7999999999999994</v>
      </c>
      <c r="U86" s="2">
        <f t="shared" si="17"/>
        <v>2.6999999999999997</v>
      </c>
      <c r="V86" s="2">
        <f t="shared" si="18"/>
        <v>3.5999999999999988</v>
      </c>
      <c r="W86" s="2">
        <f t="shared" si="19"/>
        <v>4.4999999999999991</v>
      </c>
      <c r="X86" s="2">
        <f t="shared" si="20"/>
        <v>5.3999999999999995</v>
      </c>
      <c r="Y86" s="5" t="str">
        <f t="shared" si="22"/>
        <v>2</v>
      </c>
      <c r="Z86" s="5" t="str">
        <f t="shared" si="22"/>
        <v>2</v>
      </c>
      <c r="AA86" s="5" t="str">
        <f t="shared" si="22"/>
        <v>1</v>
      </c>
      <c r="AB86" s="5" t="str">
        <f t="shared" si="22"/>
        <v>1</v>
      </c>
      <c r="AC86" s="5" t="str">
        <f t="shared" si="22"/>
        <v>1</v>
      </c>
      <c r="AD86" s="5" t="str">
        <f t="shared" si="22"/>
        <v>1</v>
      </c>
      <c r="AE86" s="5" t="str">
        <f t="shared" si="22"/>
        <v>1</v>
      </c>
    </row>
    <row r="87" spans="1:31" ht="14.4" x14ac:dyDescent="0.3">
      <c r="A87" s="20">
        <v>84</v>
      </c>
      <c r="B87" s="24" t="s">
        <v>184</v>
      </c>
      <c r="C87" s="10">
        <v>46</v>
      </c>
      <c r="D87" s="10">
        <v>54</v>
      </c>
      <c r="E87" s="21">
        <v>365</v>
      </c>
      <c r="F87" s="26">
        <v>2.9999999999999997E-4</v>
      </c>
      <c r="G87" s="10">
        <v>900</v>
      </c>
      <c r="H87" s="12">
        <v>1E-3</v>
      </c>
      <c r="I87" s="21">
        <v>10950</v>
      </c>
      <c r="J87" s="22">
        <v>10</v>
      </c>
      <c r="K87" s="18">
        <f t="shared" si="23"/>
        <v>1.6666666666666663E-3</v>
      </c>
      <c r="L87" s="2">
        <f t="shared" si="21"/>
        <v>8.3333333333333317E-4</v>
      </c>
      <c r="M87" s="2">
        <f t="shared" si="24"/>
        <v>1.6666666666666663E-3</v>
      </c>
      <c r="N87" s="2">
        <f t="shared" si="25"/>
        <v>2.4999999999999996E-3</v>
      </c>
      <c r="O87" s="2">
        <f t="shared" si="26"/>
        <v>3.3333333333333327E-3</v>
      </c>
      <c r="P87" s="2">
        <f t="shared" si="27"/>
        <v>4.1666666666666657E-3</v>
      </c>
      <c r="Q87" s="2">
        <f t="shared" si="28"/>
        <v>4.9999999999999992E-3</v>
      </c>
      <c r="R87" s="2">
        <f t="shared" si="29"/>
        <v>1.6666666666666663</v>
      </c>
      <c r="S87" s="2">
        <f t="shared" si="16"/>
        <v>0.83333333333333315</v>
      </c>
      <c r="T87" s="2">
        <f t="shared" si="30"/>
        <v>1.6666666666666663</v>
      </c>
      <c r="U87" s="2">
        <f t="shared" si="17"/>
        <v>2.4999999999999996</v>
      </c>
      <c r="V87" s="2">
        <f t="shared" si="18"/>
        <v>3.3333333333333326</v>
      </c>
      <c r="W87" s="2">
        <f t="shared" si="19"/>
        <v>4.1666666666666661</v>
      </c>
      <c r="X87" s="2">
        <f t="shared" si="20"/>
        <v>4.9999999999999991</v>
      </c>
      <c r="Y87" s="5" t="str">
        <f t="shared" si="22"/>
        <v>1</v>
      </c>
      <c r="Z87" s="5" t="str">
        <f t="shared" si="22"/>
        <v>2</v>
      </c>
      <c r="AA87" s="5" t="str">
        <f t="shared" si="22"/>
        <v>1</v>
      </c>
      <c r="AB87" s="5" t="str">
        <f t="shared" si="22"/>
        <v>1</v>
      </c>
      <c r="AC87" s="5" t="str">
        <f t="shared" si="22"/>
        <v>1</v>
      </c>
      <c r="AD87" s="5" t="str">
        <f t="shared" si="22"/>
        <v>1</v>
      </c>
      <c r="AE87" s="5" t="str">
        <f t="shared" si="22"/>
        <v>1</v>
      </c>
    </row>
    <row r="88" spans="1:31" ht="14.4" x14ac:dyDescent="0.3">
      <c r="A88" s="20">
        <v>85</v>
      </c>
      <c r="B88" s="24" t="s">
        <v>141</v>
      </c>
      <c r="C88" s="10">
        <v>46</v>
      </c>
      <c r="D88" s="10">
        <v>54</v>
      </c>
      <c r="E88" s="21">
        <v>365</v>
      </c>
      <c r="F88" s="26">
        <v>2.9999999999999997E-4</v>
      </c>
      <c r="G88" s="10">
        <v>900</v>
      </c>
      <c r="H88" s="12">
        <v>1E-3</v>
      </c>
      <c r="I88" s="21">
        <v>10950</v>
      </c>
      <c r="J88" s="22">
        <v>10</v>
      </c>
      <c r="K88" s="18">
        <f t="shared" si="23"/>
        <v>1.6666666666666663E-3</v>
      </c>
      <c r="L88" s="2">
        <f t="shared" si="21"/>
        <v>8.3333333333333317E-4</v>
      </c>
      <c r="M88" s="2">
        <f t="shared" si="24"/>
        <v>1.6666666666666663E-3</v>
      </c>
      <c r="N88" s="2">
        <f t="shared" si="25"/>
        <v>2.4999999999999996E-3</v>
      </c>
      <c r="O88" s="2">
        <f t="shared" si="26"/>
        <v>3.3333333333333327E-3</v>
      </c>
      <c r="P88" s="2">
        <f t="shared" si="27"/>
        <v>4.1666666666666657E-3</v>
      </c>
      <c r="Q88" s="2">
        <f t="shared" si="28"/>
        <v>4.9999999999999992E-3</v>
      </c>
      <c r="R88" s="2">
        <f t="shared" si="29"/>
        <v>1.6666666666666663</v>
      </c>
      <c r="S88" s="2">
        <f t="shared" si="16"/>
        <v>0.83333333333333315</v>
      </c>
      <c r="T88" s="2">
        <f t="shared" si="30"/>
        <v>1.6666666666666663</v>
      </c>
      <c r="U88" s="2">
        <f t="shared" si="17"/>
        <v>2.4999999999999996</v>
      </c>
      <c r="V88" s="2">
        <f t="shared" si="18"/>
        <v>3.3333333333333326</v>
      </c>
      <c r="W88" s="2">
        <f t="shared" si="19"/>
        <v>4.1666666666666661</v>
      </c>
      <c r="X88" s="2">
        <f t="shared" si="20"/>
        <v>4.9999999999999991</v>
      </c>
      <c r="Y88" s="5" t="str">
        <f t="shared" si="22"/>
        <v>1</v>
      </c>
      <c r="Z88" s="5" t="str">
        <f t="shared" si="22"/>
        <v>2</v>
      </c>
      <c r="AA88" s="5" t="str">
        <f t="shared" si="22"/>
        <v>1</v>
      </c>
      <c r="AB88" s="5" t="str">
        <f t="shared" si="22"/>
        <v>1</v>
      </c>
      <c r="AC88" s="5" t="str">
        <f t="shared" si="22"/>
        <v>1</v>
      </c>
      <c r="AD88" s="5" t="str">
        <f t="shared" si="22"/>
        <v>1</v>
      </c>
      <c r="AE88" s="5" t="str">
        <f t="shared" si="22"/>
        <v>1</v>
      </c>
    </row>
    <row r="89" spans="1:31" ht="14.4" x14ac:dyDescent="0.3">
      <c r="A89" s="20">
        <v>86</v>
      </c>
      <c r="B89" s="24" t="s">
        <v>151</v>
      </c>
      <c r="C89" s="10">
        <v>46</v>
      </c>
      <c r="D89" s="10">
        <v>54</v>
      </c>
      <c r="E89" s="21">
        <v>365</v>
      </c>
      <c r="F89" s="26">
        <v>2.9999999999999997E-4</v>
      </c>
      <c r="G89" s="10">
        <v>900</v>
      </c>
      <c r="H89" s="12">
        <v>1E-3</v>
      </c>
      <c r="I89" s="21">
        <v>10950</v>
      </c>
      <c r="J89" s="22">
        <v>10</v>
      </c>
      <c r="K89" s="18">
        <f t="shared" si="23"/>
        <v>1.6666666666666663E-3</v>
      </c>
      <c r="L89" s="2">
        <f t="shared" si="21"/>
        <v>8.3333333333333317E-4</v>
      </c>
      <c r="M89" s="2">
        <f t="shared" si="24"/>
        <v>1.6666666666666663E-3</v>
      </c>
      <c r="N89" s="2">
        <f t="shared" si="25"/>
        <v>2.4999999999999996E-3</v>
      </c>
      <c r="O89" s="2">
        <f t="shared" si="26"/>
        <v>3.3333333333333327E-3</v>
      </c>
      <c r="P89" s="2">
        <f t="shared" si="27"/>
        <v>4.1666666666666657E-3</v>
      </c>
      <c r="Q89" s="2">
        <f t="shared" si="28"/>
        <v>4.9999999999999992E-3</v>
      </c>
      <c r="R89" s="2">
        <f t="shared" si="29"/>
        <v>1.6666666666666663</v>
      </c>
      <c r="S89" s="2">
        <f t="shared" si="16"/>
        <v>0.83333333333333315</v>
      </c>
      <c r="T89" s="2">
        <f t="shared" si="30"/>
        <v>1.6666666666666663</v>
      </c>
      <c r="U89" s="2">
        <f t="shared" si="17"/>
        <v>2.4999999999999996</v>
      </c>
      <c r="V89" s="2">
        <f t="shared" si="18"/>
        <v>3.3333333333333326</v>
      </c>
      <c r="W89" s="2">
        <f t="shared" si="19"/>
        <v>4.1666666666666661</v>
      </c>
      <c r="X89" s="2">
        <f t="shared" si="20"/>
        <v>4.9999999999999991</v>
      </c>
      <c r="Y89" s="5" t="str">
        <f t="shared" si="22"/>
        <v>1</v>
      </c>
      <c r="Z89" s="5" t="str">
        <f t="shared" si="22"/>
        <v>2</v>
      </c>
      <c r="AA89" s="5" t="str">
        <f t="shared" si="22"/>
        <v>1</v>
      </c>
      <c r="AB89" s="5" t="str">
        <f t="shared" si="22"/>
        <v>1</v>
      </c>
      <c r="AC89" s="5" t="str">
        <f t="shared" si="22"/>
        <v>1</v>
      </c>
      <c r="AD89" s="5" t="str">
        <f t="shared" si="22"/>
        <v>1</v>
      </c>
      <c r="AE89" s="5" t="str">
        <f t="shared" si="22"/>
        <v>1</v>
      </c>
    </row>
    <row r="90" spans="1:31" ht="14.4" x14ac:dyDescent="0.3">
      <c r="A90" s="20">
        <v>87</v>
      </c>
      <c r="B90" s="24" t="s">
        <v>185</v>
      </c>
      <c r="C90" s="10">
        <v>47</v>
      </c>
      <c r="D90" s="10">
        <v>60</v>
      </c>
      <c r="E90" s="21">
        <v>365</v>
      </c>
      <c r="F90" s="26">
        <v>2.9999999999999997E-4</v>
      </c>
      <c r="G90" s="10">
        <v>900</v>
      </c>
      <c r="H90" s="12">
        <v>1E-3</v>
      </c>
      <c r="I90" s="21">
        <v>10950</v>
      </c>
      <c r="J90" s="22">
        <v>10</v>
      </c>
      <c r="K90" s="18">
        <f t="shared" si="23"/>
        <v>1.4999999999999996E-3</v>
      </c>
      <c r="L90" s="2">
        <f t="shared" si="21"/>
        <v>7.499999999999998E-4</v>
      </c>
      <c r="M90" s="2">
        <f t="shared" si="24"/>
        <v>1.4999999999999996E-3</v>
      </c>
      <c r="N90" s="2">
        <f t="shared" si="25"/>
        <v>2.2499999999999998E-3</v>
      </c>
      <c r="O90" s="2">
        <f t="shared" si="26"/>
        <v>2.9999999999999992E-3</v>
      </c>
      <c r="P90" s="2">
        <f t="shared" si="27"/>
        <v>3.7499999999999994E-3</v>
      </c>
      <c r="Q90" s="2">
        <f t="shared" si="28"/>
        <v>4.4999999999999997E-3</v>
      </c>
      <c r="R90" s="2">
        <f t="shared" si="29"/>
        <v>1.4999999999999996</v>
      </c>
      <c r="S90" s="2">
        <f t="shared" si="16"/>
        <v>0.74999999999999978</v>
      </c>
      <c r="T90" s="2">
        <f t="shared" si="30"/>
        <v>1.4999999999999996</v>
      </c>
      <c r="U90" s="2">
        <f t="shared" si="17"/>
        <v>2.25</v>
      </c>
      <c r="V90" s="2">
        <f t="shared" si="18"/>
        <v>2.9999999999999991</v>
      </c>
      <c r="W90" s="2">
        <f t="shared" si="19"/>
        <v>3.7499999999999996</v>
      </c>
      <c r="X90" s="2">
        <f t="shared" si="20"/>
        <v>4.5</v>
      </c>
      <c r="Y90" s="5" t="str">
        <f t="shared" si="22"/>
        <v>1</v>
      </c>
      <c r="Z90" s="5" t="str">
        <f t="shared" si="22"/>
        <v>2</v>
      </c>
      <c r="AA90" s="5" t="str">
        <f t="shared" si="22"/>
        <v>1</v>
      </c>
      <c r="AB90" s="5" t="str">
        <f t="shared" ref="AB90:AB103" si="31">IF(U90&gt;1,"1","2")</f>
        <v>1</v>
      </c>
      <c r="AC90" s="5" t="str">
        <f t="shared" ref="AC90:AC103" si="32">IF(V90&gt;1,"1","2")</f>
        <v>1</v>
      </c>
      <c r="AD90" s="5" t="str">
        <f t="shared" ref="AD90:AD103" si="33">IF(W90&gt;1,"1","2")</f>
        <v>1</v>
      </c>
      <c r="AE90" s="5" t="str">
        <f t="shared" ref="AE90:AE103" si="34">IF(X90&gt;1,"1","2")</f>
        <v>1</v>
      </c>
    </row>
    <row r="91" spans="1:31" ht="14.4" x14ac:dyDescent="0.3">
      <c r="A91" s="20">
        <v>88</v>
      </c>
      <c r="B91" s="24" t="s">
        <v>186</v>
      </c>
      <c r="C91" s="10">
        <v>49</v>
      </c>
      <c r="D91" s="10">
        <v>58</v>
      </c>
      <c r="E91" s="21">
        <v>365</v>
      </c>
      <c r="F91" s="26">
        <v>2.9999999999999997E-4</v>
      </c>
      <c r="G91" s="10">
        <v>900</v>
      </c>
      <c r="H91" s="12">
        <v>1E-3</v>
      </c>
      <c r="I91" s="21">
        <v>10950</v>
      </c>
      <c r="J91" s="22">
        <v>40</v>
      </c>
      <c r="K91" s="18">
        <f t="shared" si="23"/>
        <v>6.2068965517241368E-3</v>
      </c>
      <c r="L91" s="2">
        <f t="shared" si="21"/>
        <v>7.758620689655171E-4</v>
      </c>
      <c r="M91" s="2">
        <f t="shared" si="24"/>
        <v>1.5517241379310342E-3</v>
      </c>
      <c r="N91" s="2">
        <f t="shared" si="25"/>
        <v>2.3275862068965515E-3</v>
      </c>
      <c r="O91" s="2">
        <f t="shared" si="26"/>
        <v>3.1034482758620684E-3</v>
      </c>
      <c r="P91" s="2">
        <f t="shared" si="27"/>
        <v>3.8793103448275853E-3</v>
      </c>
      <c r="Q91" s="2">
        <f t="shared" si="28"/>
        <v>4.655172413793103E-3</v>
      </c>
      <c r="R91" s="2">
        <f t="shared" si="29"/>
        <v>6.206896551724137</v>
      </c>
      <c r="S91" s="2">
        <f t="shared" si="16"/>
        <v>0.77586206896551713</v>
      </c>
      <c r="T91" s="2">
        <f t="shared" si="30"/>
        <v>1.5517241379310343</v>
      </c>
      <c r="U91" s="2">
        <f t="shared" si="17"/>
        <v>2.3275862068965516</v>
      </c>
      <c r="V91" s="2">
        <f t="shared" si="18"/>
        <v>3.1034482758620685</v>
      </c>
      <c r="W91" s="2">
        <f t="shared" si="19"/>
        <v>3.8793103448275854</v>
      </c>
      <c r="X91" s="2">
        <f t="shared" si="20"/>
        <v>4.6551724137931032</v>
      </c>
      <c r="Y91" s="5" t="str">
        <f t="shared" ref="Y91:Y103" si="35">IF(R91&gt;1,"1","2")</f>
        <v>1</v>
      </c>
      <c r="Z91" s="5" t="str">
        <f t="shared" ref="Z91:Z103" si="36">IF(S91&gt;1,"1","2")</f>
        <v>2</v>
      </c>
      <c r="AA91" s="5" t="str">
        <f t="shared" ref="AA91:AA103" si="37">IF(T91&gt;1,"1","2")</f>
        <v>1</v>
      </c>
      <c r="AB91" s="5" t="str">
        <f t="shared" si="31"/>
        <v>1</v>
      </c>
      <c r="AC91" s="5" t="str">
        <f t="shared" si="32"/>
        <v>1</v>
      </c>
      <c r="AD91" s="5" t="str">
        <f t="shared" si="33"/>
        <v>1</v>
      </c>
      <c r="AE91" s="5" t="str">
        <f t="shared" si="34"/>
        <v>1</v>
      </c>
    </row>
    <row r="92" spans="1:31" ht="14.4" x14ac:dyDescent="0.3">
      <c r="A92" s="20">
        <v>89</v>
      </c>
      <c r="B92" s="24" t="s">
        <v>187</v>
      </c>
      <c r="C92" s="10">
        <v>52</v>
      </c>
      <c r="D92" s="10">
        <v>61</v>
      </c>
      <c r="E92" s="21">
        <v>365</v>
      </c>
      <c r="F92" s="26">
        <v>2.9999999999999997E-4</v>
      </c>
      <c r="G92" s="10">
        <v>900</v>
      </c>
      <c r="H92" s="12">
        <v>1E-3</v>
      </c>
      <c r="I92" s="21">
        <v>10950</v>
      </c>
      <c r="J92" s="22">
        <v>25</v>
      </c>
      <c r="K92" s="18">
        <f t="shared" si="23"/>
        <v>3.6885245901639337E-3</v>
      </c>
      <c r="L92" s="2">
        <f t="shared" si="21"/>
        <v>7.3770491803278667E-4</v>
      </c>
      <c r="M92" s="2">
        <f t="shared" si="24"/>
        <v>1.4754098360655733E-3</v>
      </c>
      <c r="N92" s="2">
        <f t="shared" si="25"/>
        <v>2.2131147540983601E-3</v>
      </c>
      <c r="O92" s="2">
        <f t="shared" si="26"/>
        <v>2.9508196721311467E-3</v>
      </c>
      <c r="P92" s="2">
        <f t="shared" si="27"/>
        <v>3.6885245901639337E-3</v>
      </c>
      <c r="Q92" s="2">
        <f t="shared" si="28"/>
        <v>4.4262295081967202E-3</v>
      </c>
      <c r="R92" s="2">
        <f t="shared" si="29"/>
        <v>3.6885245901639334</v>
      </c>
      <c r="S92" s="2">
        <f t="shared" si="16"/>
        <v>0.73770491803278671</v>
      </c>
      <c r="T92" s="2">
        <f t="shared" si="30"/>
        <v>1.4754098360655734</v>
      </c>
      <c r="U92" s="2">
        <f t="shared" si="17"/>
        <v>2.2131147540983602</v>
      </c>
      <c r="V92" s="2">
        <f t="shared" si="18"/>
        <v>2.9508196721311468</v>
      </c>
      <c r="W92" s="2">
        <f t="shared" si="19"/>
        <v>3.6885245901639334</v>
      </c>
      <c r="X92" s="2">
        <f t="shared" si="20"/>
        <v>4.4262295081967205</v>
      </c>
      <c r="Y92" s="5" t="str">
        <f t="shared" si="35"/>
        <v>1</v>
      </c>
      <c r="Z92" s="5" t="str">
        <f t="shared" si="36"/>
        <v>2</v>
      </c>
      <c r="AA92" s="5" t="str">
        <f t="shared" si="37"/>
        <v>1</v>
      </c>
      <c r="AB92" s="5" t="str">
        <f t="shared" si="31"/>
        <v>1</v>
      </c>
      <c r="AC92" s="5" t="str">
        <f t="shared" si="32"/>
        <v>1</v>
      </c>
      <c r="AD92" s="5" t="str">
        <f t="shared" si="33"/>
        <v>1</v>
      </c>
      <c r="AE92" s="5" t="str">
        <f t="shared" si="34"/>
        <v>1</v>
      </c>
    </row>
    <row r="93" spans="1:31" ht="14.4" x14ac:dyDescent="0.3">
      <c r="A93" s="20">
        <v>90</v>
      </c>
      <c r="B93" s="24" t="s">
        <v>122</v>
      </c>
      <c r="C93" s="10">
        <v>54</v>
      </c>
      <c r="D93" s="10">
        <v>57</v>
      </c>
      <c r="E93" s="21">
        <v>365</v>
      </c>
      <c r="F93" s="26">
        <v>2.9999999999999997E-4</v>
      </c>
      <c r="G93" s="10">
        <v>1200</v>
      </c>
      <c r="H93" s="12">
        <v>1E-3</v>
      </c>
      <c r="I93" s="21">
        <v>10950</v>
      </c>
      <c r="J93" s="22">
        <v>54</v>
      </c>
      <c r="K93" s="18">
        <f t="shared" si="23"/>
        <v>1.136842105263158E-2</v>
      </c>
      <c r="L93" s="2">
        <f t="shared" si="21"/>
        <v>1.0526315789473684E-3</v>
      </c>
      <c r="M93" s="2">
        <f t="shared" si="24"/>
        <v>2.1052631578947368E-3</v>
      </c>
      <c r="N93" s="2">
        <f t="shared" si="25"/>
        <v>3.1578947368421052E-3</v>
      </c>
      <c r="O93" s="2">
        <f t="shared" si="26"/>
        <v>4.2105263157894736E-3</v>
      </c>
      <c r="P93" s="2">
        <f t="shared" si="27"/>
        <v>5.263157894736842E-3</v>
      </c>
      <c r="Q93" s="2">
        <f t="shared" si="28"/>
        <v>6.3157894736842104E-3</v>
      </c>
      <c r="R93" s="2">
        <f t="shared" si="29"/>
        <v>11.368421052631579</v>
      </c>
      <c r="S93" s="2">
        <f t="shared" si="16"/>
        <v>1.0526315789473684</v>
      </c>
      <c r="T93" s="2">
        <f t="shared" si="30"/>
        <v>2.1052631578947367</v>
      </c>
      <c r="U93" s="2">
        <f t="shared" si="17"/>
        <v>3.1578947368421053</v>
      </c>
      <c r="V93" s="2">
        <f t="shared" si="18"/>
        <v>4.2105263157894735</v>
      </c>
      <c r="W93" s="2">
        <f t="shared" si="19"/>
        <v>5.2631578947368416</v>
      </c>
      <c r="X93" s="2">
        <f t="shared" si="20"/>
        <v>6.3157894736842106</v>
      </c>
      <c r="Y93" s="5" t="str">
        <f t="shared" si="35"/>
        <v>1</v>
      </c>
      <c r="Z93" s="5" t="str">
        <f t="shared" si="36"/>
        <v>1</v>
      </c>
      <c r="AA93" s="5" t="str">
        <f t="shared" si="37"/>
        <v>1</v>
      </c>
      <c r="AB93" s="5" t="str">
        <f t="shared" si="31"/>
        <v>1</v>
      </c>
      <c r="AC93" s="5" t="str">
        <f t="shared" si="32"/>
        <v>1</v>
      </c>
      <c r="AD93" s="5" t="str">
        <f t="shared" si="33"/>
        <v>1</v>
      </c>
      <c r="AE93" s="5" t="str">
        <f t="shared" si="34"/>
        <v>1</v>
      </c>
    </row>
    <row r="94" spans="1:31" ht="14.4" x14ac:dyDescent="0.3">
      <c r="A94" s="20">
        <v>91</v>
      </c>
      <c r="B94" s="24" t="s">
        <v>122</v>
      </c>
      <c r="C94" s="10">
        <v>54</v>
      </c>
      <c r="D94" s="10">
        <v>57</v>
      </c>
      <c r="E94" s="21">
        <v>365</v>
      </c>
      <c r="F94" s="26">
        <v>2.9999999999999997E-4</v>
      </c>
      <c r="G94" s="10">
        <v>1200</v>
      </c>
      <c r="H94" s="12">
        <v>1E-3</v>
      </c>
      <c r="I94" s="21">
        <v>10950</v>
      </c>
      <c r="J94" s="22">
        <v>54</v>
      </c>
      <c r="K94" s="18">
        <f t="shared" si="23"/>
        <v>1.136842105263158E-2</v>
      </c>
      <c r="L94" s="2">
        <f t="shared" si="21"/>
        <v>1.0526315789473684E-3</v>
      </c>
      <c r="M94" s="2">
        <f t="shared" si="24"/>
        <v>2.1052631578947368E-3</v>
      </c>
      <c r="N94" s="2">
        <f t="shared" si="25"/>
        <v>3.1578947368421052E-3</v>
      </c>
      <c r="O94" s="2">
        <f t="shared" si="26"/>
        <v>4.2105263157894736E-3</v>
      </c>
      <c r="P94" s="2">
        <f t="shared" si="27"/>
        <v>5.263157894736842E-3</v>
      </c>
      <c r="Q94" s="2">
        <f t="shared" si="28"/>
        <v>6.3157894736842104E-3</v>
      </c>
      <c r="R94" s="2">
        <f t="shared" si="29"/>
        <v>11.368421052631579</v>
      </c>
      <c r="S94" s="2">
        <f t="shared" si="16"/>
        <v>1.0526315789473684</v>
      </c>
      <c r="T94" s="2">
        <f t="shared" si="30"/>
        <v>2.1052631578947367</v>
      </c>
      <c r="U94" s="2">
        <f t="shared" si="17"/>
        <v>3.1578947368421053</v>
      </c>
      <c r="V94" s="2">
        <f t="shared" si="18"/>
        <v>4.2105263157894735</v>
      </c>
      <c r="W94" s="2">
        <f t="shared" si="19"/>
        <v>5.2631578947368416</v>
      </c>
      <c r="X94" s="2">
        <f t="shared" si="20"/>
        <v>6.3157894736842106</v>
      </c>
      <c r="Y94" s="5" t="str">
        <f t="shared" si="35"/>
        <v>1</v>
      </c>
      <c r="Z94" s="5" t="str">
        <f t="shared" si="36"/>
        <v>1</v>
      </c>
      <c r="AA94" s="5" t="str">
        <f t="shared" si="37"/>
        <v>1</v>
      </c>
      <c r="AB94" s="5" t="str">
        <f t="shared" si="31"/>
        <v>1</v>
      </c>
      <c r="AC94" s="5" t="str">
        <f t="shared" si="32"/>
        <v>1</v>
      </c>
      <c r="AD94" s="5" t="str">
        <f t="shared" si="33"/>
        <v>1</v>
      </c>
      <c r="AE94" s="5" t="str">
        <f t="shared" si="34"/>
        <v>1</v>
      </c>
    </row>
    <row r="95" spans="1:31" ht="14.4" x14ac:dyDescent="0.3">
      <c r="A95" s="20">
        <v>92</v>
      </c>
      <c r="B95" s="24" t="s">
        <v>188</v>
      </c>
      <c r="C95" s="10">
        <v>55</v>
      </c>
      <c r="D95" s="10">
        <v>70</v>
      </c>
      <c r="E95" s="21">
        <v>365</v>
      </c>
      <c r="F95" s="26">
        <v>2.9999999999999997E-4</v>
      </c>
      <c r="G95" s="10">
        <v>900</v>
      </c>
      <c r="H95" s="12">
        <v>1E-3</v>
      </c>
      <c r="I95" s="21">
        <v>10950</v>
      </c>
      <c r="J95" s="22">
        <v>10</v>
      </c>
      <c r="K95" s="18">
        <f t="shared" si="23"/>
        <v>1.2857142857142854E-3</v>
      </c>
      <c r="L95" s="2">
        <f t="shared" si="21"/>
        <v>6.4285714285714272E-4</v>
      </c>
      <c r="M95" s="2">
        <f t="shared" si="24"/>
        <v>1.2857142857142854E-3</v>
      </c>
      <c r="N95" s="2">
        <f t="shared" si="25"/>
        <v>1.9285714285714284E-3</v>
      </c>
      <c r="O95" s="2">
        <f t="shared" si="26"/>
        <v>2.5714285714285709E-3</v>
      </c>
      <c r="P95" s="2">
        <f t="shared" si="27"/>
        <v>3.2142857142857138E-3</v>
      </c>
      <c r="Q95" s="2">
        <f t="shared" si="28"/>
        <v>3.8571428571428567E-3</v>
      </c>
      <c r="R95" s="2">
        <f t="shared" si="29"/>
        <v>1.2857142857142854</v>
      </c>
      <c r="S95" s="2">
        <f t="shared" si="16"/>
        <v>0.64285714285714268</v>
      </c>
      <c r="T95" s="2">
        <f t="shared" si="30"/>
        <v>1.2857142857142854</v>
      </c>
      <c r="U95" s="2">
        <f t="shared" si="17"/>
        <v>1.9285714285714284</v>
      </c>
      <c r="V95" s="2">
        <f t="shared" si="18"/>
        <v>2.5714285714285707</v>
      </c>
      <c r="W95" s="2">
        <f t="shared" si="19"/>
        <v>3.2142857142857135</v>
      </c>
      <c r="X95" s="2">
        <f t="shared" si="20"/>
        <v>3.8571428571428568</v>
      </c>
      <c r="Y95" s="5" t="str">
        <f t="shared" si="35"/>
        <v>1</v>
      </c>
      <c r="Z95" s="5" t="str">
        <f t="shared" si="36"/>
        <v>2</v>
      </c>
      <c r="AA95" s="5" t="str">
        <f t="shared" si="37"/>
        <v>1</v>
      </c>
      <c r="AB95" s="5" t="str">
        <f t="shared" si="31"/>
        <v>1</v>
      </c>
      <c r="AC95" s="5" t="str">
        <f t="shared" si="32"/>
        <v>1</v>
      </c>
      <c r="AD95" s="5" t="str">
        <f t="shared" si="33"/>
        <v>1</v>
      </c>
      <c r="AE95" s="5" t="str">
        <f t="shared" si="34"/>
        <v>1</v>
      </c>
    </row>
    <row r="96" spans="1:31" ht="14.4" x14ac:dyDescent="0.3">
      <c r="A96" s="20">
        <v>93</v>
      </c>
      <c r="B96" s="24" t="s">
        <v>143</v>
      </c>
      <c r="C96" s="10">
        <v>55</v>
      </c>
      <c r="D96" s="10">
        <v>70</v>
      </c>
      <c r="E96" s="21">
        <v>365</v>
      </c>
      <c r="F96" s="26">
        <v>2.9999999999999997E-4</v>
      </c>
      <c r="G96" s="10">
        <v>900</v>
      </c>
      <c r="H96" s="12">
        <v>1E-3</v>
      </c>
      <c r="I96" s="21">
        <v>10950</v>
      </c>
      <c r="J96" s="22">
        <v>10</v>
      </c>
      <c r="K96" s="18">
        <f t="shared" si="23"/>
        <v>1.2857142857142854E-3</v>
      </c>
      <c r="L96" s="2">
        <f t="shared" si="21"/>
        <v>6.4285714285714272E-4</v>
      </c>
      <c r="M96" s="2">
        <f t="shared" si="24"/>
        <v>1.2857142857142854E-3</v>
      </c>
      <c r="N96" s="2">
        <f t="shared" si="25"/>
        <v>1.9285714285714284E-3</v>
      </c>
      <c r="O96" s="2">
        <f t="shared" si="26"/>
        <v>2.5714285714285709E-3</v>
      </c>
      <c r="P96" s="2">
        <f t="shared" si="27"/>
        <v>3.2142857142857138E-3</v>
      </c>
      <c r="Q96" s="2">
        <f t="shared" si="28"/>
        <v>3.8571428571428567E-3</v>
      </c>
      <c r="R96" s="2">
        <f t="shared" si="29"/>
        <v>1.2857142857142854</v>
      </c>
      <c r="S96" s="2">
        <f t="shared" si="16"/>
        <v>0.64285714285714268</v>
      </c>
      <c r="T96" s="2">
        <f t="shared" si="30"/>
        <v>1.2857142857142854</v>
      </c>
      <c r="U96" s="2">
        <f t="shared" si="17"/>
        <v>1.9285714285714284</v>
      </c>
      <c r="V96" s="2">
        <f t="shared" si="18"/>
        <v>2.5714285714285707</v>
      </c>
      <c r="W96" s="2">
        <f t="shared" si="19"/>
        <v>3.2142857142857135</v>
      </c>
      <c r="X96" s="2">
        <f t="shared" si="20"/>
        <v>3.8571428571428568</v>
      </c>
      <c r="Y96" s="5" t="str">
        <f t="shared" si="35"/>
        <v>1</v>
      </c>
      <c r="Z96" s="5" t="str">
        <f t="shared" si="36"/>
        <v>2</v>
      </c>
      <c r="AA96" s="5" t="str">
        <f t="shared" si="37"/>
        <v>1</v>
      </c>
      <c r="AB96" s="5" t="str">
        <f t="shared" si="31"/>
        <v>1</v>
      </c>
      <c r="AC96" s="5" t="str">
        <f t="shared" si="32"/>
        <v>1</v>
      </c>
      <c r="AD96" s="5" t="str">
        <f t="shared" si="33"/>
        <v>1</v>
      </c>
      <c r="AE96" s="5" t="str">
        <f t="shared" si="34"/>
        <v>1</v>
      </c>
    </row>
    <row r="97" spans="1:31" ht="14.4" x14ac:dyDescent="0.3">
      <c r="A97" s="20">
        <v>94</v>
      </c>
      <c r="B97" s="24" t="s">
        <v>152</v>
      </c>
      <c r="C97" s="10">
        <v>55</v>
      </c>
      <c r="D97" s="10">
        <v>70</v>
      </c>
      <c r="E97" s="21">
        <v>365</v>
      </c>
      <c r="F97" s="26">
        <v>2.9999999999999997E-4</v>
      </c>
      <c r="G97" s="10">
        <v>900</v>
      </c>
      <c r="H97" s="12">
        <v>1E-3</v>
      </c>
      <c r="I97" s="21">
        <v>10950</v>
      </c>
      <c r="J97" s="22">
        <v>10</v>
      </c>
      <c r="K97" s="18">
        <f t="shared" si="23"/>
        <v>1.2857142857142854E-3</v>
      </c>
      <c r="L97" s="2">
        <f t="shared" si="21"/>
        <v>6.4285714285714272E-4</v>
      </c>
      <c r="M97" s="2">
        <f t="shared" si="24"/>
        <v>1.2857142857142854E-3</v>
      </c>
      <c r="N97" s="2">
        <f t="shared" si="25"/>
        <v>1.9285714285714284E-3</v>
      </c>
      <c r="O97" s="2">
        <f t="shared" si="26"/>
        <v>2.5714285714285709E-3</v>
      </c>
      <c r="P97" s="2">
        <f t="shared" si="27"/>
        <v>3.2142857142857138E-3</v>
      </c>
      <c r="Q97" s="2">
        <f t="shared" si="28"/>
        <v>3.8571428571428567E-3</v>
      </c>
      <c r="R97" s="2">
        <f t="shared" si="29"/>
        <v>1.2857142857142854</v>
      </c>
      <c r="S97" s="2">
        <f t="shared" si="16"/>
        <v>0.64285714285714268</v>
      </c>
      <c r="T97" s="2">
        <f t="shared" si="30"/>
        <v>1.2857142857142854</v>
      </c>
      <c r="U97" s="2">
        <f t="shared" si="17"/>
        <v>1.9285714285714284</v>
      </c>
      <c r="V97" s="2">
        <f t="shared" si="18"/>
        <v>2.5714285714285707</v>
      </c>
      <c r="W97" s="2">
        <f t="shared" si="19"/>
        <v>3.2142857142857135</v>
      </c>
      <c r="X97" s="2">
        <f t="shared" si="20"/>
        <v>3.8571428571428568</v>
      </c>
      <c r="Y97" s="5" t="str">
        <f t="shared" si="35"/>
        <v>1</v>
      </c>
      <c r="Z97" s="5" t="str">
        <f t="shared" si="36"/>
        <v>2</v>
      </c>
      <c r="AA97" s="5" t="str">
        <f t="shared" si="37"/>
        <v>1</v>
      </c>
      <c r="AB97" s="5" t="str">
        <f t="shared" si="31"/>
        <v>1</v>
      </c>
      <c r="AC97" s="5" t="str">
        <f t="shared" si="32"/>
        <v>1</v>
      </c>
      <c r="AD97" s="5" t="str">
        <f t="shared" si="33"/>
        <v>1</v>
      </c>
      <c r="AE97" s="5" t="str">
        <f t="shared" si="34"/>
        <v>1</v>
      </c>
    </row>
    <row r="98" spans="1:31" ht="14.4" x14ac:dyDescent="0.3">
      <c r="A98" s="20">
        <v>95</v>
      </c>
      <c r="B98" s="24" t="s">
        <v>189</v>
      </c>
      <c r="C98" s="10">
        <v>60</v>
      </c>
      <c r="D98" s="10">
        <v>64</v>
      </c>
      <c r="E98" s="21">
        <v>365</v>
      </c>
      <c r="F98" s="26">
        <v>2.9999999999999997E-4</v>
      </c>
      <c r="G98" s="10">
        <v>1500</v>
      </c>
      <c r="H98" s="12">
        <v>1E-3</v>
      </c>
      <c r="I98" s="21">
        <v>10950</v>
      </c>
      <c r="J98" s="22">
        <v>30</v>
      </c>
      <c r="K98" s="18">
        <f t="shared" si="23"/>
        <v>7.0312499999999984E-3</v>
      </c>
      <c r="L98" s="2">
        <f t="shared" si="21"/>
        <v>1.1718749999999997E-3</v>
      </c>
      <c r="M98" s="2">
        <f t="shared" si="24"/>
        <v>2.3437499999999995E-3</v>
      </c>
      <c r="N98" s="2">
        <f t="shared" si="25"/>
        <v>3.5156249999999992E-3</v>
      </c>
      <c r="O98" s="2">
        <f t="shared" si="26"/>
        <v>4.687499999999999E-3</v>
      </c>
      <c r="P98" s="2">
        <f t="shared" si="27"/>
        <v>5.8593749999999991E-3</v>
      </c>
      <c r="Q98" s="2">
        <f t="shared" si="28"/>
        <v>7.0312499999999984E-3</v>
      </c>
      <c r="R98" s="2">
        <f t="shared" si="29"/>
        <v>7.0312499999999982</v>
      </c>
      <c r="S98" s="2">
        <f t="shared" si="16"/>
        <v>1.1718749999999998</v>
      </c>
      <c r="T98" s="2">
        <f t="shared" si="30"/>
        <v>2.3437499999999996</v>
      </c>
      <c r="U98" s="2">
        <f t="shared" si="17"/>
        <v>3.5156249999999991</v>
      </c>
      <c r="V98" s="2">
        <f t="shared" si="18"/>
        <v>4.6874999999999991</v>
      </c>
      <c r="W98" s="2">
        <f t="shared" si="19"/>
        <v>5.8593749999999991</v>
      </c>
      <c r="X98" s="2">
        <f t="shared" si="20"/>
        <v>7.0312499999999982</v>
      </c>
      <c r="Y98" s="5" t="str">
        <f t="shared" si="35"/>
        <v>1</v>
      </c>
      <c r="Z98" s="5" t="str">
        <f t="shared" si="36"/>
        <v>1</v>
      </c>
      <c r="AA98" s="5" t="str">
        <f t="shared" si="37"/>
        <v>1</v>
      </c>
      <c r="AB98" s="5" t="str">
        <f t="shared" si="31"/>
        <v>1</v>
      </c>
      <c r="AC98" s="5" t="str">
        <f t="shared" si="32"/>
        <v>1</v>
      </c>
      <c r="AD98" s="5" t="str">
        <f t="shared" si="33"/>
        <v>1</v>
      </c>
      <c r="AE98" s="5" t="str">
        <f t="shared" si="34"/>
        <v>1</v>
      </c>
    </row>
    <row r="99" spans="1:31" ht="14.4" x14ac:dyDescent="0.3">
      <c r="A99" s="20">
        <v>96</v>
      </c>
      <c r="B99" s="24" t="s">
        <v>190</v>
      </c>
      <c r="C99" s="10">
        <v>60</v>
      </c>
      <c r="D99" s="10">
        <v>64</v>
      </c>
      <c r="E99" s="21">
        <v>365</v>
      </c>
      <c r="F99" s="26">
        <v>2.9999999999999997E-4</v>
      </c>
      <c r="G99" s="10">
        <v>1500</v>
      </c>
      <c r="H99" s="12">
        <v>1E-3</v>
      </c>
      <c r="I99" s="21">
        <v>10950</v>
      </c>
      <c r="J99" s="22">
        <v>30</v>
      </c>
      <c r="K99" s="18">
        <f t="shared" si="23"/>
        <v>7.0312499999999984E-3</v>
      </c>
      <c r="L99" s="2">
        <f t="shared" si="21"/>
        <v>1.1718749999999997E-3</v>
      </c>
      <c r="M99" s="2">
        <f t="shared" si="24"/>
        <v>2.3437499999999995E-3</v>
      </c>
      <c r="N99" s="2">
        <f t="shared" si="25"/>
        <v>3.5156249999999992E-3</v>
      </c>
      <c r="O99" s="2">
        <f t="shared" si="26"/>
        <v>4.687499999999999E-3</v>
      </c>
      <c r="P99" s="2">
        <f t="shared" si="27"/>
        <v>5.8593749999999991E-3</v>
      </c>
      <c r="Q99" s="2">
        <f t="shared" si="28"/>
        <v>7.0312499999999984E-3</v>
      </c>
      <c r="R99" s="2">
        <f t="shared" si="29"/>
        <v>7.0312499999999982</v>
      </c>
      <c r="S99" s="2">
        <f t="shared" si="16"/>
        <v>1.1718749999999998</v>
      </c>
      <c r="T99" s="2">
        <f t="shared" si="30"/>
        <v>2.3437499999999996</v>
      </c>
      <c r="U99" s="2">
        <f t="shared" si="17"/>
        <v>3.5156249999999991</v>
      </c>
      <c r="V99" s="2">
        <f t="shared" si="18"/>
        <v>4.6874999999999991</v>
      </c>
      <c r="W99" s="2">
        <f t="shared" si="19"/>
        <v>5.8593749999999991</v>
      </c>
      <c r="X99" s="2">
        <f t="shared" si="20"/>
        <v>7.0312499999999982</v>
      </c>
      <c r="Y99" s="5" t="str">
        <f t="shared" si="35"/>
        <v>1</v>
      </c>
      <c r="Z99" s="5" t="str">
        <f t="shared" si="36"/>
        <v>1</v>
      </c>
      <c r="AA99" s="5" t="str">
        <f t="shared" si="37"/>
        <v>1</v>
      </c>
      <c r="AB99" s="5" t="str">
        <f t="shared" si="31"/>
        <v>1</v>
      </c>
      <c r="AC99" s="5" t="str">
        <f t="shared" si="32"/>
        <v>1</v>
      </c>
      <c r="AD99" s="5" t="str">
        <f t="shared" si="33"/>
        <v>1</v>
      </c>
      <c r="AE99" s="5" t="str">
        <f t="shared" si="34"/>
        <v>1</v>
      </c>
    </row>
    <row r="100" spans="1:31" ht="14.4" x14ac:dyDescent="0.3">
      <c r="A100" s="20">
        <v>97</v>
      </c>
      <c r="B100" s="24" t="s">
        <v>117</v>
      </c>
      <c r="C100" s="10">
        <v>60</v>
      </c>
      <c r="D100" s="10">
        <v>64</v>
      </c>
      <c r="E100" s="21">
        <v>365</v>
      </c>
      <c r="F100" s="26">
        <v>2.9999999999999997E-4</v>
      </c>
      <c r="G100" s="10">
        <v>1500</v>
      </c>
      <c r="H100" s="12">
        <v>1E-3</v>
      </c>
      <c r="I100" s="21">
        <v>10950</v>
      </c>
      <c r="J100" s="22">
        <v>30</v>
      </c>
      <c r="K100" s="18">
        <f t="shared" si="23"/>
        <v>7.0312499999999984E-3</v>
      </c>
      <c r="L100" s="2">
        <f t="shared" si="21"/>
        <v>1.1718749999999997E-3</v>
      </c>
      <c r="M100" s="2">
        <f t="shared" si="24"/>
        <v>2.3437499999999995E-3</v>
      </c>
      <c r="N100" s="2">
        <f t="shared" si="25"/>
        <v>3.5156249999999992E-3</v>
      </c>
      <c r="O100" s="2">
        <f t="shared" si="26"/>
        <v>4.687499999999999E-3</v>
      </c>
      <c r="P100" s="2">
        <f t="shared" si="27"/>
        <v>5.8593749999999991E-3</v>
      </c>
      <c r="Q100" s="2">
        <f t="shared" si="28"/>
        <v>7.0312499999999984E-3</v>
      </c>
      <c r="R100" s="2">
        <f t="shared" si="29"/>
        <v>7.0312499999999982</v>
      </c>
      <c r="S100" s="2">
        <f t="shared" si="16"/>
        <v>1.1718749999999998</v>
      </c>
      <c r="T100" s="2">
        <f t="shared" si="30"/>
        <v>2.3437499999999996</v>
      </c>
      <c r="U100" s="2">
        <f t="shared" si="17"/>
        <v>3.5156249999999991</v>
      </c>
      <c r="V100" s="2">
        <f t="shared" si="18"/>
        <v>4.6874999999999991</v>
      </c>
      <c r="W100" s="2">
        <f t="shared" si="19"/>
        <v>5.8593749999999991</v>
      </c>
      <c r="X100" s="2">
        <f t="shared" si="20"/>
        <v>7.0312499999999982</v>
      </c>
      <c r="Y100" s="5" t="str">
        <f t="shared" si="35"/>
        <v>1</v>
      </c>
      <c r="Z100" s="5" t="str">
        <f t="shared" si="36"/>
        <v>1</v>
      </c>
      <c r="AA100" s="5" t="str">
        <f t="shared" si="37"/>
        <v>1</v>
      </c>
      <c r="AB100" s="5" t="str">
        <f t="shared" si="31"/>
        <v>1</v>
      </c>
      <c r="AC100" s="5" t="str">
        <f t="shared" si="32"/>
        <v>1</v>
      </c>
      <c r="AD100" s="5" t="str">
        <f t="shared" si="33"/>
        <v>1</v>
      </c>
      <c r="AE100" s="5" t="str">
        <f t="shared" si="34"/>
        <v>1</v>
      </c>
    </row>
    <row r="101" spans="1:31" ht="14.4" x14ac:dyDescent="0.3">
      <c r="A101" s="20">
        <v>98</v>
      </c>
      <c r="B101" s="24" t="s">
        <v>120</v>
      </c>
      <c r="C101" s="10">
        <v>60</v>
      </c>
      <c r="D101" s="10">
        <v>64</v>
      </c>
      <c r="E101" s="21">
        <v>365</v>
      </c>
      <c r="F101" s="26">
        <v>2.9999999999999997E-4</v>
      </c>
      <c r="G101" s="10">
        <v>1500</v>
      </c>
      <c r="H101" s="12">
        <v>1E-3</v>
      </c>
      <c r="I101" s="21">
        <v>10950</v>
      </c>
      <c r="J101" s="22">
        <v>30</v>
      </c>
      <c r="K101" s="18">
        <f t="shared" si="23"/>
        <v>7.0312499999999984E-3</v>
      </c>
      <c r="L101" s="2">
        <f t="shared" si="21"/>
        <v>1.1718749999999997E-3</v>
      </c>
      <c r="M101" s="2">
        <f t="shared" si="24"/>
        <v>2.3437499999999995E-3</v>
      </c>
      <c r="N101" s="2">
        <f t="shared" si="25"/>
        <v>3.5156249999999992E-3</v>
      </c>
      <c r="O101" s="2">
        <f t="shared" si="26"/>
        <v>4.687499999999999E-3</v>
      </c>
      <c r="P101" s="2">
        <f t="shared" si="27"/>
        <v>5.8593749999999991E-3</v>
      </c>
      <c r="Q101" s="2">
        <f t="shared" si="28"/>
        <v>7.0312499999999984E-3</v>
      </c>
      <c r="R101" s="2">
        <f t="shared" si="29"/>
        <v>7.0312499999999982</v>
      </c>
      <c r="S101" s="2">
        <f t="shared" si="16"/>
        <v>1.1718749999999998</v>
      </c>
      <c r="T101" s="2">
        <f t="shared" si="30"/>
        <v>2.3437499999999996</v>
      </c>
      <c r="U101" s="2">
        <f t="shared" si="17"/>
        <v>3.5156249999999991</v>
      </c>
      <c r="V101" s="2">
        <f t="shared" si="18"/>
        <v>4.6874999999999991</v>
      </c>
      <c r="W101" s="2">
        <f t="shared" si="19"/>
        <v>5.8593749999999991</v>
      </c>
      <c r="X101" s="2">
        <f t="shared" si="20"/>
        <v>7.0312499999999982</v>
      </c>
      <c r="Y101" s="5" t="str">
        <f t="shared" si="35"/>
        <v>1</v>
      </c>
      <c r="Z101" s="5" t="str">
        <f t="shared" si="36"/>
        <v>1</v>
      </c>
      <c r="AA101" s="5" t="str">
        <f t="shared" si="37"/>
        <v>1</v>
      </c>
      <c r="AB101" s="5" t="str">
        <f t="shared" si="31"/>
        <v>1</v>
      </c>
      <c r="AC101" s="5" t="str">
        <f t="shared" si="32"/>
        <v>1</v>
      </c>
      <c r="AD101" s="5" t="str">
        <f t="shared" si="33"/>
        <v>1</v>
      </c>
      <c r="AE101" s="5" t="str">
        <f t="shared" si="34"/>
        <v>1</v>
      </c>
    </row>
    <row r="102" spans="1:31" ht="14.4" x14ac:dyDescent="0.3">
      <c r="A102" s="20">
        <v>99</v>
      </c>
      <c r="B102" s="24" t="s">
        <v>137</v>
      </c>
      <c r="C102" s="10">
        <v>60</v>
      </c>
      <c r="D102" s="10">
        <v>64</v>
      </c>
      <c r="E102" s="21">
        <v>365</v>
      </c>
      <c r="F102" s="26">
        <v>2.9999999999999997E-4</v>
      </c>
      <c r="G102" s="10">
        <v>1500</v>
      </c>
      <c r="H102" s="12">
        <v>1E-3</v>
      </c>
      <c r="I102" s="21">
        <v>10950</v>
      </c>
      <c r="J102" s="22">
        <v>30</v>
      </c>
      <c r="K102" s="18">
        <f t="shared" si="23"/>
        <v>7.0312499999999984E-3</v>
      </c>
      <c r="L102" s="2">
        <f t="shared" si="21"/>
        <v>1.1718749999999997E-3</v>
      </c>
      <c r="M102" s="2">
        <f t="shared" si="24"/>
        <v>2.3437499999999995E-3</v>
      </c>
      <c r="N102" s="2">
        <f t="shared" si="25"/>
        <v>3.5156249999999992E-3</v>
      </c>
      <c r="O102" s="2">
        <f t="shared" si="26"/>
        <v>4.687499999999999E-3</v>
      </c>
      <c r="P102" s="2">
        <f t="shared" si="27"/>
        <v>5.8593749999999991E-3</v>
      </c>
      <c r="Q102" s="2">
        <f t="shared" si="28"/>
        <v>7.0312499999999984E-3</v>
      </c>
      <c r="R102" s="2">
        <f t="shared" si="29"/>
        <v>7.0312499999999982</v>
      </c>
      <c r="S102" s="2">
        <f t="shared" si="16"/>
        <v>1.1718749999999998</v>
      </c>
      <c r="T102" s="2">
        <f t="shared" si="30"/>
        <v>2.3437499999999996</v>
      </c>
      <c r="U102" s="2">
        <f t="shared" si="17"/>
        <v>3.5156249999999991</v>
      </c>
      <c r="V102" s="2">
        <f t="shared" si="18"/>
        <v>4.6874999999999991</v>
      </c>
      <c r="W102" s="2">
        <f t="shared" si="19"/>
        <v>5.8593749999999991</v>
      </c>
      <c r="X102" s="2">
        <f t="shared" si="20"/>
        <v>7.0312499999999982</v>
      </c>
      <c r="Y102" s="5" t="str">
        <f t="shared" si="35"/>
        <v>1</v>
      </c>
      <c r="Z102" s="5" t="str">
        <f t="shared" si="36"/>
        <v>1</v>
      </c>
      <c r="AA102" s="5" t="str">
        <f t="shared" si="37"/>
        <v>1</v>
      </c>
      <c r="AB102" s="5" t="str">
        <f t="shared" si="31"/>
        <v>1</v>
      </c>
      <c r="AC102" s="5" t="str">
        <f t="shared" si="32"/>
        <v>1</v>
      </c>
      <c r="AD102" s="5" t="str">
        <f t="shared" si="33"/>
        <v>1</v>
      </c>
      <c r="AE102" s="5" t="str">
        <f t="shared" si="34"/>
        <v>1</v>
      </c>
    </row>
    <row r="103" spans="1:31" ht="14.4" x14ac:dyDescent="0.3">
      <c r="A103" s="20">
        <v>100</v>
      </c>
      <c r="B103" s="24" t="s">
        <v>135</v>
      </c>
      <c r="C103" s="10">
        <v>67</v>
      </c>
      <c r="D103" s="10">
        <v>57</v>
      </c>
      <c r="E103" s="21">
        <v>365</v>
      </c>
      <c r="F103" s="26">
        <v>2.9999999999999997E-4</v>
      </c>
      <c r="G103" s="10">
        <v>1500</v>
      </c>
      <c r="H103" s="12">
        <v>1E-3</v>
      </c>
      <c r="I103" s="21">
        <v>10950</v>
      </c>
      <c r="J103" s="22">
        <v>8</v>
      </c>
      <c r="K103" s="18">
        <f t="shared" si="23"/>
        <v>2.1052631578947364E-3</v>
      </c>
      <c r="L103" s="2">
        <f t="shared" si="21"/>
        <v>1.3157894736842103E-3</v>
      </c>
      <c r="M103" s="2">
        <f t="shared" si="24"/>
        <v>2.6315789473684206E-3</v>
      </c>
      <c r="N103" s="2">
        <f t="shared" si="25"/>
        <v>3.9473684210526308E-3</v>
      </c>
      <c r="O103" s="2">
        <f t="shared" si="26"/>
        <v>5.2631578947368411E-3</v>
      </c>
      <c r="P103" s="2">
        <f t="shared" si="27"/>
        <v>6.5789473684210514E-3</v>
      </c>
      <c r="Q103" s="2">
        <f t="shared" si="28"/>
        <v>7.8947368421052617E-3</v>
      </c>
      <c r="R103" s="2">
        <f t="shared" si="29"/>
        <v>2.1052631578947363</v>
      </c>
      <c r="S103" s="2">
        <f t="shared" si="16"/>
        <v>1.3157894736842102</v>
      </c>
      <c r="T103" s="2">
        <f t="shared" si="30"/>
        <v>2.6315789473684204</v>
      </c>
      <c r="U103" s="2">
        <f t="shared" si="17"/>
        <v>3.947368421052631</v>
      </c>
      <c r="V103" s="2">
        <f t="shared" si="18"/>
        <v>5.2631578947368407</v>
      </c>
      <c r="W103" s="2">
        <f t="shared" si="19"/>
        <v>6.5789473684210513</v>
      </c>
      <c r="X103" s="2">
        <f t="shared" si="20"/>
        <v>7.8947368421052619</v>
      </c>
      <c r="Y103" s="5" t="str">
        <f t="shared" si="35"/>
        <v>1</v>
      </c>
      <c r="Z103" s="5" t="str">
        <f t="shared" si="36"/>
        <v>1</v>
      </c>
      <c r="AA103" s="5" t="str">
        <f t="shared" si="37"/>
        <v>1</v>
      </c>
      <c r="AB103" s="5" t="str">
        <f t="shared" si="31"/>
        <v>1</v>
      </c>
      <c r="AC103" s="5" t="str">
        <f t="shared" si="32"/>
        <v>1</v>
      </c>
      <c r="AD103" s="5" t="str">
        <f t="shared" si="33"/>
        <v>1</v>
      </c>
      <c r="AE103" s="5" t="str">
        <f t="shared" si="34"/>
        <v>1</v>
      </c>
    </row>
    <row r="105" spans="1:31" x14ac:dyDescent="0.25">
      <c r="A105" s="3" t="s">
        <v>76</v>
      </c>
    </row>
    <row r="106" spans="1:31" x14ac:dyDescent="0.25">
      <c r="A106" s="3" t="s">
        <v>6</v>
      </c>
    </row>
    <row r="107" spans="1:31" x14ac:dyDescent="0.25">
      <c r="A107" s="3" t="s">
        <v>7</v>
      </c>
    </row>
  </sheetData>
  <mergeCells count="31">
    <mergeCell ref="AE1:AE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S1:S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G1:G2"/>
    <mergeCell ref="C1:C2"/>
    <mergeCell ref="A1:A2"/>
    <mergeCell ref="B1:B2"/>
    <mergeCell ref="D1:D2"/>
    <mergeCell ref="E1:E2"/>
    <mergeCell ref="F1:F2"/>
  </mergeCells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4"/>
  <sheetViews>
    <sheetView workbookViewId="0">
      <selection activeCell="E7" sqref="E7"/>
    </sheetView>
  </sheetViews>
  <sheetFormatPr defaultRowHeight="14.4" x14ac:dyDescent="0.3"/>
  <sheetData>
    <row r="1" spans="1:7" x14ac:dyDescent="0.3">
      <c r="A1" t="s">
        <v>56</v>
      </c>
    </row>
    <row r="3" spans="1:7" x14ac:dyDescent="0.3">
      <c r="A3" s="3" t="s">
        <v>102</v>
      </c>
      <c r="B3" s="3"/>
      <c r="C3" s="3"/>
      <c r="D3" s="3"/>
      <c r="E3" s="3"/>
      <c r="F3" s="3"/>
      <c r="G3" s="3"/>
    </row>
    <row r="4" spans="1:7" x14ac:dyDescent="0.3">
      <c r="A4" s="3" t="s">
        <v>57</v>
      </c>
      <c r="B4" s="3"/>
      <c r="C4" s="3"/>
      <c r="D4" s="3"/>
      <c r="E4" s="3"/>
      <c r="F4" s="3"/>
      <c r="G4" s="3"/>
    </row>
    <row r="5" spans="1:7" x14ac:dyDescent="0.3">
      <c r="A5" s="3" t="s">
        <v>58</v>
      </c>
      <c r="B5" s="3"/>
      <c r="C5" s="3"/>
      <c r="D5" s="3"/>
      <c r="E5" s="3"/>
      <c r="F5" s="3"/>
      <c r="G5" s="3"/>
    </row>
    <row r="6" spans="1:7" x14ac:dyDescent="0.3">
      <c r="A6" s="3" t="s">
        <v>103</v>
      </c>
      <c r="B6" s="3"/>
      <c r="C6" s="3"/>
      <c r="D6" s="3"/>
      <c r="E6" s="3"/>
      <c r="F6" s="3"/>
      <c r="G6" s="3"/>
    </row>
    <row r="7" spans="1:7" x14ac:dyDescent="0.3">
      <c r="A7" s="4" t="s">
        <v>101</v>
      </c>
      <c r="B7" s="4"/>
      <c r="C7" s="4"/>
      <c r="D7" s="4"/>
      <c r="E7" s="4"/>
      <c r="F7" s="4"/>
      <c r="G7" s="4"/>
    </row>
    <row r="8" spans="1:7" x14ac:dyDescent="0.3">
      <c r="A8" s="4" t="s">
        <v>100</v>
      </c>
      <c r="B8" s="4"/>
      <c r="C8" s="4"/>
      <c r="D8" s="4"/>
      <c r="E8" s="4"/>
      <c r="F8" s="4"/>
      <c r="G8" s="4"/>
    </row>
    <row r="9" spans="1:7" x14ac:dyDescent="0.3">
      <c r="A9" s="4" t="s">
        <v>99</v>
      </c>
      <c r="B9" s="4"/>
      <c r="C9" s="4"/>
      <c r="D9" s="4"/>
      <c r="E9" s="4"/>
      <c r="F9" s="4"/>
      <c r="G9" s="4"/>
    </row>
    <row r="10" spans="1:7" x14ac:dyDescent="0.3">
      <c r="A10" s="4" t="s">
        <v>5</v>
      </c>
      <c r="B10" s="4"/>
      <c r="C10" s="4"/>
      <c r="D10" s="4"/>
      <c r="E10" s="4"/>
      <c r="F10" s="4"/>
      <c r="G10" s="4"/>
    </row>
    <row r="11" spans="1:7" x14ac:dyDescent="0.3">
      <c r="A11" s="4" t="s">
        <v>55</v>
      </c>
      <c r="B11" s="4"/>
      <c r="C11" s="4"/>
      <c r="D11" s="4"/>
      <c r="E11" s="4"/>
      <c r="F11" s="4"/>
      <c r="G11" s="4"/>
    </row>
    <row r="12" spans="1:7" x14ac:dyDescent="0.3">
      <c r="A12" t="s">
        <v>76</v>
      </c>
    </row>
    <row r="13" spans="1:7" x14ac:dyDescent="0.3">
      <c r="A13" t="s">
        <v>6</v>
      </c>
    </row>
    <row r="14" spans="1:7" x14ac:dyDescent="0.3">
      <c r="A14" t="s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4"/>
  <sheetViews>
    <sheetView workbookViewId="0">
      <selection activeCell="M7" sqref="M7"/>
    </sheetView>
  </sheetViews>
  <sheetFormatPr defaultRowHeight="14.4" x14ac:dyDescent="0.3"/>
  <cols>
    <col min="1" max="1" width="15.109375" customWidth="1"/>
  </cols>
  <sheetData>
    <row r="1" spans="1:9" ht="15" customHeight="1" x14ac:dyDescent="0.3">
      <c r="A1" s="1" t="s">
        <v>50</v>
      </c>
      <c r="B1" s="1" t="s">
        <v>15</v>
      </c>
      <c r="C1" s="1" t="s">
        <v>28</v>
      </c>
      <c r="D1" s="1" t="s">
        <v>35</v>
      </c>
      <c r="E1" s="1" t="s">
        <v>36</v>
      </c>
      <c r="F1" s="1" t="s">
        <v>43</v>
      </c>
      <c r="H1" s="44" t="s">
        <v>0</v>
      </c>
      <c r="I1" s="44"/>
    </row>
    <row r="2" spans="1:9" x14ac:dyDescent="0.3">
      <c r="A2" s="1" t="s">
        <v>8</v>
      </c>
      <c r="B2" s="1" t="s">
        <v>16</v>
      </c>
      <c r="C2" s="1" t="s">
        <v>22</v>
      </c>
      <c r="D2" s="1" t="s">
        <v>29</v>
      </c>
      <c r="E2" s="1" t="s">
        <v>37</v>
      </c>
      <c r="F2" s="1" t="s">
        <v>44</v>
      </c>
      <c r="H2" s="44" t="s">
        <v>3</v>
      </c>
      <c r="I2" s="44"/>
    </row>
    <row r="3" spans="1:9" x14ac:dyDescent="0.3">
      <c r="A3" s="1" t="s">
        <v>9</v>
      </c>
      <c r="B3" s="1" t="s">
        <v>17</v>
      </c>
      <c r="C3" s="1" t="s">
        <v>23</v>
      </c>
      <c r="D3" s="1" t="s">
        <v>30</v>
      </c>
      <c r="E3" s="1" t="s">
        <v>38</v>
      </c>
      <c r="F3" s="1" t="s">
        <v>45</v>
      </c>
      <c r="H3" s="41" t="s">
        <v>52</v>
      </c>
      <c r="I3" s="41"/>
    </row>
    <row r="4" spans="1:9" x14ac:dyDescent="0.3">
      <c r="A4" s="1" t="s">
        <v>10</v>
      </c>
      <c r="B4" s="1" t="s">
        <v>18</v>
      </c>
      <c r="C4" s="1" t="s">
        <v>24</v>
      </c>
      <c r="D4" s="1" t="s">
        <v>31</v>
      </c>
      <c r="E4" s="1" t="s">
        <v>39</v>
      </c>
      <c r="F4" s="1" t="s">
        <v>46</v>
      </c>
      <c r="H4" s="41" t="s">
        <v>1</v>
      </c>
      <c r="I4" s="41"/>
    </row>
    <row r="5" spans="1:9" x14ac:dyDescent="0.3">
      <c r="A5" s="1" t="s">
        <v>11</v>
      </c>
      <c r="B5" s="1" t="s">
        <v>11</v>
      </c>
      <c r="C5" s="1" t="s">
        <v>11</v>
      </c>
      <c r="D5" s="1" t="s">
        <v>51</v>
      </c>
      <c r="E5" s="1" t="s">
        <v>11</v>
      </c>
      <c r="F5" s="1" t="s">
        <v>11</v>
      </c>
      <c r="H5" s="41" t="s">
        <v>53</v>
      </c>
      <c r="I5" s="41"/>
    </row>
    <row r="6" spans="1:9" x14ac:dyDescent="0.3">
      <c r="A6" s="1" t="s">
        <v>12</v>
      </c>
      <c r="B6" s="1" t="s">
        <v>19</v>
      </c>
      <c r="C6" s="1" t="s">
        <v>25</v>
      </c>
      <c r="D6" s="1" t="s">
        <v>32</v>
      </c>
      <c r="E6" s="1" t="s">
        <v>40</v>
      </c>
      <c r="F6" s="1" t="s">
        <v>47</v>
      </c>
      <c r="H6" s="44" t="s">
        <v>2</v>
      </c>
      <c r="I6" s="44"/>
    </row>
    <row r="7" spans="1:9" x14ac:dyDescent="0.3">
      <c r="A7" s="1" t="s">
        <v>13</v>
      </c>
      <c r="B7" s="1" t="s">
        <v>20</v>
      </c>
      <c r="C7" s="1" t="s">
        <v>26</v>
      </c>
      <c r="D7" s="1" t="s">
        <v>33</v>
      </c>
      <c r="E7" s="1" t="s">
        <v>41</v>
      </c>
      <c r="F7" s="1" t="s">
        <v>48</v>
      </c>
      <c r="H7" s="41" t="s">
        <v>78</v>
      </c>
      <c r="I7" s="41"/>
    </row>
    <row r="8" spans="1:9" x14ac:dyDescent="0.3">
      <c r="A8" s="1" t="s">
        <v>14</v>
      </c>
      <c r="B8" s="1" t="s">
        <v>21</v>
      </c>
      <c r="C8" s="1" t="s">
        <v>27</v>
      </c>
      <c r="D8" s="1" t="s">
        <v>34</v>
      </c>
      <c r="E8" s="1" t="s">
        <v>42</v>
      </c>
      <c r="F8" s="1" t="s">
        <v>49</v>
      </c>
      <c r="H8" s="41" t="s">
        <v>79</v>
      </c>
      <c r="I8" s="41"/>
    </row>
    <row r="9" spans="1:9" x14ac:dyDescent="0.3">
      <c r="A9" s="1" t="s">
        <v>11</v>
      </c>
      <c r="B9" s="1" t="s">
        <v>11</v>
      </c>
      <c r="C9" s="1" t="s">
        <v>11</v>
      </c>
      <c r="D9" s="1" t="s">
        <v>11</v>
      </c>
      <c r="E9" s="1" t="s">
        <v>11</v>
      </c>
      <c r="F9" s="1" t="s">
        <v>11</v>
      </c>
      <c r="H9" s="41" t="s">
        <v>80</v>
      </c>
      <c r="I9" s="41"/>
    </row>
    <row r="10" spans="1:9" x14ac:dyDescent="0.3">
      <c r="A10" s="1" t="s">
        <v>12</v>
      </c>
      <c r="B10" s="1" t="s">
        <v>19</v>
      </c>
      <c r="C10" s="1" t="s">
        <v>25</v>
      </c>
      <c r="D10" s="1" t="s">
        <v>32</v>
      </c>
      <c r="E10" s="1" t="s">
        <v>40</v>
      </c>
      <c r="F10" s="1" t="s">
        <v>47</v>
      </c>
      <c r="H10" s="41" t="s">
        <v>81</v>
      </c>
      <c r="I10" s="41"/>
    </row>
    <row r="11" spans="1:9" x14ac:dyDescent="0.3">
      <c r="A11" s="1" t="s">
        <v>13</v>
      </c>
      <c r="B11" s="1" t="s">
        <v>20</v>
      </c>
      <c r="C11" s="1" t="s">
        <v>26</v>
      </c>
      <c r="D11" s="1" t="s">
        <v>33</v>
      </c>
      <c r="E11" s="1" t="s">
        <v>41</v>
      </c>
      <c r="F11" s="1" t="s">
        <v>48</v>
      </c>
      <c r="H11" s="41" t="s">
        <v>82</v>
      </c>
      <c r="I11" s="41"/>
    </row>
    <row r="12" spans="1:9" x14ac:dyDescent="0.3">
      <c r="A12" s="1" t="s">
        <v>14</v>
      </c>
      <c r="B12" s="1" t="s">
        <v>21</v>
      </c>
      <c r="C12" s="1" t="s">
        <v>27</v>
      </c>
      <c r="D12" s="1" t="s">
        <v>34</v>
      </c>
      <c r="E12" s="1" t="s">
        <v>42</v>
      </c>
      <c r="F12" s="1" t="s">
        <v>49</v>
      </c>
      <c r="H12" s="41" t="s">
        <v>83</v>
      </c>
      <c r="I12" s="41"/>
    </row>
    <row r="13" spans="1:9" x14ac:dyDescent="0.3">
      <c r="H13" s="41" t="s">
        <v>84</v>
      </c>
      <c r="I13" s="41"/>
    </row>
    <row r="14" spans="1:9" x14ac:dyDescent="0.3">
      <c r="H14" s="41" t="s">
        <v>85</v>
      </c>
      <c r="I14" s="41"/>
    </row>
    <row r="15" spans="1:9" x14ac:dyDescent="0.3">
      <c r="H15" s="41" t="s">
        <v>86</v>
      </c>
      <c r="I15" s="41"/>
    </row>
    <row r="16" spans="1:9" x14ac:dyDescent="0.3">
      <c r="H16" s="41" t="s">
        <v>87</v>
      </c>
      <c r="I16" s="41"/>
    </row>
    <row r="17" spans="8:9" x14ac:dyDescent="0.3">
      <c r="H17" s="41" t="s">
        <v>88</v>
      </c>
      <c r="I17" s="41"/>
    </row>
    <row r="18" spans="8:9" x14ac:dyDescent="0.3">
      <c r="H18" s="41" t="s">
        <v>89</v>
      </c>
      <c r="I18" s="41"/>
    </row>
    <row r="19" spans="8:9" x14ac:dyDescent="0.3">
      <c r="H19" s="41" t="s">
        <v>77</v>
      </c>
      <c r="I19" s="41"/>
    </row>
    <row r="20" spans="8:9" x14ac:dyDescent="0.3">
      <c r="H20" s="41" t="s">
        <v>90</v>
      </c>
      <c r="I20" s="41"/>
    </row>
    <row r="21" spans="8:9" x14ac:dyDescent="0.3">
      <c r="H21" s="41" t="s">
        <v>91</v>
      </c>
      <c r="I21" s="41"/>
    </row>
    <row r="22" spans="8:9" x14ac:dyDescent="0.3">
      <c r="H22" s="41" t="s">
        <v>92</v>
      </c>
      <c r="I22" s="41"/>
    </row>
    <row r="23" spans="8:9" x14ac:dyDescent="0.3">
      <c r="H23" s="41" t="s">
        <v>93</v>
      </c>
      <c r="I23" s="41"/>
    </row>
    <row r="24" spans="8:9" x14ac:dyDescent="0.3">
      <c r="H24" s="41" t="s">
        <v>94</v>
      </c>
      <c r="I24" s="41"/>
    </row>
  </sheetData>
  <mergeCells count="24">
    <mergeCell ref="H1:I1"/>
    <mergeCell ref="H2:I2"/>
    <mergeCell ref="H14:I14"/>
    <mergeCell ref="H3:I3"/>
    <mergeCell ref="H4:I4"/>
    <mergeCell ref="H5:I5"/>
    <mergeCell ref="H6:I6"/>
    <mergeCell ref="H7:I7"/>
    <mergeCell ref="H8:I8"/>
    <mergeCell ref="H9:I9"/>
    <mergeCell ref="H10:I10"/>
    <mergeCell ref="H11:I11"/>
    <mergeCell ref="H12:I12"/>
    <mergeCell ref="H13:I13"/>
    <mergeCell ref="H21:I21"/>
    <mergeCell ref="H22:I22"/>
    <mergeCell ref="H23:I23"/>
    <mergeCell ref="H24:I24"/>
    <mergeCell ref="H15:I15"/>
    <mergeCell ref="H16:I16"/>
    <mergeCell ref="H17:I17"/>
    <mergeCell ref="H18:I18"/>
    <mergeCell ref="H19:I19"/>
    <mergeCell ref="H20:I20"/>
  </mergeCells>
  <pageMargins left="0.7" right="0.7" top="0.75" bottom="0.75" header="0.3" footer="0.3"/>
  <pageSetup orientation="portrait" horizontalDpi="4294967292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97C03DF-A346-4171-9BED-E87EB6D7344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RQ Chromium</vt:lpstr>
      <vt:lpstr>RQ Timbal</vt:lpstr>
      <vt:lpstr> RQ Nikel</vt:lpstr>
      <vt:lpstr>RQ Arsen</vt:lpstr>
      <vt:lpstr> RQ Cadmium</vt:lpstr>
      <vt:lpstr>keterangan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hadi nata</cp:lastModifiedBy>
  <dcterms:created xsi:type="dcterms:W3CDTF">2022-03-15T08:59:07Z</dcterms:created>
  <dcterms:modified xsi:type="dcterms:W3CDTF">2026-06-29T02:00:54Z</dcterms:modified>
</cp:coreProperties>
</file>